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udy_overview" sheetId="1" state="visible" r:id="rId2"/>
    <sheet name="Study_Selection" sheetId="2" state="visible" r:id="rId3"/>
    <sheet name="Categories" sheetId="3" state="visible" r:id="rId4"/>
    <sheet name="Papers_Refs" sheetId="4" state="visible" r:id="rId5"/>
    <sheet name="Study_Summary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<sst xmlns="http://schemas.openxmlformats.org/spreadsheetml/2006/main" count="27606" uniqueCount="6064">
  <si>
    <t xml:space="preserve">Review paper - overview [Full list]</t>
  </si>
  <si>
    <t xml:space="preserve">((electrical stimulation) OR (optogenetic stimulation) OR (electrical microstimulation) OR (deep brain stimulation)) AND ((macaque) OR (rhesus monkey))</t>
  </si>
  <si>
    <t xml:space="preserve">Paper:</t>
  </si>
  <si>
    <t xml:space="preserve">Authors:</t>
  </si>
  <si>
    <t xml:space="preserve">Intracranial stimulation (electrical or optogenetic) in a species of macaque monkey?</t>
  </si>
  <si>
    <t xml:space="preserve">Type?</t>
  </si>
  <si>
    <t xml:space="preserve">Target?</t>
  </si>
  <si>
    <t xml:space="preserve">Behav. Effects?</t>
  </si>
  <si>
    <t xml:space="preserve">Fast and reversible neural inactivation in macaque cortex by optogenetic stimulation of GABAergic neurons</t>
  </si>
  <si>
    <t xml:space="preserve">De et al., 2020</t>
  </si>
  <si>
    <t xml:space="preserve">YES </t>
  </si>
  <si>
    <t xml:space="preserve">optogenetic (GABA)</t>
  </si>
  <si>
    <t xml:space="preserve">V1</t>
  </si>
  <si>
    <t xml:space="preserve">Deep brain stimulation of the bilateral nucleus accumbens in normal rhesus monkey</t>
  </si>
  <si>
    <t xml:space="preserve">Li et al., 2013</t>
  </si>
  <si>
    <t xml:space="preserve">YES</t>
  </si>
  <si>
    <t xml:space="preserve">electrical (DBS)</t>
  </si>
  <si>
    <t xml:space="preserve">Electrical stimulation of the macaque ventral tegmental area drives category-selective learning without attention</t>
  </si>
  <si>
    <t xml:space="preserve">Murris et al., 2021</t>
  </si>
  <si>
    <t xml:space="preserve">electrical</t>
  </si>
  <si>
    <t xml:space="preserve">Caudate Microstimulation Increases Value of Specific Choices</t>
  </si>
  <si>
    <t xml:space="preserve">Santacruz et al., 2017</t>
  </si>
  <si>
    <t xml:space="preserve">Image-dependence of the detectability of optogenetic stimulation in macaque inferotemporal cortex</t>
  </si>
  <si>
    <t xml:space="preserve">Azadi et al., 2023</t>
  </si>
  <si>
    <t xml:space="preserve">optogenetic</t>
  </si>
  <si>
    <t xml:space="preserve">Similar neural and perceptual masking effects of low-power optogenetic stimulation in primate V1</t>
  </si>
  <si>
    <t xml:space="preserve">Chen et al., 2022</t>
  </si>
  <si>
    <t xml:space="preserve">Dopamine Neuron-Specific Optogenetic Stimulation in Rhesus Macaques</t>
  </si>
  <si>
    <t xml:space="preserve">Stauffer et al., 2016</t>
  </si>
  <si>
    <t xml:space="preserve">Electrical stimulation of superior colliculus affects strabismus angle in monkey models for strabismus</t>
  </si>
  <si>
    <t xml:space="preserve">Upadhaya et al., 2017</t>
  </si>
  <si>
    <t xml:space="preserve">NO</t>
  </si>
  <si>
    <t xml:space="preserve">SC</t>
  </si>
  <si>
    <t xml:space="preserve">strabismus monkeys</t>
  </si>
  <si>
    <t xml:space="preserve">High-resolution local field potentials measured with deep brain stimulation arrays</t>
  </si>
  <si>
    <t xml:space="preserve">Zhang et al., 2018</t>
  </si>
  <si>
    <t xml:space="preserve">STN</t>
  </si>
  <si>
    <t xml:space="preserve">no behaviour tested</t>
  </si>
  <si>
    <t xml:space="preserve">Deep brain stimulation induces sparse distributions of locally modulated neuronal activity</t>
  </si>
  <si>
    <t xml:space="preserve">Xiao et al., 2018</t>
  </si>
  <si>
    <t xml:space="preserve">Sensing-enabled hippocampal deep brain stimulation in idiopathic nonhuman primate epilepsy</t>
  </si>
  <si>
    <t xml:space="preserve">Lipski et al., 2015</t>
  </si>
  <si>
    <t xml:space="preserve">HC</t>
  </si>
  <si>
    <t xml:space="preserve">epileptic animals</t>
  </si>
  <si>
    <t xml:space="preserve">Saccade modulation by optical and electrical stimulation in the macaque frontal eye field</t>
  </si>
  <si>
    <t xml:space="preserve">Ohayon et al., 2013</t>
  </si>
  <si>
    <t xml:space="preserve">optogenetic, electrical</t>
  </si>
  <si>
    <t xml:space="preserve">FEF</t>
  </si>
  <si>
    <t xml:space="preserve">Effective connectivity and spatial selectivity-dependent fMRI changes elicited by microstimulation of pulvinar and LIP</t>
  </si>
  <si>
    <t xml:space="preserve">Kagan et al., 2021</t>
  </si>
  <si>
    <t xml:space="preserve">Pulvinar, LIP</t>
  </si>
  <si>
    <t xml:space="preserve">Deep brain stimulation imposes complex informational lesions</t>
  </si>
  <si>
    <t xml:space="preserve">Agnesi et al., 2013</t>
  </si>
  <si>
    <t xml:space="preserve">GP</t>
  </si>
  <si>
    <t xml:space="preserve">Frequency- and State-Dependent Network Effects of Electrical Stimulation Targeting the Ventral Tegmental Area in Macaques</t>
  </si>
  <si>
    <t xml:space="preserve">Murris et al., 2020</t>
  </si>
  <si>
    <t xml:space="preserve">VTA</t>
  </si>
  <si>
    <t xml:space="preserve">Cell-Targeted Optogenetics and Electrical Microstimulation Reveal the Primate Koniocellular Projection to Supra-granular Visual Cortex</t>
  </si>
  <si>
    <t xml:space="preserve">Klein et al., 2016</t>
  </si>
  <si>
    <t xml:space="preserve">LGN</t>
  </si>
  <si>
    <t xml:space="preserve">Anaesthetized animals</t>
  </si>
  <si>
    <t xml:space="preserve">A Large-Scale Interface for Optogenetic Stimulation and Recording in Nonhuman Primates</t>
  </si>
  <si>
    <t xml:space="preserve">Yazdan-Shahmorad et al., 2016</t>
  </si>
  <si>
    <t xml:space="preserve">M1, S1</t>
  </si>
  <si>
    <t xml:space="preserve">Frequency-dependent spike-pattern changes in motor cortex during thalamic deep brain stimulation</t>
  </si>
  <si>
    <t xml:space="preserve">Bello et al., 2020</t>
  </si>
  <si>
    <t xml:space="preserve">motor thalamus</t>
  </si>
  <si>
    <t xml:space="preserve">Phosphene induction by microstimulation of macaque V1</t>
  </si>
  <si>
    <t xml:space="preserve">Tehovnik &amp; Slocum, 2006</t>
  </si>
  <si>
    <t xml:space="preserve">review</t>
  </si>
  <si>
    <t xml:space="preserve">Arm movements induced by electrical microstimulation in the superior colliculus of the macaque monkey</t>
  </si>
  <si>
    <t xml:space="preserve">Phillip &amp; Hoffman, 2014</t>
  </si>
  <si>
    <t xml:space="preserve">Electrical Microstimulation of Visual Cerebral Cortex Elevates Psychophysical Detection Thresholds</t>
  </si>
  <si>
    <t xml:space="preserve">Cone et al., 2018</t>
  </si>
  <si>
    <t xml:space="preserve">Temporally Coordinated Deep Brain Stimulation in the Dorsal and Ventral Striatum Synergistically Enhances Associative Learning</t>
  </si>
  <si>
    <t xml:space="preserve">Katnani et al., 2016</t>
  </si>
  <si>
    <t xml:space="preserve">Striatum</t>
  </si>
  <si>
    <t xml:space="preserve">Consistent linear and non-linear responses to invasive electrical brain stimulation across individuals and primate species with implanted electrodes</t>
  </si>
  <si>
    <t xml:space="preserve">Basu et al., 2019</t>
  </si>
  <si>
    <t xml:space="preserve">cingulate, NA, Amygdala</t>
  </si>
  <si>
    <t xml:space="preserve">Surgical Procedure for Implantation of Opto-Array in Nonhuman Primates</t>
  </si>
  <si>
    <t xml:space="preserve">inferio-temporal cortex</t>
  </si>
  <si>
    <t xml:space="preserve">Experimental and theoretical characterization of the voltage distribution generated by deep brain stimulation</t>
  </si>
  <si>
    <t xml:space="preserve">Miocinovic et al., 2009</t>
  </si>
  <si>
    <t xml:space="preserve">STN, GP</t>
  </si>
  <si>
    <t xml:space="preserve">NO, not measuring behaviour</t>
  </si>
  <si>
    <t xml:space="preserve">Microstimulation-induced inhibition of thalamic reticular nucleus in non-human primates</t>
  </si>
  <si>
    <t xml:space="preserve">Lymer et al., 2019</t>
  </si>
  <si>
    <t xml:space="preserve">TRN</t>
  </si>
  <si>
    <t xml:space="preserve">Probing the Mechanisms of Repetition Suppression in Inferior Temporal Cortex with Optogenetics</t>
  </si>
  <si>
    <t xml:space="preserve">Fabbrini et al., 2019</t>
  </si>
  <si>
    <t xml:space="preserve">Electrical microstimulation thresholds for behavioral detection and saccades in monkey frontal eye fields</t>
  </si>
  <si>
    <t xml:space="preserve">Murphey &amp; Maunsell, 2008</t>
  </si>
  <si>
    <t xml:space="preserve">Effective connectivity of depth-structure-selective patches in the lateral bank of the macaque intraparietal sulcus</t>
  </si>
  <si>
    <t xml:space="preserve">Premereur et al., 2016</t>
  </si>
  <si>
    <t xml:space="preserve">iPS</t>
  </si>
  <si>
    <t xml:space="preserve">Characterizing the short-latency evoked response to intracortical microstimulation across a multi-electrode array</t>
  </si>
  <si>
    <t xml:space="preserve">Sombeck et al., 2022</t>
  </si>
  <si>
    <t xml:space="preserve">M1</t>
  </si>
  <si>
    <t xml:space="preserve">Saccade suppression by electrical microstimulation in monkey caudate nucleus</t>
  </si>
  <si>
    <t xml:space="preserve">Watanabe &amp; Munoz, 2010</t>
  </si>
  <si>
    <t xml:space="preserve">Caudate Nucleus</t>
  </si>
  <si>
    <t xml:space="preserve">Asymmetric effective connectivity between primate anterior cingulate and lateral prefrontal cortex revealed by electrical microstimulation</t>
  </si>
  <si>
    <t xml:space="preserve">Nacher et al., 2019</t>
  </si>
  <si>
    <t xml:space="preserve">Cingulate, LPFC</t>
  </si>
  <si>
    <t xml:space="preserve">Heterogeneous side effects of cortical inactivation in behaving animals</t>
  </si>
  <si>
    <t xml:space="preserve">Andrei et al., 2021</t>
  </si>
  <si>
    <t xml:space="preserve">optogenetic (silencing)</t>
  </si>
  <si>
    <t xml:space="preserve">Probing Sensory Readout via Combined Choice-Correlation Measures and Microstimulation Perturbation</t>
  </si>
  <si>
    <t xml:space="preserve">Yu &amp; Gu, 2018</t>
  </si>
  <si>
    <t xml:space="preserve">MST, MT, VIP</t>
  </si>
  <si>
    <t xml:space="preserve">Neuronal and behavioural modulations by pathway-selective optogenetic stimulation of the primate oculomotor system</t>
  </si>
  <si>
    <t xml:space="preserve">Inoue et al., 2015</t>
  </si>
  <si>
    <t xml:space="preserve">FEF-to-SC</t>
  </si>
  <si>
    <t xml:space="preserve">Phase-Specific Microstimulation Differentially Modulates Beta Oscillations and Affects Behavior</t>
  </si>
  <si>
    <t xml:space="preserve">Peles et al., 2020</t>
  </si>
  <si>
    <t xml:space="preserve">Real-time dopamine measurement in awake monkeys</t>
  </si>
  <si>
    <t xml:space="preserve">Schluter et al., 2014</t>
  </si>
  <si>
    <t xml:space="preserve">electrical - FSCV</t>
  </si>
  <si>
    <t xml:space="preserve">VTA, striatum</t>
  </si>
  <si>
    <t xml:space="preserve">Focal optogenetic suppression in macaque area MT biases direction discrimination and decision confidence, but only transiently</t>
  </si>
  <si>
    <t xml:space="preserve">Fetsch et al., 2018</t>
  </si>
  <si>
    <t xml:space="preserve">MT</t>
  </si>
  <si>
    <t xml:space="preserve">Eye and head movements evoked by electrical stimulation of monkey superior colliculus</t>
  </si>
  <si>
    <t xml:space="preserve">Stryker &amp; Schiller, 1975</t>
  </si>
  <si>
    <t xml:space="preserve">Long-term all-optical interrogation of cortical neurons in awake-behaving nonhuman primates</t>
  </si>
  <si>
    <t xml:space="preserve">Ju et al., 2018</t>
  </si>
  <si>
    <t xml:space="preserve">Electrical stimulation-evoked dopamine release in the primate striatum</t>
  </si>
  <si>
    <t xml:space="preserve">Gale et al., 2013</t>
  </si>
  <si>
    <t xml:space="preserve">Effects of caudate microstimulation on spontaneous and purposive saccades</t>
  </si>
  <si>
    <t xml:space="preserve">Watanabe &amp; Munoz, 2013</t>
  </si>
  <si>
    <t xml:space="preserve">Caudate</t>
  </si>
  <si>
    <t xml:space="preserve">Robust modulation of arousal regulation, performance, and frontostriatal activity through central thalamic deep brain stimulation in healthy nonhuman primates</t>
  </si>
  <si>
    <t xml:space="preserve">Baker et al., 2016</t>
  </si>
  <si>
    <t xml:space="preserve">central thalamus</t>
  </si>
  <si>
    <t xml:space="preserve">Effects of electrical microstimulation in monkey frontal eye field on saccades to remembered targets</t>
  </si>
  <si>
    <t xml:space="preserve">Opris et al., 2005</t>
  </si>
  <si>
    <t xml:space="preserve">Mapping cortical activity elicited with electrical microstimulation using FMRI in the macaque</t>
  </si>
  <si>
    <t xml:space="preserve">Tolias et al., 2005</t>
  </si>
  <si>
    <t xml:space="preserve">An electrophysiological and behavioural study of self-stimulation in the orbitofrontal cortex of the rhesus monkey</t>
  </si>
  <si>
    <t xml:space="preserve">Mora et al., 1980</t>
  </si>
  <si>
    <t xml:space="preserve">NA, lateral hypothalamus, OFC</t>
  </si>
  <si>
    <t xml:space="preserve">Electrical stimulation of macaque lateral prefrontal cortex modulates oculomotor behavior indicative of a disruption of top-down attention</t>
  </si>
  <si>
    <t xml:space="preserve">Schwedhelm et al., 2017</t>
  </si>
  <si>
    <t xml:space="preserve">LPFC</t>
  </si>
  <si>
    <t xml:space="preserve">Microstimulation of dorsal premotor and primary motor cortex delays the volitional commitment to an action choice</t>
  </si>
  <si>
    <t xml:space="preserve">Thura &amp; Cisek, 2020</t>
  </si>
  <si>
    <t xml:space="preserve">PMd, M1</t>
  </si>
  <si>
    <t xml:space="preserve">Detection of optogenetic stimulation in somatosensory cortex by non-human primates--towards artificial tactile sensation</t>
  </si>
  <si>
    <t xml:space="preserve">May et al., 2014</t>
  </si>
  <si>
    <t xml:space="preserve">S1</t>
  </si>
  <si>
    <t xml:space="preserve">Effects of Microstimulation in the Anterior Intraparietal Area during Three-Dimensional Shape Categorization</t>
  </si>
  <si>
    <t xml:space="preserve">Verhoef et al., 2015</t>
  </si>
  <si>
    <t xml:space="preserve">AIP</t>
  </si>
  <si>
    <t xml:space="preserve">The effects of electrical microstimulation on cortical signal propagation</t>
  </si>
  <si>
    <t xml:space="preserve">Logothetis et al., 2010</t>
  </si>
  <si>
    <t xml:space="preserve">Saccade and blinking evoked by microstimulation of the posterior parietal association cortex of the monkey</t>
  </si>
  <si>
    <t xml:space="preserve">Shibutani et al., 1984</t>
  </si>
  <si>
    <t xml:space="preserve">Parietal (7a/b)</t>
  </si>
  <si>
    <t xml:space="preserve">Transient Pupil Dilation after Subsaccadic Microstimulation of Primate Frontal Eye Fields</t>
  </si>
  <si>
    <t xml:space="preserve">Lehmann et al., 2016</t>
  </si>
  <si>
    <t xml:space="preserve">High-frequency pallidal stimulation disrupts information flow through the pallidum by GABAergic inhibition</t>
  </si>
  <si>
    <t xml:space="preserve">Chiken &amp; Nambu, 2013</t>
  </si>
  <si>
    <t xml:space="preserve">Gpi, may be relevant</t>
  </si>
  <si>
    <t xml:space="preserve">No clear behaviour tested</t>
  </si>
  <si>
    <t xml:space="preserve">Selective activation of central thalamic fiber pathway facilitates behavioral performance in healthy non-human primates</t>
  </si>
  <si>
    <t xml:space="preserve">Janson et al., 2021</t>
  </si>
  <si>
    <t xml:space="preserve">The frequency of cortical microstimulation shapes artificial touch</t>
  </si>
  <si>
    <t xml:space="preserve">Callier et al., 2020</t>
  </si>
  <si>
    <t xml:space="preserve">A study of the feeding and social behaviour of the "Macacus rhesus" monkey after direct electrical stimulation and telestimulation of different points of the amygdala and the hippocampus</t>
  </si>
  <si>
    <t xml:space="preserve">Giammanco et al., 1973</t>
  </si>
  <si>
    <t xml:space="preserve">in italian</t>
  </si>
  <si>
    <t xml:space="preserve">hippocampus, amygdala</t>
  </si>
  <si>
    <t xml:space="preserve">Conditions that alter saccadic eye movement latencies and affect target choice to visual stimuli and to electrical stimulation of area V1 in the monkey</t>
  </si>
  <si>
    <t xml:space="preserve">Schiller et al., 2008</t>
  </si>
  <si>
    <t xml:space="preserve">Activation of SC during electrical stimulation of LGN: retinal antidromic stimulation or corticocollicular activation?</t>
  </si>
  <si>
    <t xml:space="preserve">Murayama et al., 2011</t>
  </si>
  <si>
    <t xml:space="preserve">Ventral midbrain stimulation induces perceptual learning and cortical plasticity in primates</t>
  </si>
  <si>
    <t xml:space="preserve">Arsenault &amp; Vanduffel., 2019</t>
  </si>
  <si>
    <t xml:space="preserve">Values encoded in orbitofrontal cortex are causally related to economic choices</t>
  </si>
  <si>
    <t xml:space="preserve">Ballesta et al., 2020</t>
  </si>
  <si>
    <t xml:space="preserve">OFC</t>
  </si>
  <si>
    <t xml:space="preserve">Effective Connectivity Reveals an Interconnected Inferotemporal Network for Three-Dimensional Structure Processing</t>
  </si>
  <si>
    <t xml:space="preserve">Premereur &amp; Janssen, 2020</t>
  </si>
  <si>
    <t xml:space="preserve">Striatal Microstimulation Induces Persistent and Repetitive Negative Decision-Making Predicted by Striatal Beta-Band Oscillation</t>
  </si>
  <si>
    <t xml:space="preserve">Amemori et al., 2018</t>
  </si>
  <si>
    <t xml:space="preserve">striatum</t>
  </si>
  <si>
    <t xml:space="preserve">Optogenetically induced behavioral and functional network changes in primates</t>
  </si>
  <si>
    <t xml:space="preserve">Gerits et al., 2012</t>
  </si>
  <si>
    <t xml:space="preserve">arcuate sulcus</t>
  </si>
  <si>
    <t xml:space="preserve">Sexual behavior in male rhesus monkeys elicited by electrical stimulation of preoptic and hypothalamic areas</t>
  </si>
  <si>
    <t xml:space="preserve">Perachio et al., 1979</t>
  </si>
  <si>
    <t xml:space="preserve">preoptic and hypothalamic areas</t>
  </si>
  <si>
    <t xml:space="preserve">The effect of face patch microstimulation on perception of faces and objects</t>
  </si>
  <si>
    <t xml:space="preserve">Moeller et al., 2017</t>
  </si>
  <si>
    <t xml:space="preserve">Intermittent Stimulation of the Nucleus Basalis of Meynert Improves Working Memory in Adult Monkeys</t>
  </si>
  <si>
    <t xml:space="preserve">Liu et al., 2017</t>
  </si>
  <si>
    <t xml:space="preserve">nucleus basalis</t>
  </si>
  <si>
    <t xml:space="preserve">Electrical microstimulation of the fastigial oculomotor region in the head-unrestrained monkey</t>
  </si>
  <si>
    <t xml:space="preserve">Quinet &amp; Goffart</t>
  </si>
  <si>
    <t xml:space="preserve">cerebellum</t>
  </si>
  <si>
    <t xml:space="preserve">Microstimulation of the monkey superior colliculus induces pupil dilation without evoking saccades</t>
  </si>
  <si>
    <t xml:space="preserve">Wang et al., 2012</t>
  </si>
  <si>
    <t xml:space="preserve">Distribution and characteristics of poststimulus effects in proximal and distal forelimb muscles from red nucleus in the monkey</t>
  </si>
  <si>
    <t xml:space="preserve">Belhaij-Saif et al., 1998</t>
  </si>
  <si>
    <t xml:space="preserve">Red Nucleus</t>
  </si>
  <si>
    <t xml:space="preserve">Electrical stimulation of the primate lateral habenula suppresses saccadic eye movement through a learning mechanism</t>
  </si>
  <si>
    <t xml:space="preserve">Mastumoto &amp; Hikosaka, 2011</t>
  </si>
  <si>
    <t xml:space="preserve">Lateral Habenula</t>
  </si>
  <si>
    <t xml:space="preserve">Normal correspondence of tectal maps for saccadic eye movements in strabismus</t>
  </si>
  <si>
    <t xml:space="preserve">Economides et al., 2016</t>
  </si>
  <si>
    <t xml:space="preserve">Strabismus though..</t>
  </si>
  <si>
    <t xml:space="preserve">Combined eye-head gaze shifts produced by electrical stimulation of the superior colliculus in rhesus monkeys</t>
  </si>
  <si>
    <t xml:space="preserve">Freedman &amp; Sparks, 1996</t>
  </si>
  <si>
    <t xml:space="preserve">Movement-related discharge in the macaque globus pallidus during high-frequency stimulation of the subthalamic nucleus</t>
  </si>
  <si>
    <t xml:space="preserve">Zimnik et al., 2015</t>
  </si>
  <si>
    <t xml:space="preserve">could be relevant though</t>
  </si>
  <si>
    <t xml:space="preserve">Nystagmus induced by stimulation of the nucleus of the optic tract in the monkey</t>
  </si>
  <si>
    <t xml:space="preserve">Schiff et al., 1988</t>
  </si>
  <si>
    <t xml:space="preserve">NOT</t>
  </si>
  <si>
    <t xml:space="preserve">Electrical stimulation of the frontal eye fields in the head-free macaque evokes kinematically normal 3D gaze shifts</t>
  </si>
  <si>
    <t xml:space="preserve">Monteon et al., 2010</t>
  </si>
  <si>
    <t xml:space="preserve">A map of object space in primate inferotemporal cortex</t>
  </si>
  <si>
    <t xml:space="preserve">Bao et al., 2020</t>
  </si>
  <si>
    <t xml:space="preserve">The dorsomedial frontal cortex of the rhesus monkey: topographic representation of saccades evoked by electrical stimulation</t>
  </si>
  <si>
    <t xml:space="preserve">Tehovnik &amp; Lee, 1993</t>
  </si>
  <si>
    <t xml:space="preserve">DMFC</t>
  </si>
  <si>
    <t xml:space="preserve">Effects of Optogenetic Activation of Corticothalamic Terminals in the Motor Thalamus of Awake Monkeys</t>
  </si>
  <si>
    <t xml:space="preserve">Galvan et al., 2016</t>
  </si>
  <si>
    <t xml:space="preserve">Motor thalamus</t>
  </si>
  <si>
    <t xml:space="preserve">Psychophysics of electrical stimulation of striate cortex in macaques</t>
  </si>
  <si>
    <t xml:space="preserve">Bartlett et al., 2005</t>
  </si>
  <si>
    <t xml:space="preserve">Cerebellar control of saccade dynamics: contribution of the fastigial oculomotor region</t>
  </si>
  <si>
    <t xml:space="preserve">Quinet &amp; Goffart, 2015</t>
  </si>
  <si>
    <t xml:space="preserve">Fastigial oculomotor region</t>
  </si>
  <si>
    <t xml:space="preserve">Head movements evoked by electrical stimulation in the frontal eye field of the monkey: evidence for independent eye and head control</t>
  </si>
  <si>
    <t xml:space="preserve">Chen, 2006</t>
  </si>
  <si>
    <t xml:space="preserve">Stochastic facilitation of artificial tactile sensation in primates</t>
  </si>
  <si>
    <t xml:space="preserve">Medina et al., 2012</t>
  </si>
  <si>
    <t xml:space="preserve">Proceptive presenting elicited by electrical stimulation of the female monkey hypothalamus</t>
  </si>
  <si>
    <t xml:space="preserve">Koyama et al., 1988</t>
  </si>
  <si>
    <t xml:space="preserve">Hypothalamus</t>
  </si>
  <si>
    <t xml:space="preserve">Electrical stimulation of male monkey's midbrain elicits components of sexual behavior</t>
  </si>
  <si>
    <t xml:space="preserve">Okada et al., 1991</t>
  </si>
  <si>
    <t xml:space="preserve">midbrain structures</t>
  </si>
  <si>
    <t xml:space="preserve">Transforming absolute value to categorical choice in primate superior colliculus during value-based decision making</t>
  </si>
  <si>
    <t xml:space="preserve">Zhang et al., 2021</t>
  </si>
  <si>
    <t xml:space="preserve">Post-decision processing in primate prefrontal cortex influences subsequent choices on an auditory decision-making task</t>
  </si>
  <si>
    <t xml:space="preserve">Tsunada et al., 2019</t>
  </si>
  <si>
    <t xml:space="preserve">vlPFC</t>
  </si>
  <si>
    <t xml:space="preserve">Causal Role of Motor Preparation during Error-Driven Learning</t>
  </si>
  <si>
    <t xml:space="preserve">Vyas et al., 2020</t>
  </si>
  <si>
    <t xml:space="preserve">Premotor cortex</t>
  </si>
  <si>
    <t xml:space="preserve">Creating a neuroprosthesis for active tactile exploration of textures</t>
  </si>
  <si>
    <t xml:space="preserve">O'Doherty et al., 2019</t>
  </si>
  <si>
    <t xml:space="preserve">FEF-microstimulation causes task-dependent modulation of occipital fMRI activity</t>
  </si>
  <si>
    <t xml:space="preserve">Premereur et al., 2012</t>
  </si>
  <si>
    <t xml:space="preserve">Electrical stimulation of the frontal eye field in a monkey produces combined eye and head movements</t>
  </si>
  <si>
    <t xml:space="preserve">Tu &amp; Keating, 2000</t>
  </si>
  <si>
    <t xml:space="preserve">Temporal patterning of saccadic eye movement signals</t>
  </si>
  <si>
    <t xml:space="preserve">Kimmel &amp; Moore, 2007</t>
  </si>
  <si>
    <t xml:space="preserve">Head movement evoked by electrical stimulation in the supplementary eye field of the rhesus monkey</t>
  </si>
  <si>
    <t xml:space="preserve">Chen &amp; Walton, 2005</t>
  </si>
  <si>
    <t xml:space="preserve">SEF</t>
  </si>
  <si>
    <t xml:space="preserve">Conversion of object identity to object-general semantic value in the primate temporal cortex</t>
  </si>
  <si>
    <t xml:space="preserve">Tamura et al., 2017</t>
  </si>
  <si>
    <t xml:space="preserve">electrical, optogenetic</t>
  </si>
  <si>
    <t xml:space="preserve">Perirhinal Cortex</t>
  </si>
  <si>
    <t xml:space="preserve">Evidence for a task-dependent switch in subthalamo-nigral basal ganglia signaling</t>
  </si>
  <si>
    <t xml:space="preserve">Jantz et al., 2017</t>
  </si>
  <si>
    <t xml:space="preserve">STN, SNr &amp; CN</t>
  </si>
  <si>
    <t xml:space="preserve">Microstimulation of monkey dorsolateral prefrontal cortex impairs antisaccade performance</t>
  </si>
  <si>
    <t xml:space="preserve">Wegener et al., 2008</t>
  </si>
  <si>
    <t xml:space="preserve">DLPFC</t>
  </si>
  <si>
    <t xml:space="preserve">Stimulation of the nucleus accumbens as behavioral reward in awake behaving monkeys</t>
  </si>
  <si>
    <t xml:space="preserve">Bichot et al., 2011</t>
  </si>
  <si>
    <t xml:space="preserve">NAc</t>
  </si>
  <si>
    <t xml:space="preserve">Electrical stimulation of the pontine omnipause area inhibits eye blink</t>
  </si>
  <si>
    <t xml:space="preserve">Mays &amp; Morisse, 1995</t>
  </si>
  <si>
    <t xml:space="preserve">no access</t>
  </si>
  <si>
    <t xml:space="preserve">Pontine omnipause area</t>
  </si>
  <si>
    <t xml:space="preserve">Inferior parietal lobule neurones related to eye and hand reach movements in rhesus monkey</t>
  </si>
  <si>
    <t xml:space="preserve">Blum, 1989</t>
  </si>
  <si>
    <t xml:space="preserve">Pulvinar, Arcuate Gyrus</t>
  </si>
  <si>
    <t xml:space="preserve">stimulation parameters not reported, very unclear how it affected behaviour</t>
  </si>
  <si>
    <t xml:space="preserve">Distinct Feedforward and Feedback Effects of Microstimulation in Visual Cortex Reveal Neural Mechanisms of Texture Segregation</t>
  </si>
  <si>
    <t xml:space="preserve">Klink et al., 2017</t>
  </si>
  <si>
    <t xml:space="preserve">V1, V4</t>
  </si>
  <si>
    <t xml:space="preserve">Activity in deep intermediate layer collicular neurons during interrupted saccades</t>
  </si>
  <si>
    <t xml:space="preserve">Keller et al., 2000</t>
  </si>
  <si>
    <t xml:space="preserve">Omnipause Neuron (OPN) region</t>
  </si>
  <si>
    <t xml:space="preserve">Independent feedback control of horizontal and vertical amplitude during oblique saccades evoked by electrical stimulation of the superior colliculus</t>
  </si>
  <si>
    <t xml:space="preserve">Nichols &amp; Sparks, 1996</t>
  </si>
  <si>
    <t xml:space="preserve">Spatial and temporal characteristics of V1 microstimulation during chronic implantation of a microelectrode array in a behaving macaque</t>
  </si>
  <si>
    <t xml:space="preserve">Davis et al., 2012</t>
  </si>
  <si>
    <t xml:space="preserve">Causal contribution of primate auditory cortex to auditory perceptual decision-making</t>
  </si>
  <si>
    <t xml:space="preserve">Tsunada et al., 2016</t>
  </si>
  <si>
    <t xml:space="preserve">Auditory cortex</t>
  </si>
  <si>
    <t xml:space="preserve">Saccades evoked in response to electrical stimulation of the posterior bank of the arcuate sulcus</t>
  </si>
  <si>
    <t xml:space="preserve">Neromyliotis &amp; Moschovakis, 2017</t>
  </si>
  <si>
    <t xml:space="preserve">Arcuate sulcus</t>
  </si>
  <si>
    <t xml:space="preserve">Suppression of task-related saccades by electrical stimulation in the primate's frontal eye field</t>
  </si>
  <si>
    <t xml:space="preserve">Burman &amp; Bruce, 1997</t>
  </si>
  <si>
    <t xml:space="preserve">Selective Modulation of the Pupil Light Reflex by Microstimulation of Prefrontal Cortex</t>
  </si>
  <si>
    <t xml:space="preserve">Ebitz &amp; Moore, 2017</t>
  </si>
  <si>
    <t xml:space="preserve">Perturbation of Macaque Supplementary Motor Area Produces Context-Independent Changes in the Probability of Movement Initiation</t>
  </si>
  <si>
    <t xml:space="preserve">Zimnik et al., 2019</t>
  </si>
  <si>
    <t xml:space="preserve">SMA</t>
  </si>
  <si>
    <t xml:space="preserve">Causal Evidence of Motion Signals in Macaque Middle Temporal Area Weighted-Pooled for Global Heading Perception</t>
  </si>
  <si>
    <t xml:space="preserve">Yu et al., 2018</t>
  </si>
  <si>
    <t xml:space="preserve">Coordination of eye and head components of movements evoked by stimulation of the paramedian pontine reticular formation</t>
  </si>
  <si>
    <t xml:space="preserve">Gandhi et al., 2008</t>
  </si>
  <si>
    <t xml:space="preserve">PPRF</t>
  </si>
  <si>
    <t xml:space="preserve">Role of the primate ventral tegmental area in reinforcement and motivation</t>
  </si>
  <si>
    <t xml:space="preserve">Arsenault et al., 2014</t>
  </si>
  <si>
    <t xml:space="preserve">CONDITIONED REFLEXES ELICITED BY ELECTRICAL STIMULATION OF THE BRAIN IN MACAQUES</t>
  </si>
  <si>
    <t xml:space="preserve">Doty, 1965</t>
  </si>
  <si>
    <t xml:space="preserve">various targets</t>
  </si>
  <si>
    <t xml:space="preserve">Frontal eye field microstimulation induces task-dependent gamma oscillations in the lateral intraparietal area</t>
  </si>
  <si>
    <t xml:space="preserve">Cortical plasticity induced by spike-triggered microstimulation in primate somatosensory cortex</t>
  </si>
  <si>
    <t xml:space="preserve">Song et al., 2013</t>
  </si>
  <si>
    <t xml:space="preserve">Comparison of saccades evoked by visual stimulation and collicular electrical stimulation in the alert monkey</t>
  </si>
  <si>
    <t xml:space="preserve">Opstal et al., 1990</t>
  </si>
  <si>
    <t xml:space="preserve">Microstimulation of macaque V1 disrupts target selection: effects of stimulation polarity</t>
  </si>
  <si>
    <t xml:space="preserve">Tehovnik &amp; Slocum, 2003</t>
  </si>
  <si>
    <t xml:space="preserve">Somatosensory encoding with cuneate nucleus microstimulation: Detection of artificial stimuli</t>
  </si>
  <si>
    <t xml:space="preserve">Sritharan et al., 2016</t>
  </si>
  <si>
    <t xml:space="preserve">CN (cuneate nucleus)</t>
  </si>
  <si>
    <t xml:space="preserve">Microstimulation of inferotemporal cortex influences face categorization</t>
  </si>
  <si>
    <t xml:space="preserve">Afraz et al., 2006</t>
  </si>
  <si>
    <t xml:space="preserve">Behavioral time course of microstimulation in cortical area MT</t>
  </si>
  <si>
    <t xml:space="preserve">Masse &amp; Cook, 2010</t>
  </si>
  <si>
    <t xml:space="preserve">Primate frontal eye fields. II. Physiological and anatomical correlates of electrically evoked eye movements</t>
  </si>
  <si>
    <t xml:space="preserve">Bruce et al., 1985</t>
  </si>
  <si>
    <t xml:space="preserve">Modulation of the contrast response function by electrical microstimulation of the macaque frontal eye field</t>
  </si>
  <si>
    <t xml:space="preserve">Ekstrom et al., 2009</t>
  </si>
  <si>
    <t xml:space="preserve">Site and parameters of microstimulation: evidence for independent effects on the properties of saccades evoked from the primate superior colliculus</t>
  </si>
  <si>
    <t xml:space="preserve">Stanford et al., 1996</t>
  </si>
  <si>
    <t xml:space="preserve">Muscle synergies obtained from comprehensive mapping of the primary motor cortex forelimb representation using high-frequency, long-duration ICMS</t>
  </si>
  <si>
    <t xml:space="preserve">Huffmaster et al., 2017</t>
  </si>
  <si>
    <t xml:space="preserve">Ipsilateral head and centring eye movements evoked from monkey premotor cortex</t>
  </si>
  <si>
    <t xml:space="preserve">Boulanger et al., 2009</t>
  </si>
  <si>
    <t xml:space="preserve">ventral premotor area</t>
  </si>
  <si>
    <t xml:space="preserve">Behavioral detection of electrical microstimulation in different cortical visual areas</t>
  </si>
  <si>
    <t xml:space="preserve">Murphey &amp; Maunsell, 2007</t>
  </si>
  <si>
    <t xml:space="preserve">V1, V2, V3A, MT</t>
  </si>
  <si>
    <t xml:space="preserve">The premotor cortex of the monkey</t>
  </si>
  <si>
    <t xml:space="preserve">Weinrich &amp; Wise, 1982</t>
  </si>
  <si>
    <t xml:space="preserve">premotor cortex</t>
  </si>
  <si>
    <t xml:space="preserve">Microstimulation of macaque area LIP affects decision-making in a motion discrimination task</t>
  </si>
  <si>
    <t xml:space="preserve">Hanks et al., 2006</t>
  </si>
  <si>
    <t xml:space="preserve">LIP</t>
  </si>
  <si>
    <t xml:space="preserve">Saccade trajectories evoked by sequential and colliding stimulation of the monkey superior colliculus</t>
  </si>
  <si>
    <t xml:space="preserve">Noto &amp; Gnadt, 2009</t>
  </si>
  <si>
    <t xml:space="preserve">Electrical microstimulation of primate posterior parietal cortex initiates orienting and alerting components of covert attention</t>
  </si>
  <si>
    <t xml:space="preserve">Cutrell &amp; Marrocco, 2002</t>
  </si>
  <si>
    <t xml:space="preserve">PPC</t>
  </si>
  <si>
    <t xml:space="preserve">Differential effects of laminar stimulation of V1 cortex on target selection by macaque monkeys</t>
  </si>
  <si>
    <t xml:space="preserve">Tehovnik et al., 2002</t>
  </si>
  <si>
    <t xml:space="preserve">Ventral premotor-motor cortex interactions in the macaque monkey during grasp: response of single neurons to intracortical microstimulation</t>
  </si>
  <si>
    <t xml:space="preserve">Kraskov et al., 2011 </t>
  </si>
  <si>
    <t xml:space="preserve">F5</t>
  </si>
  <si>
    <t xml:space="preserve">New methods devised specify the size and color of the spots monkeys see when striate cortex (area V1) is electrically stimulated</t>
  </si>
  <si>
    <t xml:space="preserve">Schiller et al., 2011</t>
  </si>
  <si>
    <t xml:space="preserve">Premereur et al., 2015</t>
  </si>
  <si>
    <t xml:space="preserve">Intraparietal sulcus</t>
  </si>
  <si>
    <t xml:space="preserve">Hijacking cortical motor output with repetitive microstimulation</t>
  </si>
  <si>
    <t xml:space="preserve">Griffin et al., 2011</t>
  </si>
  <si>
    <t xml:space="preserve">Microstimulation of extrastriate area MST influences performance on a direction discrimination task</t>
  </si>
  <si>
    <t xml:space="preserve">Celibrini &amp; Newsome, 1995</t>
  </si>
  <si>
    <t xml:space="preserve">MST</t>
  </si>
  <si>
    <t xml:space="preserve">Depth-dependent detection of microampere currents delivered to monkey V1</t>
  </si>
  <si>
    <t xml:space="preserve">Tehovnik &amp; Slocum, 2009</t>
  </si>
  <si>
    <t xml:space="preserve">The relative impact of microstimulation parameters on movement generation</t>
  </si>
  <si>
    <t xml:space="preserve">Katnani &amp; Gandhi, 2012</t>
  </si>
  <si>
    <t xml:space="preserve">Interactions between visually and electrically elicited saccades before and after superior colliculus and frontal eye field ablations in the rhesus monkey</t>
  </si>
  <si>
    <t xml:space="preserve">Schiller &amp; Sandell, 1983</t>
  </si>
  <si>
    <t xml:space="preserve">FEF, SC</t>
  </si>
  <si>
    <t xml:space="preserve">Electrical stimulation of the supplementary eye fields in the head-free macaque evokes kinematically normal gaze shifts</t>
  </si>
  <si>
    <t xml:space="preserve">Martinez-Trujillo et al., 2003</t>
  </si>
  <si>
    <t xml:space="preserve">Effects of cortical microstimulation on confidence in a perceptual decision</t>
  </si>
  <si>
    <t xml:space="preserve">Fetsch et al., 2014</t>
  </si>
  <si>
    <t xml:space="preserve">Microstimulation reveals limits in detecting different signals from a local cortical region</t>
  </si>
  <si>
    <t xml:space="preserve">Ni &amp; Maunsell, 2010</t>
  </si>
  <si>
    <t xml:space="preserve">Optogenetic manipulation of a value-coding pathway from the primate caudate tail facilitates saccadic gaze shift</t>
  </si>
  <si>
    <t xml:space="preserve">Amita et al., 2020</t>
  </si>
  <si>
    <t xml:space="preserve">Representation of an abstract perceptual decision in macaque superior colliculus</t>
  </si>
  <si>
    <t xml:space="preserve">Horwitz et al., 2004</t>
  </si>
  <si>
    <t xml:space="preserve">Effects of anterior cingulate microstimulation on pro- and antisaccades in nonhuman primates</t>
  </si>
  <si>
    <t xml:space="preserve">Phillips et al., 2011</t>
  </si>
  <si>
    <t xml:space="preserve">ACC</t>
  </si>
  <si>
    <t xml:space="preserve">Facilitation of smooth pursuit initiation by electrical stimulation in the supplementary eye fields</t>
  </si>
  <si>
    <t xml:space="preserve">Missal &amp; Heinen, 2001</t>
  </si>
  <si>
    <t xml:space="preserve">Behavioral assessment of sensitivity to intracortical microstimulation of primate somatosensory cortex</t>
  </si>
  <si>
    <t xml:space="preserve">Kim et al., 2015</t>
  </si>
  <si>
    <t xml:space="preserve">Local domains of motor cortical activity revealed by fiber-optic calcium recordings in behaving nonhuman primates</t>
  </si>
  <si>
    <t xml:space="preserve">Adelsberger et al., 2013</t>
  </si>
  <si>
    <t xml:space="preserve">Background luminance affects the detection of microampere currents delivered to macaque striate cortex</t>
  </si>
  <si>
    <t xml:space="preserve">Parietal area VIP causally influences heading perception during pursuit eye movements</t>
  </si>
  <si>
    <t xml:space="preserve">Zhang &amp; Britten, 2011</t>
  </si>
  <si>
    <t xml:space="preserve">VIP</t>
  </si>
  <si>
    <t xml:space="preserve">Competition between saccade goals in the superior colliculus produces saccade curvature</t>
  </si>
  <si>
    <t xml:space="preserve">McPeek et al., 2003</t>
  </si>
  <si>
    <t xml:space="preserve">Microstimulation of V1 delays visually guided saccades: a parametric evaluation of delay fields</t>
  </si>
  <si>
    <t xml:space="preserve">Tehovnik &amp; Slocum, 2007</t>
  </si>
  <si>
    <t xml:space="preserve">Common inhibitory mechanism for saccades and smooth-pursuit eye movements</t>
  </si>
  <si>
    <t xml:space="preserve">Missal &amp; Keller, 2002</t>
  </si>
  <si>
    <t xml:space="preserve">OPN (pons)</t>
  </si>
  <si>
    <t xml:space="preserve">The midbrain periaqueductal gray: a brainstem structure involved in vocalization</t>
  </si>
  <si>
    <t xml:space="preserve">Larson, 1985</t>
  </si>
  <si>
    <t xml:space="preserve">PAG</t>
  </si>
  <si>
    <t xml:space="preserve">Activity of cells in the deeper layers of the superior colliculus of the rhesus monkey: evidence for a gaze displacement command</t>
  </si>
  <si>
    <t xml:space="preserve">Freedman &amp; Sparks, 1997</t>
  </si>
  <si>
    <t xml:space="preserve">recordings</t>
  </si>
  <si>
    <t xml:space="preserve">Temporal gating of neural signals during performance of a visual discrimination task</t>
  </si>
  <si>
    <t xml:space="preserve">Seidemann et al., 1998</t>
  </si>
  <si>
    <t xml:space="preserve">Attention governs action in the primate frontal eye field</t>
  </si>
  <si>
    <t xml:space="preserve">Schafer &amp; Moore, 2007</t>
  </si>
  <si>
    <t xml:space="preserve">Some results obtained by electrical stimulation of the cortex of the island of Reil in the brain of the monkey (Macaca mulatta)</t>
  </si>
  <si>
    <t xml:space="preserve">Frontera, 1956</t>
  </si>
  <si>
    <t xml:space="preserve">Insula (island of Reil)</t>
  </si>
  <si>
    <t xml:space="preserve">Bottom-up dependent gating of frontal signals in early visual cortex</t>
  </si>
  <si>
    <t xml:space="preserve">Ekstrom et al., 2008</t>
  </si>
  <si>
    <t xml:space="preserve">Electrical microstimulation suggests two different forms of representation of head-centered space in the intraparietal sulcus of rhesus monkeys</t>
  </si>
  <si>
    <t xml:space="preserve">Their &amp; Andersen, 1996</t>
  </si>
  <si>
    <t xml:space="preserve">IPS</t>
  </si>
  <si>
    <t xml:space="preserve">Enhancement of multiple components of pursuit eye movement by microstimulation in the arcuate frontal pursuit area in monkeys</t>
  </si>
  <si>
    <t xml:space="preserve">Tanaka &amp; Lisberger, 2002</t>
  </si>
  <si>
    <t xml:space="preserve">Microstimulation in visual area MT: effects on direction discrimination performance</t>
  </si>
  <si>
    <t xml:space="preserve">Salzman et al., 1992</t>
  </si>
  <si>
    <t xml:space="preserve">Intracortical microstimulation of supplementary eye field impairs ability of monkeys to make serially ordered saccades</t>
  </si>
  <si>
    <t xml:space="preserve">Berdyyeva &amp; Olson, 2014</t>
  </si>
  <si>
    <t xml:space="preserve">Cortical microstimulation influences perceptual judgements of motion direction</t>
  </si>
  <si>
    <t xml:space="preserve">Salzman et al., 1990</t>
  </si>
  <si>
    <t xml:space="preserve">Consistent features in the forelimb representation of primary motor cortex in rhesus macaques</t>
  </si>
  <si>
    <t xml:space="preserve">Park et al., 2001</t>
  </si>
  <si>
    <t xml:space="preserve">Middle temporal visual area microstimulation influences veridical judgments of motion direction</t>
  </si>
  <si>
    <t xml:space="preserve">Nichols &amp; Newsome, 2002</t>
  </si>
  <si>
    <t xml:space="preserve">Vergence neurons identified in the rostral superior colliculus code smooth eye movements in 3D space</t>
  </si>
  <si>
    <t xml:space="preserve">Horn et al., 2013</t>
  </si>
  <si>
    <t xml:space="preserve">Cortical area MT and the perception of stereoscopic depth</t>
  </si>
  <si>
    <t xml:space="preserve">DeAngelis et al., 1998</t>
  </si>
  <si>
    <t xml:space="preserve">Afferent subcortical connections into the motor cortical larynx area in the rhesus monkey</t>
  </si>
  <si>
    <t xml:space="preserve">Simonyan &amp; Jurgens, 2005</t>
  </si>
  <si>
    <t xml:space="preserve">Inferior Motor Cortex</t>
  </si>
  <si>
    <t xml:space="preserve">Saccade reaction times are influenced by caudate microstimulation following and prior to visual stimulus appearance</t>
  </si>
  <si>
    <t xml:space="preserve">Watanabe &amp; Munoz, 2011</t>
  </si>
  <si>
    <t xml:space="preserve">Primate drinking system as defined by electrical stimulation of the brain (ESB)</t>
  </si>
  <si>
    <t xml:space="preserve">Bowden et al., 1975</t>
  </si>
  <si>
    <t xml:space="preserve">Various sites</t>
  </si>
  <si>
    <t xml:space="preserve">Very mixed results, not sure what to make of this study</t>
  </si>
  <si>
    <t xml:space="preserve">Effect of microstimulation of the superior colliculus on visual space attention</t>
  </si>
  <si>
    <t xml:space="preserve">Gattass &amp; Desimone, 2014</t>
  </si>
  <si>
    <t xml:space="preserve">Short reaction times in response to multi-electrode intracortical microstimulation may provide a basis for rapid movement-related feedback</t>
  </si>
  <si>
    <t xml:space="preserve">Sombeck &amp; Miller, 2019</t>
  </si>
  <si>
    <t xml:space="preserve">S2</t>
  </si>
  <si>
    <t xml:space="preserve">Collicular microstimulation during passive rotation does not generate fixed gaze shifts</t>
  </si>
  <si>
    <t xml:space="preserve">Beuzekom &amp; Van Gisbergen</t>
  </si>
  <si>
    <t xml:space="preserve">Microstimulation activates a handful of muscle synergies</t>
  </si>
  <si>
    <t xml:space="preserve">Overduin et al., 2012</t>
  </si>
  <si>
    <t xml:space="preserve">Correlation between speed perception and neural activity in the middle temporal visual area</t>
  </si>
  <si>
    <t xml:space="preserve">Liu &amp; Newsome, 2005</t>
  </si>
  <si>
    <t xml:space="preserve">Lateral inhibitory interactions in the intermediate layers of the monkey superior colliculus</t>
  </si>
  <si>
    <t xml:space="preserve">Munoz &amp; Istvan, 1998</t>
  </si>
  <si>
    <t xml:space="preserve">Mapping Horizontal Spread of Activity in Monkey Motor Cortex Using Single Pulse Microstimulation</t>
  </si>
  <si>
    <t xml:space="preserve">Hao et al., 2016</t>
  </si>
  <si>
    <t xml:space="preserve">Causal links between dorsal medial superior temporal area neurons and multisensory heading perception</t>
  </si>
  <si>
    <t xml:space="preserve">Gu et al., 2012</t>
  </si>
  <si>
    <t xml:space="preserve">Long-term stability of sensitivity to intracortical microstimulation of somatosensory cortex</t>
  </si>
  <si>
    <t xml:space="preserve">Callier et al., 2015</t>
  </si>
  <si>
    <t xml:space="preserve">Selective enhancement of associative learning by microstimulation of the anterior caudate</t>
  </si>
  <si>
    <t xml:space="preserve">Williams &amp; Eskandar, 2006</t>
  </si>
  <si>
    <t xml:space="preserve">Somatosensory discrimination based on cortical microstimulation</t>
  </si>
  <si>
    <t xml:space="preserve">Romo et al., 1998</t>
  </si>
  <si>
    <t xml:space="preserve">Microstimulation of V1 affects the detection of visual targets: manipulation of target contrast</t>
  </si>
  <si>
    <t xml:space="preserve">Tehovnik &amp; Slocum, 2005</t>
  </si>
  <si>
    <t xml:space="preserve">Microstimulation of frontal cortex can reorder a remembered spatial sequence</t>
  </si>
  <si>
    <t xml:space="preserve">Histed &amp; Miller, 2006</t>
  </si>
  <si>
    <t xml:space="preserve">Facilitation of memory encoding in primate hippocampus by a neuroprosthesis that promotes task-specific neural firing</t>
  </si>
  <si>
    <t xml:space="preserve">Hampson et al., 2013</t>
  </si>
  <si>
    <t xml:space="preserve">Hippocampus</t>
  </si>
  <si>
    <t xml:space="preserve">Paired stimulation of the frontal eye fields and the euperior colliculus of the rhesus monkey</t>
  </si>
  <si>
    <t xml:space="preserve">Schiller et al., 1979</t>
  </si>
  <si>
    <t xml:space="preserve">SC, FEF</t>
  </si>
  <si>
    <t xml:space="preserve">Modification of saccades evoked by stimulation of frontal eye field during invisible target tracking</t>
  </si>
  <si>
    <t xml:space="preserve">Barborica &amp; Ferrera, 2004</t>
  </si>
  <si>
    <t xml:space="preserve">PFC</t>
  </si>
  <si>
    <t xml:space="preserve">Behavioral demonstration of a somatosensory neuroprosthesis</t>
  </si>
  <si>
    <t xml:space="preserve">Berg et al., 2013</t>
  </si>
  <si>
    <t xml:space="preserve">Microstimulation in visual area MT: effects of varying pulse amplitude and frequency</t>
  </si>
  <si>
    <t xml:space="preserve">Murasugi et al., 1993</t>
  </si>
  <si>
    <t xml:space="preserve">Perturbation of Posterior Inferior Temporal Cortical Activity Impairs Coarse Orientation Discrimination</t>
  </si>
  <si>
    <t xml:space="preserve">Adab &amp; Vogels, 2016</t>
  </si>
  <si>
    <t xml:space="preserve">PIT</t>
  </si>
  <si>
    <t xml:space="preserve">Saccadic eye movements evoked by microstimulation of striate cortex</t>
  </si>
  <si>
    <t xml:space="preserve">Tehovnik et al., 2003</t>
  </si>
  <si>
    <t xml:space="preserve">Microstimulation of the midbrain tegmentum creates learning signals for saccade adaptation</t>
  </si>
  <si>
    <t xml:space="preserve">Kojima et al., 2007</t>
  </si>
  <si>
    <t xml:space="preserve">midbrain tegmentum</t>
  </si>
  <si>
    <t xml:space="preserve">Learning to recognize visual objects with microstimulation in inferior temporal cortex</t>
  </si>
  <si>
    <t xml:space="preserve">Kawasaki &amp; Sheinberg, 2008</t>
  </si>
  <si>
    <t xml:space="preserve">inferior temporal cortex</t>
  </si>
  <si>
    <t xml:space="preserve">A distinct contribution of the frontal eye field to the visual representation of saccadic targets</t>
  </si>
  <si>
    <t xml:space="preserve">Noudoost et al., 2014</t>
  </si>
  <si>
    <t xml:space="preserve">Effective intracortical microstimulation parameters applied to primary motor cortex for evoking forelimb movements to stable spatial end points</t>
  </si>
  <si>
    <t xml:space="preserve">Van Acker III et al., 2013</t>
  </si>
  <si>
    <t xml:space="preserve">Understanding how the brain changes its mind: microstimulation in the macaque frontal eye field reveals how saccade plans are changed</t>
  </si>
  <si>
    <t xml:space="preserve">Ramakrishnan et al., 2012</t>
  </si>
  <si>
    <t xml:space="preserve">Enhancement of visual responses of area 7 neurons by electrical pre-conditioning stimulation of LP-pulvinar nuclei of the monkey</t>
  </si>
  <si>
    <t xml:space="preserve">Blum, 1985</t>
  </si>
  <si>
    <t xml:space="preserve">Pulvinar</t>
  </si>
  <si>
    <t xml:space="preserve">Stimulation in the rostral pole of monkey superior colliculus: effects on vergence eye movements</t>
  </si>
  <si>
    <t xml:space="preserve">Chaturvedi &amp; Van Gisbergen</t>
  </si>
  <si>
    <t xml:space="preserve">Smooth-pursuit eye movement representation in the primate frontal eye field</t>
  </si>
  <si>
    <t xml:space="preserve">MacAvoy et al., 1991</t>
  </si>
  <si>
    <t xml:space="preserve">elecrical</t>
  </si>
  <si>
    <t xml:space="preserve">Role of the oculomotor vermis in generating pursuit and saccades: effects of microstimulation</t>
  </si>
  <si>
    <t xml:space="preserve">Krauzlis &amp; Miles, 1998</t>
  </si>
  <si>
    <t xml:space="preserve">Cerebellum (oculomotor vermis)</t>
  </si>
  <si>
    <t xml:space="preserve">Organization of the face representation in macaque motor cortex</t>
  </si>
  <si>
    <t xml:space="preserve">McGuinness et al., 1980 </t>
  </si>
  <si>
    <t xml:space="preserve">Motor cortex</t>
  </si>
  <si>
    <t xml:space="preserve">The influence of behavioral context on the representation of a perceptual decision in developing oculomotor commands</t>
  </si>
  <si>
    <t xml:space="preserve">Gold &amp; Shadlen, 2003</t>
  </si>
  <si>
    <t xml:space="preserve">Perturbation of combined saccade-vergence movements by microstimulation in monkey superior colliculus</t>
  </si>
  <si>
    <t xml:space="preserve">Chaturvedi &amp; Van Gisbergen, 1999</t>
  </si>
  <si>
    <t xml:space="preserve">Microstimulation of V1 input layers disrupts the selection and detection of visual targets by monkeys</t>
  </si>
  <si>
    <t xml:space="preserve">Slocum &amp; Tehovnik, 2004</t>
  </si>
  <si>
    <t xml:space="preserve">Area MST and heading perception in macaque monkeys</t>
  </si>
  <si>
    <t xml:space="preserve">Britten &amp; Van Wezel, 2002</t>
  </si>
  <si>
    <t xml:space="preserve">Facilitation of saccadic eye movements by postsaccadic electrical stimulation in the primate caudate</t>
  </si>
  <si>
    <t xml:space="preserve">Nakamura &amp; Hikosaka, 2006</t>
  </si>
  <si>
    <t xml:space="preserve">Somatotopy of monkey premotor cortex examined with microstimulation</t>
  </si>
  <si>
    <t xml:space="preserve">Godschalk et al., 1995</t>
  </si>
  <si>
    <t xml:space="preserve">Midbrain reticular stimulation and brightness detection</t>
  </si>
  <si>
    <t xml:space="preserve">Frizzi, 1997</t>
  </si>
  <si>
    <t xml:space="preserve">Reticular formation</t>
  </si>
  <si>
    <t xml:space="preserve">Delaying visually guided saccades by microstimulation of macaque V1: spatial properties of delay fields</t>
  </si>
  <si>
    <t xml:space="preserve">Tehovnik et al., 2005</t>
  </si>
  <si>
    <t xml:space="preserve">Neuronal evidence for individual eye control in the primate cMRF</t>
  </si>
  <si>
    <t xml:space="preserve">Waitzman et al., 2008</t>
  </si>
  <si>
    <t xml:space="preserve">cMRF</t>
  </si>
  <si>
    <t xml:space="preserve">Microstimulation mapping of precentral cortex during trained movements</t>
  </si>
  <si>
    <t xml:space="preserve">Schmidt &amp; McIntosh, 1990</t>
  </si>
  <si>
    <t xml:space="preserve">Precentral cortex</t>
  </si>
  <si>
    <t xml:space="preserve">Microstimulation of V1 delays the execution of visually guided saccades</t>
  </si>
  <si>
    <t xml:space="preserve">Tehovnik et al., 2004</t>
  </si>
  <si>
    <t xml:space="preserve">Properties of primary motor cortex output to forelimb muscles in rhesus macaques</t>
  </si>
  <si>
    <t xml:space="preserve">Park et al., 2004</t>
  </si>
  <si>
    <t xml:space="preserve">Effect of short-term saccadic adaptation on saccades evoked by electrical stimulation in the primate superior colliculus</t>
  </si>
  <si>
    <t xml:space="preserve">Edelman &amp; Goldberg, 2002</t>
  </si>
  <si>
    <t xml:space="preserve">Conditional task-related responses in monkey dorsomedial frontal cortex</t>
  </si>
  <si>
    <t xml:space="preserve">Mann et al., 1988</t>
  </si>
  <si>
    <t xml:space="preserve">Organization of the cerebellar tongue representation in the monkey</t>
  </si>
  <si>
    <t xml:space="preserve">Bowman &amp; Aldes, 1980</t>
  </si>
  <si>
    <t xml:space="preserve">Cerebellum (DN &amp; FN)</t>
  </si>
  <si>
    <t xml:space="preserve">Supplementary eye fields stimulation facilitates anticipatory pursuit</t>
  </si>
  <si>
    <t xml:space="preserve">Missal &amp; Heinen, 2004</t>
  </si>
  <si>
    <t xml:space="preserve">Separate, causal roles of the caudate in saccadic choice and execution in a perceptual decision task</t>
  </si>
  <si>
    <t xml:space="preserve">Ding &amp; Gold, 2012</t>
  </si>
  <si>
    <t xml:space="preserve">The frontal eye field provides the goal of saccadic eye movement</t>
  </si>
  <si>
    <t xml:space="preserve">Dassonville et al., 1992</t>
  </si>
  <si>
    <t xml:space="preserve">Doing without learning: stimulation of the frontal eye fields and floccular complex does not instruct motor learning in smooth pursuit eye movements</t>
  </si>
  <si>
    <t xml:space="preserve">Heuer et al., 2008</t>
  </si>
  <si>
    <t xml:space="preserve">FEF, Cerebellum</t>
  </si>
  <si>
    <t xml:space="preserve">Behavioural conditions affecting saccadic eye movements elicited electrically from the frontal lobes of primates</t>
  </si>
  <si>
    <t xml:space="preserve">Tehovnik et al., 1999</t>
  </si>
  <si>
    <t xml:space="preserve">DMFC, FEF</t>
  </si>
  <si>
    <t xml:space="preserve">Sensing without touching: psychophysical performance based on cortical microstimulation</t>
  </si>
  <si>
    <t xml:space="preserve">Romo et al., 2000</t>
  </si>
  <si>
    <t xml:space="preserve">Microstimulation of the dorsolateral prefrontal cortex biases saccade target selection</t>
  </si>
  <si>
    <t xml:space="preserve">The effect of attentive fixation on eye movements evoked by electrical stimulation of the frontal eye fields</t>
  </si>
  <si>
    <t xml:space="preserve">Goldberg et al., 1986</t>
  </si>
  <si>
    <t xml:space="preserve">Modified saccades evoked by stimulation of the macaque superior colliculus account for properties of the resettable integrator</t>
  </si>
  <si>
    <t xml:space="preserve">Kustov &amp; Robinson, 1995</t>
  </si>
  <si>
    <t xml:space="preserve">Topography of projections to the frontal lobe from the macaque frontal eye fields</t>
  </si>
  <si>
    <t xml:space="preserve">Stanton et al., 1993</t>
  </si>
  <si>
    <t xml:space="preserve">Not the main study though</t>
  </si>
  <si>
    <t xml:space="preserve">Patches with links: a unified system for processing faces in the macaque temporal lobe</t>
  </si>
  <si>
    <t xml:space="preserve">Moeller et al., 2008</t>
  </si>
  <si>
    <t xml:space="preserve">Inferior temporal cortex</t>
  </si>
  <si>
    <t xml:space="preserve">Not sure if they tested behaviour..</t>
  </si>
  <si>
    <t xml:space="preserve">Microstimulation of visual cortex affects the speed of perceptual decisions</t>
  </si>
  <si>
    <t xml:space="preserve">Ditterich et al., 2003</t>
  </si>
  <si>
    <t xml:space="preserve">The collicular code of saccade direction depends on the roll orientation of the head relative to gravity</t>
  </si>
  <si>
    <t xml:space="preserve">Frens et al., 1998</t>
  </si>
  <si>
    <t xml:space="preserve">Behavioural state affects saccadic eye movements evoked by microstimulation of striate cortex</t>
  </si>
  <si>
    <t xml:space="preserve">The role of the frontal pursuit area in learning in smooth pursuit eye movements</t>
  </si>
  <si>
    <t xml:space="preserve">Chou &amp; Lisberger, 2004</t>
  </si>
  <si>
    <t xml:space="preserve">FPA, frontal cortex</t>
  </si>
  <si>
    <t xml:space="preserve">Endpoint accuracy in saccades interrupted by stimulation in the omnipause region in monkey</t>
  </si>
  <si>
    <t xml:space="preserve">Keller et al., 1996</t>
  </si>
  <si>
    <t xml:space="preserve">Primary motor cortex receives input from area 3a in macaques</t>
  </si>
  <si>
    <t xml:space="preserve">Huerta &amp; Pons, 1990</t>
  </si>
  <si>
    <t xml:space="preserve">Supplementary and precentral motor cortex: contrast in responsiveness to peripheral input in the hindlimb area of the unanesthetized monkey</t>
  </si>
  <si>
    <t xml:space="preserve">Wise &amp; Tanji, 1981</t>
  </si>
  <si>
    <t xml:space="preserve">M1, M2</t>
  </si>
  <si>
    <t xml:space="preserve">Role of monkey nucleus reticularis tegmenti pontis in the stabilization of Listing's plane</t>
  </si>
  <si>
    <t xml:space="preserve">Van Opstal et al., 1996</t>
  </si>
  <si>
    <t xml:space="preserve">cNRTP (Pons)</t>
  </si>
  <si>
    <t xml:space="preserve">Laminar variation in threshold for detection of electrical excitation of striate cortex by macaques</t>
  </si>
  <si>
    <t xml:space="preserve">DeYoe et al., 2005</t>
  </si>
  <si>
    <t xml:space="preserve">Microstimulation of posterior parietal cortex biases the selection of eye movement goals during search</t>
  </si>
  <si>
    <t xml:space="preserve">Mirpour et al., 2010</t>
  </si>
  <si>
    <t xml:space="preserve">Manipulating intent: evidence for a causal role of the superior colliculus in target selection</t>
  </si>
  <si>
    <t xml:space="preserve">Carello &amp; Krauzlis, 2004</t>
  </si>
  <si>
    <t xml:space="preserve">Electrical microstimulation of cortical area MST biases heading perception in monkeys</t>
  </si>
  <si>
    <t xml:space="preserve">Britten &amp; Van Wezel, 1998</t>
  </si>
  <si>
    <t xml:space="preserve">Functional heterogeneity of the monkey lateral hypothalamus in the control of feeding</t>
  </si>
  <si>
    <t xml:space="preserve">Aou et al., 1991</t>
  </si>
  <si>
    <t xml:space="preserve">Lateral Hypothalamus</t>
  </si>
  <si>
    <t xml:space="preserve">Delaying forelimb responses by microstimulation of macaque V1</t>
  </si>
  <si>
    <t xml:space="preserve">The somatotopic organization of the supplementary motor area: intracortical microstimulation mapping</t>
  </si>
  <si>
    <t xml:space="preserve">Mitz &amp; Wise, 1987</t>
  </si>
  <si>
    <t xml:space="preserve">The effect of microstimulation of the oculomotor vermis on discharges of fastigial neurons and visually-directed saccades in macaques</t>
  </si>
  <si>
    <t xml:space="preserve">Ohtsuka &amp; Noda, 1991</t>
  </si>
  <si>
    <t xml:space="preserve">Cerebellum (Oculomotor vermis)</t>
  </si>
  <si>
    <t xml:space="preserve">Topographic distribution of fixation-related units in the dorsomedial frontal cortex of the rhesus monkey</t>
  </si>
  <si>
    <t xml:space="preserve">Lee &amp; Tehovnik, 1995</t>
  </si>
  <si>
    <t xml:space="preserve">Short-term adaptation of electrically induced saccades in monkey superior colliculus</t>
  </si>
  <si>
    <t xml:space="preserve">Melis &amp; Van Gisbergen, 1996</t>
  </si>
  <si>
    <t xml:space="preserve">Modulation of somatosensory evoked responses in the primary somatosensory cortex produced by intracortical microstimulation of the motor cortex in the monkey</t>
  </si>
  <si>
    <t xml:space="preserve">Jiang et al., 1990</t>
  </si>
  <si>
    <t xml:space="preserve">Effect of successive electrical stimulation of different parts of the brain on delayed spatial choice in monkeys</t>
  </si>
  <si>
    <t xml:space="preserve">Modrinov, 1981</t>
  </si>
  <si>
    <t xml:space="preserve">various sites</t>
  </si>
  <si>
    <t xml:space="preserve">Frames of reference for gaze saccades evoked during stimulation of lateral intraparietal cortex</t>
  </si>
  <si>
    <t xml:space="preserve">Costantin et al., 2007</t>
  </si>
  <si>
    <t xml:space="preserve">Analysis of the frequency response of the saccadic circuit: system behavior</t>
  </si>
  <si>
    <t xml:space="preserve">Gnadt et al., 2001</t>
  </si>
  <si>
    <t xml:space="preserve">Regulation of the gain of visually guided smooth-pursuit eye movements by frontal cortex</t>
  </si>
  <si>
    <t xml:space="preserve">Tanaka &amp; Lisberger, 2001</t>
  </si>
  <si>
    <t xml:space="preserve">Instrumental control of cardioacceleration induced by central electrical stimulation</t>
  </si>
  <si>
    <t xml:space="preserve">Joseph &amp; Engel, 1981</t>
  </si>
  <si>
    <t xml:space="preserve">Relation between visual input and motor outflow for eye movements in monkey frontal eye field</t>
  </si>
  <si>
    <t xml:space="preserve">Azuma et al., 1988</t>
  </si>
  <si>
    <t xml:space="preserve">Effects of training on saccadic eye movements elicited electrically from the frontal cortex of monkeys</t>
  </si>
  <si>
    <t xml:space="preserve">Tehovnik &amp; Slocum, 2000</t>
  </si>
  <si>
    <t xml:space="preserve">On the gap effect for saccades evoked by electrical microstimulation of frontal eye fields in monkeys</t>
  </si>
  <si>
    <t xml:space="preserve">Opris et al., 2001</t>
  </si>
  <si>
    <t xml:space="preserve">Compensatory saccades made to remembered targets following orbital displacement by electrically stimulating the dorsomedial frontal cortex or frontal eye fields of primates</t>
  </si>
  <si>
    <t xml:space="preserve">Tehovnik &amp; Sommer, 1996</t>
  </si>
  <si>
    <t xml:space="preserve">DMPFC / FEF</t>
  </si>
  <si>
    <t xml:space="preserve">Microstimulation of precentral cortex with chronically implanted microelectrodes</t>
  </si>
  <si>
    <t xml:space="preserve">Schmidt &amp; McIntosh, 1979</t>
  </si>
  <si>
    <t xml:space="preserve">Effects of altering the parameters of electrical stimulating currents upon motor responses from the precentral gyrus of Macaca mulatta</t>
  </si>
  <si>
    <t xml:space="preserve">Cure &amp; Rasmussen, 1954</t>
  </si>
  <si>
    <t xml:space="preserve">Subcortical contributions to head movements in macaques. I. Contrasting effects of electrical stimulation of a medial pontomedullary region and the superior colliculus</t>
  </si>
  <si>
    <t xml:space="preserve">Cowie &amp; Robinson, 1994</t>
  </si>
  <si>
    <t xml:space="preserve">pons/SC</t>
  </si>
  <si>
    <t xml:space="preserve">Emotional and social behaviors elicited by electrical stimulation of the insula in the macaque monkey</t>
  </si>
  <si>
    <t xml:space="preserve">Caruana et al., 2011</t>
  </si>
  <si>
    <t xml:space="preserve">insula</t>
  </si>
  <si>
    <t xml:space="preserve">Switching from automatic to controlled action by monkey medial frontal cortex</t>
  </si>
  <si>
    <t xml:space="preserve">Isoda &amp; Hikosaka, 2007</t>
  </si>
  <si>
    <t xml:space="preserve">pre-SMA</t>
  </si>
  <si>
    <t xml:space="preserve">Optogenetic inactivation modifies monkey visuomotor behavior</t>
  </si>
  <si>
    <t xml:space="preserve">Cavanaugh et al., 2012</t>
  </si>
  <si>
    <t xml:space="preserve">Posterior parietal cortex contains a command apparatus for hand movements</t>
  </si>
  <si>
    <t xml:space="preserve">Rathelot et al., 2017</t>
  </si>
  <si>
    <t xml:space="preserve">area 5</t>
  </si>
  <si>
    <t xml:space="preserve">Incomplete suppression of distractor-related activity in the frontal eye field results in curved saccades</t>
  </si>
  <si>
    <t xml:space="preserve">McPeek, 2006</t>
  </si>
  <si>
    <t xml:space="preserve">Macaque frontal eye field input to saccade-related neurons in the superior colliculus</t>
  </si>
  <si>
    <t xml:space="preserve">Helminski &amp; Segraves, 2003</t>
  </si>
  <si>
    <t xml:space="preserve">Frames of reference for eye-head gaze commands in primate supplementary eye fields</t>
  </si>
  <si>
    <t xml:space="preserve">Martinez-Trujillo et al., 2004</t>
  </si>
  <si>
    <t xml:space="preserve">Diversity of neural responses in the brainstem during smooth pursuit eye movements constrains the circuit mechanisms of neural integration</t>
  </si>
  <si>
    <t xml:space="preserve">Joshua et al., 2013</t>
  </si>
  <si>
    <t xml:space="preserve">brainstem/cerebellum</t>
  </si>
  <si>
    <t xml:space="preserve">Effects on muscle activity from microstimuli applied to somatosensory and motor cortex during voluntary movement in the monkey</t>
  </si>
  <si>
    <t xml:space="preserve">Widener &amp; Cheney, 1997</t>
  </si>
  <si>
    <t xml:space="preserve">S1/M1</t>
  </si>
  <si>
    <t xml:space="preserve">Brain mechanisms for switching from automatic to controlled eye movements</t>
  </si>
  <si>
    <t xml:space="preserve">Hikosaka &amp; Isoda, 2008</t>
  </si>
  <si>
    <t xml:space="preserve">Subcortical modulation of attention counters change blindness</t>
  </si>
  <si>
    <t xml:space="preserve">Cavanaug &amp; Wurtz, 2004</t>
  </si>
  <si>
    <t xml:space="preserve">The oculomotor integrator: testing of a neural network model</t>
  </si>
  <si>
    <t xml:space="preserve">Arnold &amp; Robinson, 1997</t>
  </si>
  <si>
    <t xml:space="preserve">pons</t>
  </si>
  <si>
    <t xml:space="preserve">Cholinergic role in monkey dorsolateral prefrontal cortex during bar-press feeding behavior</t>
  </si>
  <si>
    <t xml:space="preserve">Inoue et al., 1983</t>
  </si>
  <si>
    <t xml:space="preserve">NBM</t>
  </si>
  <si>
    <t xml:space="preserve">Muscle Synergies Obtained from Comprehensive Mapping of the Cortical Forelimb Representation Using Stimulus Triggered Averaging of EMG Activity</t>
  </si>
  <si>
    <t xml:space="preserve">Huffmaster et al., 2018</t>
  </si>
  <si>
    <t xml:space="preserve">Effect of electrical stimulation of the brain on visually controlled (attentive) behavior in Macaca mulatta</t>
  </si>
  <si>
    <t xml:space="preserve">Pragay et al., 1975</t>
  </si>
  <si>
    <t xml:space="preserve">FEF inactivation with improved optogenetic methods</t>
  </si>
  <si>
    <t xml:space="preserve">Acker et al., 2016</t>
  </si>
  <si>
    <t xml:space="preserve">Integration of cortical population signals for visual perception</t>
  </si>
  <si>
    <t xml:space="preserve">Andrei et al., 2019</t>
  </si>
  <si>
    <t xml:space="preserve">Neural responses related to smooth-pursuit eye movements and their correspondence with electrically elicited smooth eye movements in the primate frontal eye field</t>
  </si>
  <si>
    <t xml:space="preserve">Gottlieb et al., 1994</t>
  </si>
  <si>
    <t xml:space="preserve">Neck muscle synergies during stimulation and inactivation of the interstitial nucleus of Cajal (INC)</t>
  </si>
  <si>
    <t xml:space="preserve">Farshadmanesh et al., 2008</t>
  </si>
  <si>
    <t xml:space="preserve">brainstem</t>
  </si>
  <si>
    <t xml:space="preserve">Shape perception via a high-channel-count neuroprosthesis in monkey visual cortex</t>
  </si>
  <si>
    <t xml:space="preserve">Chen et al., 2020</t>
  </si>
  <si>
    <t xml:space="preserve">Restoring the sense of touch with a prosthetic hand through a brain interface</t>
  </si>
  <si>
    <t xml:space="preserve">Tabot et al., 2013</t>
  </si>
  <si>
    <t xml:space="preserve">Effects of Electrical Stimulation in the Inferior Colliculus on Frequency Discrimination by Rhesus Monkeys and Implications for the Auditory Midbrain Implant</t>
  </si>
  <si>
    <t xml:space="preserve">Pages et al., 2016</t>
  </si>
  <si>
    <t xml:space="preserve">IC</t>
  </si>
  <si>
    <t xml:space="preserve">Electrical Microstimulation of the Pulvinar Biases Saccade Choices and Reaction Times in a Time-Dependent Manner</t>
  </si>
  <si>
    <t xml:space="preserve">Dominguez-Vargas et al., 2017</t>
  </si>
  <si>
    <t xml:space="preserve">pulvinar</t>
  </si>
  <si>
    <t xml:space="preserve">Selective Optogenetic Control of Purkinje Cells in Monkey Cerebellum</t>
  </si>
  <si>
    <t xml:space="preserve">El-Shamayleh et al., 2017</t>
  </si>
  <si>
    <t xml:space="preserve">Microstimulation of the primate neostriatum. I. Physiological properties of striatal microexcitable zones</t>
  </si>
  <si>
    <t xml:space="preserve">Alexander &amp; Delong, 1985</t>
  </si>
  <si>
    <t xml:space="preserve">putamen</t>
  </si>
  <si>
    <t xml:space="preserve">Targeted cortical reorganization using optogenetics in non-human primates</t>
  </si>
  <si>
    <t xml:space="preserve">Yazdan-Shahmorad et al., 2018</t>
  </si>
  <si>
    <t xml:space="preserve">S1, M1</t>
  </si>
  <si>
    <t xml:space="preserve">Stimulation-evoked saccades from the dorsomedial frontal cortex of the rhesus monkey following lesions of the frontal eye fields and superior colliculus</t>
  </si>
  <si>
    <t xml:space="preserve">Tehovnik &amp; Schiller, 1994</t>
  </si>
  <si>
    <t xml:space="preserve">Can delay-period activity explain working memory?</t>
  </si>
  <si>
    <t xml:space="preserve">Sobotka et al., 2005</t>
  </si>
  <si>
    <t xml:space="preserve">Electrical stimulation of rhesus monkey nucleus reticularis gigantocellularis. II. Effects on metrics and kinematics of ongoing gaze shifts to visual targets</t>
  </si>
  <si>
    <t xml:space="preserve">Freedman &amp; Quessy, 2004</t>
  </si>
  <si>
    <t xml:space="preserve">An area for vergence eye movement in primate frontal cortex</t>
  </si>
  <si>
    <t xml:space="preserve">Gamlin &amp; Yoon, 2000</t>
  </si>
  <si>
    <t xml:space="preserve">frontal cortex</t>
  </si>
  <si>
    <t xml:space="preserve">An exploration of the ability of macaques to detect microstimulation of striate cortex</t>
  </si>
  <si>
    <t xml:space="preserve">Bartlett &amp; Doty, 1980</t>
  </si>
  <si>
    <t xml:space="preserve">electrical </t>
  </si>
  <si>
    <t xml:space="preserve">Optogenetically induced low-frequency correlations impair perception</t>
  </si>
  <si>
    <t xml:space="preserve">Nandy et al., 2019</t>
  </si>
  <si>
    <t xml:space="preserve">V4</t>
  </si>
  <si>
    <t xml:space="preserve">How is a sensory map read Out? Effects of microstimulation in visual area MT on saccades and smooth pursuit eye movements</t>
  </si>
  <si>
    <t xml:space="preserve">Groh et al., 1997</t>
  </si>
  <si>
    <t xml:space="preserve">Horizontal saccades induced by stimulation of the central mesencephalic reticular formation</t>
  </si>
  <si>
    <t xml:space="preserve">Cohen et al., 1985</t>
  </si>
  <si>
    <t xml:space="preserve">EMG activation patterns associated with high frequency, long-duration intracortical microstimulation of primary motor cortex</t>
  </si>
  <si>
    <t xml:space="preserve">Griffin et al., 2014</t>
  </si>
  <si>
    <t xml:space="preserve">Stability of output effects from motor cortex to forelimb muscles in primates</t>
  </si>
  <si>
    <t xml:space="preserve">Griffin et al., 2009</t>
  </si>
  <si>
    <t xml:space="preserve">Instructive signals for motor learning from visual cortical area MT</t>
  </si>
  <si>
    <t xml:space="preserve">Carey et al., 2005</t>
  </si>
  <si>
    <t xml:space="preserve">Responses to colour of neurones in area 7a of the inferior parietal lobule of the rhesus monkey</t>
  </si>
  <si>
    <t xml:space="preserve">Blum, 1995</t>
  </si>
  <si>
    <t xml:space="preserve">Optogenetically induced spatiotemporal gamma oscillations and neuronal spiking activity in primate motor cortex</t>
  </si>
  <si>
    <t xml:space="preserve">Lu et al., 2015</t>
  </si>
  <si>
    <t xml:space="preserve">Electrical stimulation of rhesus monkey nucleus reticularis gigantocellularis. I. Characteristics of evoked head movements</t>
  </si>
  <si>
    <t xml:space="preserve">Quessy &amp; Freedman, 2004</t>
  </si>
  <si>
    <t xml:space="preserve">Contribution of y group of vestibular nuclei and dentate nucleus of cerebellum to generation of vertical smooth eye movements</t>
  </si>
  <si>
    <t xml:space="preserve">Chubb &amp; Fuchs, 1982</t>
  </si>
  <si>
    <t xml:space="preserve">Nucleus basalis stimulation enhances working memory by stabilizing stimulus representations in primate prefrontal cortical activity</t>
  </si>
  <si>
    <t xml:space="preserve">Qi et al., 2021</t>
  </si>
  <si>
    <t xml:space="preserve">Subthreshold microstimulation in frontal eye fields updates spatial memories</t>
  </si>
  <si>
    <t xml:space="preserve">White III &amp; Snyder, 2007 </t>
  </si>
  <si>
    <t xml:space="preserve">Widespread presaccadic recruitment of neck muscles by stimulation of the primate frontal eye fields</t>
  </si>
  <si>
    <t xml:space="preserve">Elsley et al., 2007</t>
  </si>
  <si>
    <t xml:space="preserve">Modulation of pursuit eye movements by stimulation of cortical areas MT and MST</t>
  </si>
  <si>
    <t xml:space="preserve">Komatsu &amp; Wurtz, 1989</t>
  </si>
  <si>
    <t xml:space="preserve">Comparing temporal aspects of visual, tactile, and microstimulation feedback for motor control</t>
  </si>
  <si>
    <t xml:space="preserve">Godlove et al., 2014</t>
  </si>
  <si>
    <t xml:space="preserve">Causal contribution of optic flow signal in Macaque extrastriate visual cortex for roll perception</t>
  </si>
  <si>
    <t xml:space="preserve">Li et al., 2022</t>
  </si>
  <si>
    <t xml:space="preserve">Eye movements induced by pontine stimulation: interaction with visually triggered saccades</t>
  </si>
  <si>
    <t xml:space="preserve">Sparks et al., 1987</t>
  </si>
  <si>
    <t xml:space="preserve">pontine reticular formation</t>
  </si>
  <si>
    <t xml:space="preserve">Short-duration stimulation of the supplementary eye fields perturbs anti-saccade performance while potentiating contralateral head orienting</t>
  </si>
  <si>
    <t xml:space="preserve">Chapman &amp; Corneil, 2014</t>
  </si>
  <si>
    <t xml:space="preserve">Substantia nigra stimulation influences monkey superior colliculus neuronal activity bilaterally</t>
  </si>
  <si>
    <t xml:space="preserve">Liu &amp; Basso, 2008</t>
  </si>
  <si>
    <t xml:space="preserve">SN</t>
  </si>
  <si>
    <t xml:space="preserve">Predominant Striatal Input to the Lateral Habenula in Macaques Comes from Striosomes</t>
  </si>
  <si>
    <t xml:space="preserve">Hong et al., 2019</t>
  </si>
  <si>
    <t xml:space="preserve">Competitive integration of visual and preparatory signals in the superior colliculus during saccadic programming</t>
  </si>
  <si>
    <t xml:space="preserve">Dorris et al., 2007</t>
  </si>
  <si>
    <t xml:space="preserve">The role of the dentate nucleus and y-group in the generation of vertical smooth eye movement</t>
  </si>
  <si>
    <t xml:space="preserve">Chubb &amp; Fuchs, 1981</t>
  </si>
  <si>
    <t xml:space="preserve">The caudate nucleus contributes causally to decisions that balance reward and uncertain visual information</t>
  </si>
  <si>
    <t xml:space="preserve">Doi et al., 2020</t>
  </si>
  <si>
    <t xml:space="preserve">caudate nucleus</t>
  </si>
  <si>
    <t xml:space="preserve">Delay of movement caused by disruption of cortical preparatory activity</t>
  </si>
  <si>
    <t xml:space="preserve">Churchland &amp; Chenoy, 2007</t>
  </si>
  <si>
    <t xml:space="preserve">pre-motor cortex</t>
  </si>
  <si>
    <t xml:space="preserve">A strong constraint to the joint processing of pairs of cortical signals</t>
  </si>
  <si>
    <t xml:space="preserve">Ghose &amp; Maunsell, 2012</t>
  </si>
  <si>
    <t xml:space="preserve">Feeding suppression elicited by electrical and chemical stimulations of monkey hypothalamus</t>
  </si>
  <si>
    <t xml:space="preserve">Takaki et al., 1992</t>
  </si>
  <si>
    <t xml:space="preserve">hypothalamus</t>
  </si>
  <si>
    <t xml:space="preserve">Orthogonal relationship between electrically elicted social aggression and self-stimulation from the same brain sites</t>
  </si>
  <si>
    <t xml:space="preserve">Herndon et al., 1979</t>
  </si>
  <si>
    <t xml:space="preserve">Equilibrium-based movement endpoints elicited from primary motor cortex using repetitive microstimulation</t>
  </si>
  <si>
    <t xml:space="preserve">Van Acker III et al., 2014</t>
  </si>
  <si>
    <t xml:space="preserve">Characteristics of the ipsilateral movement-related neuron in the motor cortex of the monkey</t>
  </si>
  <si>
    <t xml:space="preserve">Matsunami &amp; Hamada, 1981</t>
  </si>
  <si>
    <t xml:space="preserve">Electrical stimulation of the proprioceptive cortex (area 3a) used to instruct a behaving monkey</t>
  </si>
  <si>
    <t xml:space="preserve">London et al., 2008</t>
  </si>
  <si>
    <t xml:space="preserve">Neck muscle responses to stimulation of monkey superior colliculus. I. Topography and manipulation of stimulation parameters</t>
  </si>
  <si>
    <t xml:space="preserve">Corneil et al., 2002</t>
  </si>
  <si>
    <t xml:space="preserve">Frames of reference for eye-head gaze shifts evoked during frontal eye field stimulation</t>
  </si>
  <si>
    <t xml:space="preserve">Monteon et al., 2013</t>
  </si>
  <si>
    <t xml:space="preserve">Supplementary eye field: representation of saccades and relationship between neural response fields and elicited eye movements</t>
  </si>
  <si>
    <t xml:space="preserve">Russo &amp; Bruce, 2000</t>
  </si>
  <si>
    <t xml:space="preserve">Interactions between natural and electrically evoked saccades. III. Is the nonstationarity the result of an integrator not instantaneously reset?</t>
  </si>
  <si>
    <t xml:space="preserve">Schlag et al., 1998</t>
  </si>
  <si>
    <t xml:space="preserve">Antidromic identification of midbrain near response cells projecting to the oculomotor nucleus</t>
  </si>
  <si>
    <t xml:space="preserve">Zhang et al., 1991</t>
  </si>
  <si>
    <t xml:space="preserve">Neurons in the posterior interposed nucleus of the cerebellum related to vergence and accommodation. I. Steady-state characteristics</t>
  </si>
  <si>
    <t xml:space="preserve">Zhang &amp; Gamlin, 1998</t>
  </si>
  <si>
    <t xml:space="preserve">Microstimulation of the primate neostriatum. II. Somatotopic organization of striatal microexcitable zones and their relation to neuronal response properties</t>
  </si>
  <si>
    <t xml:space="preserve">Interaction of visually guided saccades with saccades induced by electrical stimulation of the posterior parietal cortex in the monkey</t>
  </si>
  <si>
    <t xml:space="preserve">Kurylo, 1991</t>
  </si>
  <si>
    <t xml:space="preserve">area PG</t>
  </si>
  <si>
    <t xml:space="preserve">Characteristics of the pupillary light reflex in the macaque monkey: discharge patterns of pretectal neurons</t>
  </si>
  <si>
    <t xml:space="preserve">Pong &amp; Fuchs, 2000</t>
  </si>
  <si>
    <t xml:space="preserve">PON</t>
  </si>
  <si>
    <t xml:space="preserve">Microstimulation of the supplementary eye field during saccade preparation</t>
  </si>
  <si>
    <t xml:space="preserve">Fuji et al., 1995</t>
  </si>
  <si>
    <t xml:space="preserve">Control of spatial orientation of the angular vestibulo-ocular reflex by the nodulus and uvula of the vestibulocerebellum</t>
  </si>
  <si>
    <t xml:space="preserve">Sheliga et al., 1999</t>
  </si>
  <si>
    <t xml:space="preserve">Converging eye movements evoked by microstimulation of the fastigial nucleus of macaque monkeys</t>
  </si>
  <si>
    <t xml:space="preserve">Murakami et al., 1991</t>
  </si>
  <si>
    <t xml:space="preserve">Cortical Effects on Ipsilateral Hindlimb Muscles Revealed with Stimulus-Triggered Averaging of EMG Activity</t>
  </si>
  <si>
    <t xml:space="preserve">Messamore et al., 2016</t>
  </si>
  <si>
    <t xml:space="preserve">Disturbance of approach-avoidance behaviors in non-human primates by stimulation of the limbic territories of basal ganglia and anterior insula</t>
  </si>
  <si>
    <t xml:space="preserve">Saga et al., 2019</t>
  </si>
  <si>
    <t xml:space="preserve">striatum, pallidum</t>
  </si>
  <si>
    <t xml:space="preserve">Neck muscle responses to stimulation of monkey superior colliculus. II. Gaze shift initiation and volitional head movements</t>
  </si>
  <si>
    <t xml:space="preserve">Comparison of saccades perturbed by stimulation of the rostral superior colliculus, the caudal superior colliculus, and the omnipause neuron region</t>
  </si>
  <si>
    <t xml:space="preserve">Gandhi &amp; Keller, 1999</t>
  </si>
  <si>
    <t xml:space="preserve">SC, OPN</t>
  </si>
  <si>
    <t xml:space="preserve">Multiple factors may influence the performance of a visual prosthesis based on intracortical microstimulation: nonhuman primate behavioural experimentation</t>
  </si>
  <si>
    <t xml:space="preserve">Korab et al., 2011</t>
  </si>
  <si>
    <t xml:space="preserve">Relationships between Pupil Diameter and Neuronal Activity in the Locus Coeruleus, Colliculi, and Cingulate Cortex</t>
  </si>
  <si>
    <t xml:space="preserve">Joshi et al., 2016</t>
  </si>
  <si>
    <t xml:space="preserve">LC, IC, SC</t>
  </si>
  <si>
    <t xml:space="preserve">Bilateral representation in the deep cerebellar nuclei</t>
  </si>
  <si>
    <t xml:space="preserve">Soteropoulos et al., 2008</t>
  </si>
  <si>
    <t xml:space="preserve">Normal Topography and Binocularity of the Superior Colliculus in Strabismus</t>
  </si>
  <si>
    <t xml:space="preserve">Economides et al., 2018</t>
  </si>
  <si>
    <t xml:space="preserve">Forelimb muscle representations and output properties of motor areas in the mesial wall of rhesus macaques</t>
  </si>
  <si>
    <t xml:space="preserve">Boudrias et al., 2010</t>
  </si>
  <si>
    <t xml:space="preserve">SMA, CMAd, M1</t>
  </si>
  <si>
    <t xml:space="preserve">Timing of Cortico-Muscle Transmission During Active Movement</t>
  </si>
  <si>
    <t xml:space="preserve">Van Acker III et al., 2016</t>
  </si>
  <si>
    <t xml:space="preserve">Output properties and organization of the forelimb representation of motor areas on the lateral aspect of the hemisphere in rhesus macaques</t>
  </si>
  <si>
    <t xml:space="preserve">Facilitation of temporal prediction by electrical stimulation to the primate cerebellar nuclei</t>
  </si>
  <si>
    <t xml:space="preserve">Uematsu et al., 2017</t>
  </si>
  <si>
    <t xml:space="preserve">Does microstimulation evoke fixed-vector saccades by generating their vector or by specifying their goal?</t>
  </si>
  <si>
    <t xml:space="preserve">Schlag &amp; Schlag-Rey, 1987</t>
  </si>
  <si>
    <t xml:space="preserve">Forebrain</t>
  </si>
  <si>
    <t xml:space="preserve">Behavioral inhibition induced by pallidal stimulation in monkeys</t>
  </si>
  <si>
    <t xml:space="preserve">Delgado et al., 1975</t>
  </si>
  <si>
    <t xml:space="preserve">An optogenetic toolbox designed for primates</t>
  </si>
  <si>
    <t xml:space="preserve">Diester et al., 2011</t>
  </si>
  <si>
    <t xml:space="preserve">Pre-motor cortex</t>
  </si>
  <si>
    <t xml:space="preserve">Central neural correlates of learned heart rate control during exercise: central command demystified</t>
  </si>
  <si>
    <t xml:space="preserve">Chefer et al., 1985</t>
  </si>
  <si>
    <t xml:space="preserve">limbic structures</t>
  </si>
  <si>
    <t xml:space="preserve">Perceptography unveils the causal contribution of inferior temporal cortex to visual perception</t>
  </si>
  <si>
    <t xml:space="preserve">Shahbazi et al., 2024</t>
  </si>
  <si>
    <t xml:space="preserve">Probing the cortical neuronal correlates of a sensory discrimination process</t>
  </si>
  <si>
    <t xml:space="preserve">Romo et al., 2002</t>
  </si>
  <si>
    <t xml:space="preserve">Suppression of nociceptive responses in the primate by electrical stimulation of the brain or morphine administration: behavioral and electrophysiological comparisons</t>
  </si>
  <si>
    <t xml:space="preserve">Hayes et al., 1979</t>
  </si>
  <si>
    <t xml:space="preserve">Brainstem motor loops in the control of movement</t>
  </si>
  <si>
    <t xml:space="preserve">Nandi et al., 2002</t>
  </si>
  <si>
    <t xml:space="preserve">PPN, ZI</t>
  </si>
  <si>
    <t xml:space="preserve">Lack of evidence for direct corticospinal contributions to control of the ipsilateral forelimb in monkey</t>
  </si>
  <si>
    <t xml:space="preserve">Soteropoulos et al., 2011</t>
  </si>
  <si>
    <t xml:space="preserve">Changes in visual receptive fields with microstimulation of frontal cortex</t>
  </si>
  <si>
    <t xml:space="preserve">Armstrong et al., 2006</t>
  </si>
  <si>
    <t xml:space="preserve">Edinger-Westphal and pharmacologically stimulated accommodative refractive changes and lens and ciliary process movements in rhesus monkeys</t>
  </si>
  <si>
    <t xml:space="preserve">Ostrin &amp; Glasser, 2007</t>
  </si>
  <si>
    <t xml:space="preserve">EW nucleus</t>
  </si>
  <si>
    <t xml:space="preserve">Inactivation and stimulation of the frontal pursuit area change pursuit metrics without affecting pursuit target selection</t>
  </si>
  <si>
    <t xml:space="preserve">Mahaffy &amp; Krauzlis, 2011</t>
  </si>
  <si>
    <t xml:space="preserve">FPA</t>
  </si>
  <si>
    <t xml:space="preserve">Microstimulation of cortical area MT affects performance on a visual working memory task</t>
  </si>
  <si>
    <t xml:space="preserve">Bisley et al., 2001</t>
  </si>
  <si>
    <t xml:space="preserve">Multiple representations of body movements in mesial area 6 and the adjacent cingulate cortex: an intracortical microstimulation study in the macaque monkey</t>
  </si>
  <si>
    <t xml:space="preserve">Luppino et al., 1991</t>
  </si>
  <si>
    <t xml:space="preserve">F3 (SMA), F6</t>
  </si>
  <si>
    <t xml:space="preserve">Attention Increases Spike Count Correlations between Visual Cortical Areas</t>
  </si>
  <si>
    <t xml:space="preserve">Ruff &amp; Cohen, 2016</t>
  </si>
  <si>
    <t xml:space="preserve">Complex movements evoked by microstimulation of precentral cortex</t>
  </si>
  <si>
    <t xml:space="preserve">Graziano et al., 2002</t>
  </si>
  <si>
    <t xml:space="preserve">M1, premotor cortex</t>
  </si>
  <si>
    <t xml:space="preserve">Analysis of the step response of the saccadic feedback: system behavior</t>
  </si>
  <si>
    <t xml:space="preserve">Breznen et al., 1996</t>
  </si>
  <si>
    <t xml:space="preserve">Forelimb movements evoked by optogenetic stimulation of the macaque motor cortex</t>
  </si>
  <si>
    <t xml:space="preserve">Watanabe et al., 2020</t>
  </si>
  <si>
    <t xml:space="preserve">Saccades induced electrically from the dorsomedial frontal cortex: evidence for a head-centered representation</t>
  </si>
  <si>
    <t xml:space="preserve">Tehovnik et al., 1998</t>
  </si>
  <si>
    <t xml:space="preserve">Virtual active touch using randomly patterned intracortical microstimulation</t>
  </si>
  <si>
    <t xml:space="preserve">O'Doherty et al., 2012</t>
  </si>
  <si>
    <t xml:space="preserve">Component stretching during oblique stimulation-evoked saccades: the role of the superior colliculus</t>
  </si>
  <si>
    <t xml:space="preserve">Multi-electrode stimulation in somatosensory cortex increases probability of detection</t>
  </si>
  <si>
    <t xml:space="preserve">Zaaimi et al., 2013</t>
  </si>
  <si>
    <t xml:space="preserve">Optogenetic Activation of Normalization in Alert Macaque Visual Cortex</t>
  </si>
  <si>
    <t xml:space="preserve">Nassi et al., 2015</t>
  </si>
  <si>
    <t xml:space="preserve">Motor effects produced by stimulation of secondary somatosensory (SII) cortex in the monkey</t>
  </si>
  <si>
    <t xml:space="preserve">Mori et al., 1985</t>
  </si>
  <si>
    <t xml:space="preserve">SII</t>
  </si>
  <si>
    <t xml:space="preserve">macaca fascicularis</t>
  </si>
  <si>
    <t xml:space="preserve">Causal manipulation of gaze-following in the macaque temporal cortex</t>
  </si>
  <si>
    <t xml:space="preserve">Chong et al., 2023</t>
  </si>
  <si>
    <t xml:space="preserve">temporal cortex</t>
  </si>
  <si>
    <t xml:space="preserve">Patterns of facilitation and suppression of antagonist forelimb muscles from motor cortex sites in the awake monkey</t>
  </si>
  <si>
    <t xml:space="preserve">Cheney et al., 1985</t>
  </si>
  <si>
    <t xml:space="preserve">Comparisons between pharmacologically and Edinger-Westphal-stimulated accommodation in rhesus monkeys</t>
  </si>
  <si>
    <t xml:space="preserve">Ostrin &amp; Glasser, 2005</t>
  </si>
  <si>
    <t xml:space="preserve">Smooth eye movements elicited by microstimulation in the primate frontal eye field</t>
  </si>
  <si>
    <t xml:space="preserve">Gottlieb et al., 1993</t>
  </si>
  <si>
    <t xml:space="preserve">Neurophysiological analysis of brain-stimulation reward in the monkey</t>
  </si>
  <si>
    <t xml:space="preserve">Rolls et al., 1980</t>
  </si>
  <si>
    <t xml:space="preserve">lateral hypothalamus, amygdala, OFC</t>
  </si>
  <si>
    <t xml:space="preserve">ICSS</t>
  </si>
  <si>
    <t xml:space="preserve">Comparable patterns of muscle facilitation evoked by individual corticomotoneuronal (CM) cells and by single intracortical microstimuli in primates: evidence for functional groups of CM cells</t>
  </si>
  <si>
    <t xml:space="preserve">Cheney &amp; Fetz, 1985</t>
  </si>
  <si>
    <t xml:space="preserve">3-Dimensional eye-head coordination in gaze shifts evoked during stimulation of the lateral intraparietal cortex</t>
  </si>
  <si>
    <t xml:space="preserve">Constantin et al., 2009</t>
  </si>
  <si>
    <t xml:space="preserve">Minimal synaptic delay in the saccadic output pathway of the superior colliculus studied in awake monkey</t>
  </si>
  <si>
    <t xml:space="preserve">Myashita &amp; Hikosaka, 1996</t>
  </si>
  <si>
    <t xml:space="preserve">Monkey posterior parietal cortex neurons antidromically activated from superior colliculus</t>
  </si>
  <si>
    <t xml:space="preserve">Pare &amp; Wurtz, 1997</t>
  </si>
  <si>
    <t xml:space="preserve">What and where information in the caudate tail guides saccades to visual objects</t>
  </si>
  <si>
    <t xml:space="preserve">Yamamoto et al., 2012</t>
  </si>
  <si>
    <t xml:space="preserve">Caudate nucleus</t>
  </si>
  <si>
    <t xml:space="preserve">Contribution of the frontal eye field to gaze shifts in the head-unrestrained monkey: effects of microstimulation</t>
  </si>
  <si>
    <t xml:space="preserve">Knight &amp; Fuchs, 2007</t>
  </si>
  <si>
    <t xml:space="preserve">Discontinuous long-train stimulation in the anterior striatum in monkeys induces abnormal behavioral states</t>
  </si>
  <si>
    <t xml:space="preserve">Worbe et al., 2011</t>
  </si>
  <si>
    <t xml:space="preserve">Ocular counterroll modulates the preferred direction of saccade-related pontine burst neurons in the monkey</t>
  </si>
  <si>
    <t xml:space="preserve">Scherberger et al., 2001</t>
  </si>
  <si>
    <t xml:space="preserve">Saccade dysmetria during functional perturbation of the caudal fastigial nucleus in the monkey</t>
  </si>
  <si>
    <t xml:space="preserve">Goffart et al., 2003</t>
  </si>
  <si>
    <t xml:space="preserve">Modulation of arousal regulation with central thalamic deep brain stimulation</t>
  </si>
  <si>
    <t xml:space="preserve">Shah et al., 2009</t>
  </si>
  <si>
    <t xml:space="preserve">Central thalamus</t>
  </si>
  <si>
    <t xml:space="preserve">Deep brain stimulation of the pedunculopontine region in the normal non-human primate</t>
  </si>
  <si>
    <t xml:space="preserve">PPN</t>
  </si>
  <si>
    <t xml:space="preserve">Orofacial somatomotor responses in the macaque monkey homologue of Broca's area</t>
  </si>
  <si>
    <t xml:space="preserve">Petrides et al., 2005</t>
  </si>
  <si>
    <t xml:space="preserve">Area 44</t>
  </si>
  <si>
    <t xml:space="preserve">Orienting movements in area 9 identified by long-train ICMS</t>
  </si>
  <si>
    <t xml:space="preserve">Lanzilotto et al., 2015</t>
  </si>
  <si>
    <t xml:space="preserve">Area 9</t>
  </si>
  <si>
    <t xml:space="preserve">Disruption of temperature discrimination during limbic forebrain stimulation in monkeys</t>
  </si>
  <si>
    <t xml:space="preserve">Chin et al., 1976</t>
  </si>
  <si>
    <t xml:space="preserve">amygdala, OFC</t>
  </si>
  <si>
    <t xml:space="preserve">Common fronto-temporal effective connectivity in humans and monkeys</t>
  </si>
  <si>
    <t xml:space="preserve">Rocchi et al., 2021</t>
  </si>
  <si>
    <t xml:space="preserve">VLPFC</t>
  </si>
  <si>
    <t xml:space="preserve">Role of arcuate frontal cortex of monkeys in smooth pursuit eye movements. II. Relation to vector averaging pursuit</t>
  </si>
  <si>
    <t xml:space="preserve">Activity of neurons in monkey superior colliculus during interrupted saccades</t>
  </si>
  <si>
    <t xml:space="preserve">Munoz et al., 1996</t>
  </si>
  <si>
    <t xml:space="preserve">Interactions between natural and electrically evoked saccades. II. At what time is eye position sampled as a reference for the localization of a target?</t>
  </si>
  <si>
    <t xml:space="preserve">Schlag et al., 1989</t>
  </si>
  <si>
    <t xml:space="preserve">Thalamus, SC</t>
  </si>
  <si>
    <t xml:space="preserve">Activity of the brain stem omnipause neurons during saccades perturbed by stimulation of the primate superior colliculus</t>
  </si>
  <si>
    <t xml:space="preserve">Effects of stimulation of corpus callosum on precentral neuron activity in the awake monkey</t>
  </si>
  <si>
    <t xml:space="preserve">Matsunami &amp; Hamada, 1984</t>
  </si>
  <si>
    <t xml:space="preserve">Corpus Callosum</t>
  </si>
  <si>
    <t xml:space="preserve">Deleterious effects of prolonged electrical excitation of striate cortex in macaques</t>
  </si>
  <si>
    <t xml:space="preserve">Barlett et al., 1977</t>
  </si>
  <si>
    <t xml:space="preserve">Limb-state information encoded by peripheral and central somatosensory neurons: implications for an afferent interface</t>
  </si>
  <si>
    <t xml:space="preserve">Weber et al., 2011</t>
  </si>
  <si>
    <t xml:space="preserve">Area 2</t>
  </si>
  <si>
    <t xml:space="preserve">Attention enhances synaptic efficacy and the signal-to-noise ratio in neural circuits</t>
  </si>
  <si>
    <t xml:space="preserve">Briggs et al., 2013</t>
  </si>
  <si>
    <t xml:space="preserve">Central mesencephalic reticular formation (cMRF) neurons discharging before and during eye movements</t>
  </si>
  <si>
    <t xml:space="preserve">Waitzman et al., 1996</t>
  </si>
  <si>
    <t xml:space="preserve">Closed-Loop Optogenetic Perturbation of Macaque Oculomotor Cerebellum: Evidence for an Internal Saccade Model</t>
  </si>
  <si>
    <t xml:space="preserve">Soetedjo &amp; Horwitz, 2024</t>
  </si>
  <si>
    <t xml:space="preserve">Cerebellum</t>
  </si>
  <si>
    <t xml:space="preserve">Subthreshold activation of the superior colliculus drives saccade motor learning</t>
  </si>
  <si>
    <t xml:space="preserve">Soetedjo et al., 2009</t>
  </si>
  <si>
    <t xml:space="preserve">Alteration of the timing of self-initiated but not reactive saccades by electrical stimulation in the supplementary eye field</t>
  </si>
  <si>
    <t xml:space="preserve">Kunimatsu &amp; Tanaka, 2012</t>
  </si>
  <si>
    <t xml:space="preserve">Evidence for an attentional priority map in inferotemporal cortex</t>
  </si>
  <si>
    <t xml:space="preserve">Stemmann &amp; Freiwald, 2019</t>
  </si>
  <si>
    <t xml:space="preserve">Evidence for a supplementary eye field</t>
  </si>
  <si>
    <t xml:space="preserve">Behavior of identified Edinger-Westphal neurons during ocular accommodation</t>
  </si>
  <si>
    <t xml:space="preserve">Gamlin et al., 1994</t>
  </si>
  <si>
    <t xml:space="preserve">Encoding and Decoding of Multi-Channel ICMS in Macaque Somatosensory Cortex</t>
  </si>
  <si>
    <t xml:space="preserve">Dadarlat et al., 2016</t>
  </si>
  <si>
    <t xml:space="preserve">Activity of monkey frontal eye field neurons projecting to oculomotor regions of the pons</t>
  </si>
  <si>
    <t xml:space="preserve">Segraves, 1992</t>
  </si>
  <si>
    <t xml:space="preserve">raphe nucleus, FEF</t>
  </si>
  <si>
    <t xml:space="preserve">Fast transmission from the dopaminergic ventral midbrain to the sensory cortex of awake primates</t>
  </si>
  <si>
    <t xml:space="preserve">Mylius et al., 2015</t>
  </si>
  <si>
    <t xml:space="preserve">Complex movements evoked by microstimulation of the ventral intraparietal area</t>
  </si>
  <si>
    <t xml:space="preserve">Cooke et al., 2003</t>
  </si>
  <si>
    <t xml:space="preserve">Manipulation of object choice by electrical microstimulation in macaque frontal eye fields</t>
  </si>
  <si>
    <t xml:space="preserve">Matsushima &amp; Tanaka, 2014</t>
  </si>
  <si>
    <t xml:space="preserve">Effects of eye position on saccades evoked by stimulation of the monkey superior colliculus</t>
  </si>
  <si>
    <t xml:space="preserve">Azuma et al., 1996</t>
  </si>
  <si>
    <t xml:space="preserve">Self-stimulation pathways in the monkey, Macaca mulatta</t>
  </si>
  <si>
    <t xml:space="preserve">Routtenberg et al., 1971</t>
  </si>
  <si>
    <t xml:space="preserve">several targets</t>
  </si>
  <si>
    <t xml:space="preserve">Fastigiofugal fibers encoding horizontal and vertical components of saccades as determined by microstimulation in monkeys</t>
  </si>
  <si>
    <t xml:space="preserve">Noda et al., 1992</t>
  </si>
  <si>
    <t xml:space="preserve">uncinate fasisculus</t>
  </si>
  <si>
    <t xml:space="preserve">Representations of Fine Digit Movements in Posterior and Anterior Parietal Cortex Revealed Using Long-Train Intracortical Microstimulation in Macaque Monkeys</t>
  </si>
  <si>
    <t xml:space="preserve">Baldwin et al., 2018</t>
  </si>
  <si>
    <t xml:space="preserve">motor and parietal cortex</t>
  </si>
  <si>
    <t xml:space="preserve">Intermittent stimulation in the nucleus basalis of meynert improves sustained attention in rhesus monkeys</t>
  </si>
  <si>
    <t xml:space="preserve">Liu et al., 2018</t>
  </si>
  <si>
    <t xml:space="preserve">NB</t>
  </si>
  <si>
    <t xml:space="preserve">Plasticity in the distribution of the red nucleus output to forearm muscles after unilateral lesions of the pyramidal tract</t>
  </si>
  <si>
    <t xml:space="preserve">Belhaj-Saif &amp; Cheney, 2000</t>
  </si>
  <si>
    <t xml:space="preserve">Dissociation of eye and head components of gaze shifts by stimulation of the omnipause neuron region</t>
  </si>
  <si>
    <t xml:space="preserve">Gandhi &amp; Sparks, 2007</t>
  </si>
  <si>
    <t xml:space="preserve">OPN</t>
  </si>
  <si>
    <t xml:space="preserve">Distribution of hand location in monkeys during spontaneous behavior</t>
  </si>
  <si>
    <t xml:space="preserve">Graziano et al., 2004</t>
  </si>
  <si>
    <t xml:space="preserve">motor cortex</t>
  </si>
  <si>
    <t xml:space="preserve">A motor area rostral to the supplementary motor area (presupplementary motor area) in the monkey: neuronal activity during a learned motor task</t>
  </si>
  <si>
    <t xml:space="preserve">Matsuzaka et al., 1992</t>
  </si>
  <si>
    <t xml:space="preserve">Effects on wrist and digit muscle activity from microstimuli applied at the sites of rubromotoneuronal cells in primates</t>
  </si>
  <si>
    <t xml:space="preserve">Cheney et al., 1991</t>
  </si>
  <si>
    <t xml:space="preserve">Mobility controlled by feedback cerebral stimulation in monkeys</t>
  </si>
  <si>
    <t xml:space="preserve">Delgado et al., 1976</t>
  </si>
  <si>
    <t xml:space="preserve">Role of the superior colliculus in choosing mixed-strategy saccades</t>
  </si>
  <si>
    <t xml:space="preserve">Thevarajah et al., 2009</t>
  </si>
  <si>
    <t xml:space="preserve">Microstimulation of the primate cerebellar vermis during saccadic eye movements</t>
  </si>
  <si>
    <t xml:space="preserve">Keller et al., 1983</t>
  </si>
  <si>
    <t xml:space="preserve">cerebellar vermis</t>
  </si>
  <si>
    <t xml:space="preserve">Single-unit recording and stimulation in superior colliculus of the alert rhesus monkey</t>
  </si>
  <si>
    <t xml:space="preserve">Schiller &amp; Stryker, 1972</t>
  </si>
  <si>
    <t xml:space="preserve">Suppression of visually initiated hand movement by stimulation of the prefrontal cortex in the monkey</t>
  </si>
  <si>
    <t xml:space="preserve">Sasaki et al., 1989</t>
  </si>
  <si>
    <t xml:space="preserve">Smooth pursuit-related information processing in frontal eye field neurons that project to the NRTP</t>
  </si>
  <si>
    <t xml:space="preserve">Ono &amp; Mustari, 2009</t>
  </si>
  <si>
    <t xml:space="preserve">rNRTP</t>
  </si>
  <si>
    <t xml:space="preserve">Functional organization of inferior area 6 in the macaque monkey. I. Somatotopy and the control of proximal movements</t>
  </si>
  <si>
    <t xml:space="preserve">Gentilucci et al., 1988</t>
  </si>
  <si>
    <t xml:space="preserve">area 6</t>
  </si>
  <si>
    <t xml:space="preserve">Topography of the oculomotor area of the cerebellar vermis in macaques as determined by microstimulation</t>
  </si>
  <si>
    <t xml:space="preserve">Noda &amp; Fujikado, 1987</t>
  </si>
  <si>
    <t xml:space="preserve">The ocular tilt reaction--a brainstem oculomotor routine</t>
  </si>
  <si>
    <t xml:space="preserve">Westheimer &amp; Blair, 1975</t>
  </si>
  <si>
    <t xml:space="preserve">brainstem tegmentum</t>
  </si>
  <si>
    <t xml:space="preserve">Learning signals from the superior colliculus for adaptation of saccadic eye movements in the monkey</t>
  </si>
  <si>
    <t xml:space="preserve">Kaku et al., 2009</t>
  </si>
  <si>
    <t xml:space="preserve">Inferotemporal cortex subserves three-dimensional structure categorization</t>
  </si>
  <si>
    <t xml:space="preserve">Verhoef et al., 2012</t>
  </si>
  <si>
    <t xml:space="preserve">IT</t>
  </si>
  <si>
    <t xml:space="preserve">Interactions between natural and electrically evoked saccades. I. Differences between sites carrying retinal error and motor error signals in monkey superior colliculus</t>
  </si>
  <si>
    <t xml:space="preserve">Schlag-Rey et al., 1989</t>
  </si>
  <si>
    <t xml:space="preserve">Reward modulates the effect of visual cortical microstimulation on perceptual decisions</t>
  </si>
  <si>
    <t xml:space="preserve">Cicmil et al., 2015</t>
  </si>
  <si>
    <t xml:space="preserve">V5/MT</t>
  </si>
  <si>
    <t xml:space="preserve">Orbitofrontal cortex contributes to the comparison of values underlying economic choices</t>
  </si>
  <si>
    <t xml:space="preserve">Ballesta et al., 2022</t>
  </si>
  <si>
    <t xml:space="preserve">Motor actions are spatially organized in motor and dorsal premotor cortex</t>
  </si>
  <si>
    <t xml:space="preserve">Chehade &amp; Gharbawie, 2023</t>
  </si>
  <si>
    <t xml:space="preserve">Saccadic eye movements evoked by microstimulation of lobule VII of the cerebellar vermis of macaque monkeys</t>
  </si>
  <si>
    <t xml:space="preserve">Fujikado &amp; Noda, 1987</t>
  </si>
  <si>
    <t xml:space="preserve">Stimulation of the Dopaminergic Midbrain as a Behavioral Reward in Instrumentally Conditioned Monkeys</t>
  </si>
  <si>
    <t xml:space="preserve">Lovell et al., 2015</t>
  </si>
  <si>
    <t xml:space="preserve">VTA, SN</t>
  </si>
  <si>
    <t xml:space="preserve">A cortical motor region that represents the cutaneous back muscles in the macaque monkey</t>
  </si>
  <si>
    <t xml:space="preserve">Akazawa et al., 2000</t>
  </si>
  <si>
    <t xml:space="preserve">DCC</t>
  </si>
  <si>
    <t xml:space="preserve">Dissociation of spatial attention and saccade preparation</t>
  </si>
  <si>
    <t xml:space="preserve">Juan et al., 2004</t>
  </si>
  <si>
    <t xml:space="preserve">Brevity of processing in a mnemonic task</t>
  </si>
  <si>
    <t xml:space="preserve">Ringo, 1995</t>
  </si>
  <si>
    <t xml:space="preserve">medial temporal lobe</t>
  </si>
  <si>
    <t xml:space="preserve">The medial temporal lobe in encoding, retention, retrieval and interhemispheric transfer of visual memory in primates</t>
  </si>
  <si>
    <t xml:space="preserve">Ringo, 1993</t>
  </si>
  <si>
    <t xml:space="preserve">Closed-Loop Theta Stimulation in the Orbitofrontal Cortex Prevents Reward-Based Learning</t>
  </si>
  <si>
    <t xml:space="preserve">Knudsen &amp; Wallis, 2020</t>
  </si>
  <si>
    <t xml:space="preserve">Pedunculopontine tegmental nucleus neurons provide reward, sensorimotor, and alerting signals to midbrain dopamine neurons</t>
  </si>
  <si>
    <t xml:space="preserve">Hong &amp; Hikosaka, 2014</t>
  </si>
  <si>
    <t xml:space="preserve">Unit activity related to spontaneous saccades in frontal dorsomedial cortex of monkey</t>
  </si>
  <si>
    <t xml:space="preserve">Schlag &amp; Schlag-Rey, 1985</t>
  </si>
  <si>
    <t xml:space="preserve">Eye movements evoked by microstimulation in the flocculus of the alert macaque</t>
  </si>
  <si>
    <t xml:space="preserve">Belknap &amp; Noda, 1987</t>
  </si>
  <si>
    <t xml:space="preserve">Influence of the superior colliculus on the primate blink reflex</t>
  </si>
  <si>
    <t xml:space="preserve">Gnadt et al., 1997</t>
  </si>
  <si>
    <t xml:space="preserve">Mapping from motor cortex to biceps and triceps altered by elbow angle</t>
  </si>
  <si>
    <t xml:space="preserve">Somatotopic representation in inferior area 6 of the macaque monkey</t>
  </si>
  <si>
    <t xml:space="preserve">Gentilucci et al., 1989</t>
  </si>
  <si>
    <t xml:space="preserve">A Role for the Superior Colliculus in Decision Criteria</t>
  </si>
  <si>
    <t xml:space="preserve">Crapse et al., 2018</t>
  </si>
  <si>
    <t xml:space="preserve">What the brain stem tells the frontal cortex. I. Oculomotor signals sent from superior colliculus to frontal eye field via mediodorsal thalamus</t>
  </si>
  <si>
    <t xml:space="preserve">Sommer &amp; Wurtz, 2004</t>
  </si>
  <si>
    <t xml:space="preserve">Functional territories in primate substantia nigra pars reticulata separately signaling stable and flexible values</t>
  </si>
  <si>
    <t xml:space="preserve">Yasuda &amp; Hikosaka, 2015</t>
  </si>
  <si>
    <t xml:space="preserve">The red nucleus of the monkey. Topographic localization of somatosensory input and motor output</t>
  </si>
  <si>
    <t xml:space="preserve">Larsen &amp; Yumiya, 1980</t>
  </si>
  <si>
    <t xml:space="preserve">Intracerebral self-administration of amphetamine by rhesus monkeys</t>
  </si>
  <si>
    <t xml:space="preserve">Phillips et al., 1981</t>
  </si>
  <si>
    <t xml:space="preserve">Responses of Cortical Neurons to Intracortical Microstimulation in Awake Primates</t>
  </si>
  <si>
    <t xml:space="preserve">Yun et al., 2023</t>
  </si>
  <si>
    <t xml:space="preserve">Should check whether behaviour is tested?</t>
  </si>
  <si>
    <t xml:space="preserve">Frames of reference for saccadic command tested by saccade collision in the supplementary eye field</t>
  </si>
  <si>
    <t xml:space="preserve">Park et al., 2006</t>
  </si>
  <si>
    <t xml:space="preserve">Topographical distribution and functional properties of cortically induced rhythmical jaw movements in the monkey (Macaca fascicularis)</t>
  </si>
  <si>
    <t xml:space="preserve">Huang et al., 1989</t>
  </si>
  <si>
    <t xml:space="preserve">Microstimulation of the supplementary motor area (SMA) in the awake monkey</t>
  </si>
  <si>
    <t xml:space="preserve">MacPherson et al., 1982</t>
  </si>
  <si>
    <t xml:space="preserve">Saccades are spatially, not retinocentrically, coded</t>
  </si>
  <si>
    <t xml:space="preserve">Mays &amp; Sparks, 1980</t>
  </si>
  <si>
    <t xml:space="preserve">Arm movements evoked by electrical stimulation in the motor cortex of monkeys</t>
  </si>
  <si>
    <t xml:space="preserve">Graziano et al., 2005</t>
  </si>
  <si>
    <t xml:space="preserve">Primate area MST-l is involved in the generation of goal-directed eye and hand movements</t>
  </si>
  <si>
    <t xml:space="preserve">Ilg &amp; Schumann, 2007</t>
  </si>
  <si>
    <t xml:space="preserve">MSTl</t>
  </si>
  <si>
    <t xml:space="preserve">Stimulation of the substantia nigra influences the specification of memory-guided saccades</t>
  </si>
  <si>
    <t xml:space="preserve">Mahamed et al., 2014</t>
  </si>
  <si>
    <t xml:space="preserve">Neural Activity during Voluntary Movements in Each Body Representation of the Intracortical Microstimulation-Derived Map in the Macaque Motor Cortex</t>
  </si>
  <si>
    <t xml:space="preserve">Higo et al., 2016</t>
  </si>
  <si>
    <t xml:space="preserve">M1, PMA</t>
  </si>
  <si>
    <t xml:space="preserve">Contribution of the primate superior colliculus to inhibition of return</t>
  </si>
  <si>
    <t xml:space="preserve">Dorris et al., 2002</t>
  </si>
  <si>
    <t xml:space="preserve">Electrical stimulation of cortical-caudate pairs during delayed successive visual discrimination in monkeys</t>
  </si>
  <si>
    <t xml:space="preserve">Cohen, 1972</t>
  </si>
  <si>
    <t xml:space="preserve">dlPFC</t>
  </si>
  <si>
    <t xml:space="preserve">Behavioral and motor mechanisms of dorsomedial frontal cortex of macaca monkey</t>
  </si>
  <si>
    <t xml:space="preserve">Bon &amp; Lucchetti, 1991</t>
  </si>
  <si>
    <t xml:space="preserve">dmPFC</t>
  </si>
  <si>
    <t xml:space="preserve">Bilateral force transients in the upper limbs evoked by single-pulse microstimulation in the pontomedullary reticular formation</t>
  </si>
  <si>
    <t xml:space="preserve">Hirschauer &amp; Buford, 2015</t>
  </si>
  <si>
    <t xml:space="preserve">Functional representation of eye movements in the flocculus of monkeys (Macaca fuscata)</t>
  </si>
  <si>
    <t xml:space="preserve">Balaban &amp; Watanabe, 1984</t>
  </si>
  <si>
    <t xml:space="preserve">Vestibular inputs to brain stem neurons that participate in motor learning in the primate vestibuloocular reflex</t>
  </si>
  <si>
    <t xml:space="preserve">Broussard &amp; Lisberger, 1992</t>
  </si>
  <si>
    <t xml:space="preserve">Saccadic interception of a moving visual target after a spatiotemporal perturbation</t>
  </si>
  <si>
    <t xml:space="preserve">Fleuriet &amp; Goffart, 2012</t>
  </si>
  <si>
    <t xml:space="preserve">Saccadic eye movements evoked by microstimulation of the fastigial nucleus of macaque monkeys</t>
  </si>
  <si>
    <t xml:space="preserve">Noda et al., 1988</t>
  </si>
  <si>
    <t xml:space="preserve">A cognitive neuroprosthetic that uses cortical stimulation for somatosensory feedback</t>
  </si>
  <si>
    <t xml:space="preserve">Klaes et al., 2014</t>
  </si>
  <si>
    <t xml:space="preserve">Visual responses in the dorsal premotor area F2 of the macaque monkey</t>
  </si>
  <si>
    <t xml:space="preserve">Fogassi et al., 1999</t>
  </si>
  <si>
    <t xml:space="preserve">F2</t>
  </si>
  <si>
    <t xml:space="preserve">Suppression of smooth pursuit eye movements induced by electrical stimulation of the monkey frontal eye field</t>
  </si>
  <si>
    <t xml:space="preserve">Izawa et al., 2011</t>
  </si>
  <si>
    <t xml:space="preserve">Shape responses in a macaque frontal area connected to posterior parietal cortex</t>
  </si>
  <si>
    <t xml:space="preserve">Caprara et al., 2018</t>
  </si>
  <si>
    <t xml:space="preserve">Behaviour tested?</t>
  </si>
  <si>
    <t xml:space="preserve">The relationship of periaqueductal gray neurons to vocalization and laryngeal EMG in the behaving monkey</t>
  </si>
  <si>
    <t xml:space="preserve">Larson &amp; Kistler, 1986</t>
  </si>
  <si>
    <t xml:space="preserve">Somatotopic organization of the lateral part of area F2 (dorsal premotor cortex) of the macaque monkey</t>
  </si>
  <si>
    <t xml:space="preserve">Raos et al., 2003</t>
  </si>
  <si>
    <t xml:space="preserve">An output zone of the monkey primary motor cortex specialized for bilateral hand movement</t>
  </si>
  <si>
    <t xml:space="preserve">Aizawa et al., 1990</t>
  </si>
  <si>
    <t xml:space="preserve">Ear and eye representation in the frontal cortex, area 8b, of the macaque monkey: an electrophysiological study</t>
  </si>
  <si>
    <t xml:space="preserve">Bon &amp; Lucchetti, 1994</t>
  </si>
  <si>
    <t xml:space="preserve">Area 8</t>
  </si>
  <si>
    <t xml:space="preserve">Effects of stimulation of the centromedian nucleus of the thalamus on the activity of striatal cells in awake rhesus monkeys</t>
  </si>
  <si>
    <t xml:space="preserve">Nanda et al., 2009</t>
  </si>
  <si>
    <t xml:space="preserve">thalamus</t>
  </si>
  <si>
    <t xml:space="preserve">No behaviour tested?</t>
  </si>
  <si>
    <t xml:space="preserve">[Synkinesis of head and eye movements evoked by brainstem stimulation in the alert monkey]</t>
  </si>
  <si>
    <t xml:space="preserve">Complementary process to response bias in the centromedian nucleus of the thalamus</t>
  </si>
  <si>
    <t xml:space="preserve">Minamimoto et al., 2005</t>
  </si>
  <si>
    <t xml:space="preserve">Disruption of short-term visual memory by electrical stimulation of inferotemporal cortex in the monkey</t>
  </si>
  <si>
    <t xml:space="preserve">Kovner &amp; Stamm, 1972</t>
  </si>
  <si>
    <t xml:space="preserve">PFC, IT</t>
  </si>
  <si>
    <t xml:space="preserve">The effects of microstimulation of the dorsomedial frontal cortex on saccade latency</t>
  </si>
  <si>
    <t xml:space="preserve">Yang et al., 2008</t>
  </si>
  <si>
    <t xml:space="preserve">dmPFC, SEF, pre-SMA</t>
  </si>
  <si>
    <t xml:space="preserve">Initiation and suppression of saccades by the frontal eye field in the monkey</t>
  </si>
  <si>
    <t xml:space="preserve">Izawa et al., 2005</t>
  </si>
  <si>
    <t xml:space="preserve">Eye movements elicited by electrical stimulation of area PG in the monkey</t>
  </si>
  <si>
    <t xml:space="preserve">Kurylo &amp; Skavenski, 1991</t>
  </si>
  <si>
    <t xml:space="preserve">PG</t>
  </si>
  <si>
    <t xml:space="preserve">Executive control of countermanding saccades by the supplementary eye field</t>
  </si>
  <si>
    <t xml:space="preserve">Stuphorn &amp; Schall, 2006</t>
  </si>
  <si>
    <t xml:space="preserve">Short latency jaw movement produced by low intensity intracortical microstimulation of the precentral face area in monkeys</t>
  </si>
  <si>
    <t xml:space="preserve">Clark &amp; Luschei, 1974</t>
  </si>
  <si>
    <t xml:space="preserve">Somatotopic arrangement and corticocortical inputs of the hindlimb region of the primary motor cortex in the macaque monkey</t>
  </si>
  <si>
    <t xml:space="preserve">Hatanaka et al., 2001</t>
  </si>
  <si>
    <t xml:space="preserve">Functional identification of a pulvinar path from superior colliculus to cortical area MT</t>
  </si>
  <si>
    <t xml:space="preserve">Berman &amp; Wurtz, 2010</t>
  </si>
  <si>
    <t xml:space="preserve">Microstimulation of the frontal eye field and its effects on covert spatial attention</t>
  </si>
  <si>
    <t xml:space="preserve">Moore &amp; Fallah, 2004</t>
  </si>
  <si>
    <t xml:space="preserve">Effects of behaviorally rewarding hypothalamic electrical stimulation on intracellularly recorded neuronal activity in the motor cortex of awake monkeys</t>
  </si>
  <si>
    <t xml:space="preserve">Aou et al., 1988</t>
  </si>
  <si>
    <t xml:space="preserve">Linking neural representation to function in stereoscopic depth perception: roles of the middle temporal area in coarse versus fine disparity discrimination</t>
  </si>
  <si>
    <t xml:space="preserve">Uka &amp; DeAngelis, 2006</t>
  </si>
  <si>
    <t xml:space="preserve">Physiological and behavioral changes produced by cerebellar stimulation in the monkey</t>
  </si>
  <si>
    <t xml:space="preserve">Robertson &amp; Smith, 1980</t>
  </si>
  <si>
    <t xml:space="preserve">Entrained neuronal activity to periodic visual stimuli in the primate striatum compared with the cerebellum</t>
  </si>
  <si>
    <t xml:space="preserve">Kameda et al., 2019</t>
  </si>
  <si>
    <t xml:space="preserve">Suppression of visually and memory-guided saccades induced by electrical stimulation of the monkey frontal eye field. I. Suppression of ipsilateral saccades</t>
  </si>
  <si>
    <t xml:space="preserve">Izawa et al., 2004</t>
  </si>
  <si>
    <t xml:space="preserve">Structural and functional definition of the motor cortex in the monkey (Macaca fascicularis)</t>
  </si>
  <si>
    <t xml:space="preserve">Sessle &amp; Wiesendanger, 1982</t>
  </si>
  <si>
    <t xml:space="preserve">Locomotor control in macaque monkeys</t>
  </si>
  <si>
    <t xml:space="preserve">Eidelberg et al., 1981</t>
  </si>
  <si>
    <t xml:space="preserve">thalamus, midbrain</t>
  </si>
  <si>
    <t xml:space="preserve">Neural information transferred from the putamen to the globus pallidus during learned movement in the monkey</t>
  </si>
  <si>
    <t xml:space="preserve">Kimura et al., 1996</t>
  </si>
  <si>
    <t xml:space="preserve">Intracortical microstimulation of bilateral frontal eye field</t>
  </si>
  <si>
    <t xml:space="preserve">Fujii et al., 1998</t>
  </si>
  <si>
    <t xml:space="preserve">Effect of eye position within the orbit on electrically elicited saccadic eye movements: a comparison of the macaque monkey's frontal and supplementary eye fields</t>
  </si>
  <si>
    <t xml:space="preserve">Russo &amp; Bruce, 1993</t>
  </si>
  <si>
    <t xml:space="preserve">FEF, SEF</t>
  </si>
  <si>
    <t xml:space="preserve">The effects upon the activity of hand and forearm muscles of intracortical stimulation in the vicinity of corticomotor neurones in the conscious monkey</t>
  </si>
  <si>
    <t xml:space="preserve">Lemon et al., 1987</t>
  </si>
  <si>
    <t xml:space="preserve">Frontal eye field activity preceding aurally guided saccades</t>
  </si>
  <si>
    <t xml:space="preserve">Russo &amp; Bruce, 1994</t>
  </si>
  <si>
    <t xml:space="preserve">Features of cortically evoked swallowing in the awake primate (Macaca fascicularis)</t>
  </si>
  <si>
    <t xml:space="preserve">Martin et al., 1999</t>
  </si>
  <si>
    <t xml:space="preserve">Generation of torsional and vertical eye position signals by the interstitial nucleus of Cajal</t>
  </si>
  <si>
    <t xml:space="preserve">Crawford et al., 1991</t>
  </si>
  <si>
    <t xml:space="preserve">Neurons related to reaching-grasping arm movements in the rostral part of area 6 (area 6a beta)</t>
  </si>
  <si>
    <t xml:space="preserve">Rizzolatti et al., 1990</t>
  </si>
  <si>
    <t xml:space="preserve">area 6A</t>
  </si>
  <si>
    <t xml:space="preserve">Cross correlation studies in primate motor cortex: event related correlation</t>
  </si>
  <si>
    <t xml:space="preserve">Murphy et al., 1985</t>
  </si>
  <si>
    <t xml:space="preserve">The pituitary inhibitory system: its role in pain perception</t>
  </si>
  <si>
    <t xml:space="preserve">Yanagida et al., 1985</t>
  </si>
  <si>
    <t xml:space="preserve">pituitary</t>
  </si>
  <si>
    <t xml:space="preserve">Some hormonal responses to electrical self-stimulation in the Macaca mulatta</t>
  </si>
  <si>
    <t xml:space="preserve">McHugh et al., 1966</t>
  </si>
  <si>
    <t xml:space="preserve">lateral preoptic area</t>
  </si>
  <si>
    <t xml:space="preserve">Cerebellar vermis involvement in monkey saccadic eye movements: microstimulation</t>
  </si>
  <si>
    <t xml:space="preserve">McElligott &amp; Keller, 1984</t>
  </si>
  <si>
    <t xml:space="preserve">Context-dependent stimulation effects on saccade initiation in the presupplementary motor area of the monkey</t>
  </si>
  <si>
    <t xml:space="preserve">Isoda, 2005</t>
  </si>
  <si>
    <t xml:space="preserve">Symmetry of oculomotor burst neuron coordinates about Listing's plane</t>
  </si>
  <si>
    <t xml:space="preserve">Crawford &amp; Vilis, 1992</t>
  </si>
  <si>
    <t xml:space="preserve">Three-dimensional eye-head coordination is implemented downstream from the superior colliculus</t>
  </si>
  <si>
    <t xml:space="preserve">Klier et al., 2003</t>
  </si>
  <si>
    <t xml:space="preserve">Saccadic burst neurons in the oculomotor region of the fastigial nucleus of macaque monkeys</t>
  </si>
  <si>
    <t xml:space="preserve">cerebeller oculomotor vermis</t>
  </si>
  <si>
    <t xml:space="preserve">Error Signals in Motor Cortices Drive Adaptation in Reaching</t>
  </si>
  <si>
    <t xml:space="preserve">Inoue et al., 2016</t>
  </si>
  <si>
    <t xml:space="preserve">Interaction of the two frontal eye fields before saccade onset</t>
  </si>
  <si>
    <t xml:space="preserve">Influence of globus pallidus on arm movements in monkeys. II. Effects of stimulation</t>
  </si>
  <si>
    <t xml:space="preserve">Horak &amp; Anderson, 1984</t>
  </si>
  <si>
    <t xml:space="preserve">Oscillatory activity in forelimb muscles of behaving monkeys evoked by microstimulation in the cerebellar nuclei</t>
  </si>
  <si>
    <t xml:space="preserve">Aumann &amp; Fetz, 2004</t>
  </si>
  <si>
    <t xml:space="preserve">Eye movements evoked by collicular stimulation in the alert monkey</t>
  </si>
  <si>
    <t xml:space="preserve">Robinson, 1972</t>
  </si>
  <si>
    <t xml:space="preserve">Encoding of reach and grasp by single neurons in premotor cortex is independent of recording site</t>
  </si>
  <si>
    <t xml:space="preserve">Stark et al., 2007</t>
  </si>
  <si>
    <t xml:space="preserve">Organization of the primate face motor cortex as revealed by intracortical microstimulation and electrophysiological identification of afferent inputs and corticobulbar projections</t>
  </si>
  <si>
    <t xml:space="preserve">Huang et al., 1988</t>
  </si>
  <si>
    <t xml:space="preserve">Direction-selective saccadic-burst neurons in the fastigial oculomotor region of the macaque</t>
  </si>
  <si>
    <t xml:space="preserve">Ohtsuka &amp; Noda, 1990</t>
  </si>
  <si>
    <t xml:space="preserve">FN, cerebellum</t>
  </si>
  <si>
    <t xml:space="preserve">Organization of nonprimary motor cortical inputs on pyramidal and nonpyramidal tract neurons of primary motor cortex: An electrophysiological study in the macaque monkey</t>
  </si>
  <si>
    <t xml:space="preserve">Tokuno &amp; Nambu, 2000</t>
  </si>
  <si>
    <t xml:space="preserve">Fixation cells in monkey superior colliculus. II. Reversible activation and deactivation</t>
  </si>
  <si>
    <t xml:space="preserve">Munoz &amp; Wurtz, 1993</t>
  </si>
  <si>
    <t xml:space="preserve">Use of interrupted saccade paradigm to study spatial and temporal dynamics of saccadic burst cells in superior colliculus in monkey</t>
  </si>
  <si>
    <t xml:space="preserve">Keller &amp; Edelman, 1994</t>
  </si>
  <si>
    <t xml:space="preserve">An oculomotor representation area within the ventral premotor cortex</t>
  </si>
  <si>
    <t xml:space="preserve">Behavior of monkeys during opiate withdrawal and locus coeruleus stimulation</t>
  </si>
  <si>
    <t xml:space="preserve">Grant et al., 1988</t>
  </si>
  <si>
    <t xml:space="preserve">LC</t>
  </si>
  <si>
    <t xml:space="preserve">Force-related neuronal activity in two regions of the primate ventral premotor cortex</t>
  </si>
  <si>
    <t xml:space="preserve">Hepp-Reymond et al., 1994</t>
  </si>
  <si>
    <t xml:space="preserve">Limited Pairings of Electrical Micro-stimulation of the Ventral Tegmental Area and a Visual Stimulus Enhance Visual Cortical Responses</t>
  </si>
  <si>
    <t xml:space="preserve">Herpers et al., 2022</t>
  </si>
  <si>
    <t xml:space="preserve">A model for intracortical visual prosthesis research</t>
  </si>
  <si>
    <t xml:space="preserve">Troyk et al., 2003</t>
  </si>
  <si>
    <t xml:space="preserve">Involvement of Purkinje cells in evoking saccadic eye movements by microstimulation of the posterior cerebellar vermis of monkeys</t>
  </si>
  <si>
    <t xml:space="preserve">Eye movements induced by stimulation of the pontine reticular formation: evidence for integration in oculomotor pathways</t>
  </si>
  <si>
    <t xml:space="preserve">Cohen &amp; Komatsuzaki, 1972</t>
  </si>
  <si>
    <t xml:space="preserve">An investigation of the intrinsic circuitry of the motor cortex of the monkey using intra-cortical microstimulation</t>
  </si>
  <si>
    <t xml:space="preserve">Baker et al., 1998</t>
  </si>
  <si>
    <t xml:space="preserve">Physiological and behavioral identification of vestibular nucleus neurons mediating the horizontal vestibuloocular reflex in trained rhesus monkeys</t>
  </si>
  <si>
    <t xml:space="preserve">Scudder &amp; Fuchs, 1992</t>
  </si>
  <si>
    <t xml:space="preserve">Rostrocaudal distinction of the dorsal premotor area based on oculomotor involvement</t>
  </si>
  <si>
    <t xml:space="preserve">Fujii et al., 2000</t>
  </si>
  <si>
    <t xml:space="preserve">Tonic effects of the dopaminergic ventral midbrain on the auditory cortex of awake macaque monkeys</t>
  </si>
  <si>
    <t xml:space="preserve">Huang et al., 2016</t>
  </si>
  <si>
    <t xml:space="preserve">Demonstration of artificial visual percepts generated through thalamic microstimulation</t>
  </si>
  <si>
    <t xml:space="preserve">Pezaris &amp; Reid, 2007</t>
  </si>
  <si>
    <t xml:space="preserve">dLGN</t>
  </si>
  <si>
    <t xml:space="preserve">Effective Connectivity Reveals Largely Independent Parallel Networks of Face and Body Patches</t>
  </si>
  <si>
    <t xml:space="preserve">Suppression of visually and memory-guided saccades induced by electrical stimulation of the monkey frontal eye field. II. Suppression of bilateral saccades</t>
  </si>
  <si>
    <t xml:space="preserve">Is the functional connectivity within temporal lobe influenced by saccadic eye movements?</t>
  </si>
  <si>
    <t xml:space="preserve">Sobotka et al., 2002</t>
  </si>
  <si>
    <t xml:space="preserve">IT, hippocampus</t>
  </si>
  <si>
    <t xml:space="preserve">Long-term motor cortex plasticity induced by an electronic neural implant</t>
  </si>
  <si>
    <t xml:space="preserve">Jackson et al., 2006</t>
  </si>
  <si>
    <t xml:space="preserve">Mechanisms for control of neural activity of the cerebral association cortex. II. The occurrence of recruiting type of potentials in the frontal granular cortex during stimulations of medial thalamus</t>
  </si>
  <si>
    <t xml:space="preserve">Desiraju, 1973</t>
  </si>
  <si>
    <t xml:space="preserve">ACC, dlPFC</t>
  </si>
  <si>
    <t xml:space="preserve">Electroencephalographic changes induced by cerebellar stimulation in freely moving primates</t>
  </si>
  <si>
    <t xml:space="preserve">Hablitz et al., 1974</t>
  </si>
  <si>
    <t xml:space="preserve">Mechanisms for control of neural activity of the cerebral association cortex. I. The occurrence of augmenting potentials in the frontal granular cortex during stimulations of the nucleus medialis dorsalis</t>
  </si>
  <si>
    <t xml:space="preserve">Stimulation and single-unit studies of velocity storage in the vestibular and prepositus hypoglossi nuclei of the monkey</t>
  </si>
  <si>
    <t xml:space="preserve">Yokota et al., 1992</t>
  </si>
  <si>
    <t xml:space="preserve">vestibular nuclei</t>
  </si>
  <si>
    <t xml:space="preserve">Rhythm generation in monkey motor cortex explored using pyramidal tract stimulation</t>
  </si>
  <si>
    <t xml:space="preserve">Jackson et al., 2002</t>
  </si>
  <si>
    <t xml:space="preserve">medulla</t>
  </si>
  <si>
    <t xml:space="preserve">Nystagmus induced by electrical stimulation of the vestibular and prepositus hypoglossi nuclei in the monkey: evidence for site of induction of velocity storage</t>
  </si>
  <si>
    <t xml:space="preserve">Projection on the motor cortex of thalamic neurons with pallidal input in the monkey</t>
  </si>
  <si>
    <t xml:space="preserve">Nambu et al., 1988</t>
  </si>
  <si>
    <t xml:space="preserve">Neurons of the anterior mesial cortex related to faciovocal activity in the awake monkey</t>
  </si>
  <si>
    <t xml:space="preserve">West &amp; Larson, 1995</t>
  </si>
  <si>
    <t xml:space="preserve">Motor cortical modulation of the macaque red nucleus</t>
  </si>
  <si>
    <t xml:space="preserve">Larsen &amp; Yumiya, 1981</t>
  </si>
  <si>
    <t xml:space="preserve">An intracortical microstimulation study of output organization in precentral cortex of awake primates</t>
  </si>
  <si>
    <t xml:space="preserve">Kwan et al., 1978</t>
  </si>
  <si>
    <t xml:space="preserve">Afferent modulation of unit activity in globus pallidus and caudate nucleus: changes induced by vestibular nucleus and pyramidal tract stimulation</t>
  </si>
  <si>
    <t xml:space="preserve">Matsunami &amp; Cohen, 1975</t>
  </si>
  <si>
    <t xml:space="preserve">Paired Stimulation for Spike-Timing-Dependent Plasticity in Primate Sensorimotor Cortex</t>
  </si>
  <si>
    <t xml:space="preserve">Seeman et al., 2017</t>
  </si>
  <si>
    <t xml:space="preserve">Operant conditioning of neural activity in freely behaving monkeys with intracranial reinforcement</t>
  </si>
  <si>
    <t xml:space="preserve">Eaton et al., 2017</t>
  </si>
  <si>
    <t xml:space="preserve">Nac</t>
  </si>
  <si>
    <t xml:space="preserve">Motor outputs from the primate reticular formation to shoulder muscles as revealed by stimulus-triggered averaging</t>
  </si>
  <si>
    <t xml:space="preserve">Davidson &amp; Buford, 2004</t>
  </si>
  <si>
    <t xml:space="preserve">Role of Purkinje cells in the ventral paraflocculus in short-latency ocular following responses</t>
  </si>
  <si>
    <t xml:space="preserve">Shidara &amp; Kawano, 1993</t>
  </si>
  <si>
    <t xml:space="preserve">Functional properties of neurons in the primate tongue primary motor cortex during swallowing</t>
  </si>
  <si>
    <t xml:space="preserve">Martin et al., 1997</t>
  </si>
  <si>
    <t xml:space="preserve">Behavioral effects of telestimulating hypothalamic reinforcement sites in freely moving rhesus monkeys</t>
  </si>
  <si>
    <t xml:space="preserve">Maxim, 1972</t>
  </si>
  <si>
    <t xml:space="preserve">Attenuation of pain reactivity by caudate nucleus stimulation in monkeys</t>
  </si>
  <si>
    <t xml:space="preserve">Lineberry &amp; Vierck, 1975</t>
  </si>
  <si>
    <t xml:space="preserve">Participation of medial pontine reticular formation in eye movement generation in monkey</t>
  </si>
  <si>
    <t xml:space="preserve">Keller, 1974</t>
  </si>
  <si>
    <t xml:space="preserve">Thalamic deep brain stimulation paradigm to reduce consciousness: Cortico-striatal dynamics implicated in mechanisms of consciousness</t>
  </si>
  <si>
    <t xml:space="preserve">Redinbaugh et al., 2022</t>
  </si>
  <si>
    <t xml:space="preserve">The effects of prolonged cortical stimulation on the natural activity of neurones in the precentral gyrus of conscious monkeys</t>
  </si>
  <si>
    <t xml:space="preserve">Horne &amp; Porter, 1971</t>
  </si>
  <si>
    <t xml:space="preserve">Digit-muscle responses evoked from multiple intracortical foci in monkey precentral motor cortex</t>
  </si>
  <si>
    <t xml:space="preserve">Sato &amp; Tanji, 1989</t>
  </si>
  <si>
    <t xml:space="preserve">Electrophysiology of the frontal granular cortex. I. Patterns of focal field potentials evoked by stimulations of dorsomedial thalamus in conscious monkey</t>
  </si>
  <si>
    <t xml:space="preserve">Neural basis for motor learning in the vestibuloocular reflex of primates. III. Computational and behavioral analysis of the sites of learning</t>
  </si>
  <si>
    <t xml:space="preserve">Lisberger, 1994</t>
  </si>
  <si>
    <t xml:space="preserve">Substantia nigra output to prefrontal cortex via thalamus in monkeys. I. Electrophysiological identification of thalamic relay neurons</t>
  </si>
  <si>
    <t xml:space="preserve">Tanibuchi et al., 2009</t>
  </si>
  <si>
    <t xml:space="preserve">Myo-cortical crossed feedback reorganizes primate motor cortex output</t>
  </si>
  <si>
    <t xml:space="preserve">Lucas &amp; Fetz, 2013</t>
  </si>
  <si>
    <t xml:space="preserve">Premovement slow cortical potentials on self-paced hand movements and thalamocortical and corticocortical responses in the monkey</t>
  </si>
  <si>
    <t xml:space="preserve">Sasaki et al., 1981</t>
  </si>
  <si>
    <t xml:space="preserve">M1, cerebellum</t>
  </si>
  <si>
    <t xml:space="preserve">Eye movements evoked by cerebellar stimulation in the alert monkey</t>
  </si>
  <si>
    <t xml:space="preserve">Ron &amp; Robinson, 1973</t>
  </si>
  <si>
    <t xml:space="preserve">Neuronal activity patterns in primate primary motor cortex related to trained or semiautomatic jaw and tongue movements</t>
  </si>
  <si>
    <t xml:space="preserve">Yao et al., 2002</t>
  </si>
  <si>
    <t xml:space="preserve">Comparison of the neuronal activity in the SMA and the ventral cingulate cortex during prehension in the monkey</t>
  </si>
  <si>
    <t xml:space="preserve">Cadoret &amp; Smith, 1997</t>
  </si>
  <si>
    <t xml:space="preserve">Activity in rostral motor cortex in response to predictable force-pulse perturbations in a precision grip task</t>
  </si>
  <si>
    <t xml:space="preserve">Boudreau &amp; Smith, 2001</t>
  </si>
  <si>
    <t xml:space="preserve">Neural basis for motor learning in the vestibuloocular reflex of primates. I. Changes in the responses of brain stem neurons</t>
  </si>
  <si>
    <t xml:space="preserve">Lisberger et al., 1994</t>
  </si>
  <si>
    <t xml:space="preserve">Electrically-induced afterdischarges in the inferotemporal cortex of monkeys: effects on visual discrimination and discrimination-reversal performance</t>
  </si>
  <si>
    <t xml:space="preserve">Goldrich et al., 1970</t>
  </si>
  <si>
    <t xml:space="preserve">I know what you are doing. a neurophysiological study</t>
  </si>
  <si>
    <t xml:space="preserve">Umilta et al., 2001</t>
  </si>
  <si>
    <t xml:space="preserve">Relationships between neck muscle electromyography and three-dimensional head kinematics during centrally induced torsional head perturbations</t>
  </si>
  <si>
    <t xml:space="preserve">Farshadmanesh et al., 2012</t>
  </si>
  <si>
    <t xml:space="preserve">Midbrain control of three-dimensional head orientation</t>
  </si>
  <si>
    <t xml:space="preserve">Klier et al., 2002</t>
  </si>
  <si>
    <t xml:space="preserve">Bilateral actions of the reticulospinal tract on arm and shoulder muscles in the monkey: stimulus triggered averaging</t>
  </si>
  <si>
    <t xml:space="preserve">Davidson &amp; Buford, 2006</t>
  </si>
  <si>
    <t xml:space="preserve">Functional properties of single neurons in the face primary motor cortex of the primate. I. Input and output features of tongue motor cortex</t>
  </si>
  <si>
    <t xml:space="preserve">Murray &amp; Sessle, 1992</t>
  </si>
  <si>
    <t xml:space="preserve">Operant discrimination of an interoceptive stimulus in rhesus monkeys</t>
  </si>
  <si>
    <t xml:space="preserve">Slucki et al., 1965</t>
  </si>
  <si>
    <t xml:space="preserve">Alpha and gamma oscillations characterize feedback and feedforward processing in monkey visual cortex</t>
  </si>
  <si>
    <t xml:space="preserve">Van Kerkoerle et al., 2014</t>
  </si>
  <si>
    <t xml:space="preserve">A causal role for V5/MT neurons coding motion-disparity conjunctions in resolving perceptual ambiguity</t>
  </si>
  <si>
    <t xml:space="preserve">Krug et al., 2013</t>
  </si>
  <si>
    <t xml:space="preserve">Role of superior colliculus in adaptive eye-head coordination during gaze shifts</t>
  </si>
  <si>
    <t xml:space="preserve">Constantin et al., 2004</t>
  </si>
  <si>
    <t xml:space="preserve">Measuring the motor output of the pontomedullary reticular formation in the monkey: do stimulus-triggered averaging and stimulus trains produce comparable results in the upper limbs?</t>
  </si>
  <si>
    <t xml:space="preserve">Herbert et al., 2010</t>
  </si>
  <si>
    <t xml:space="preserve">Area-specific processing of cerebellar-thalamo-cortical information in primates</t>
  </si>
  <si>
    <t xml:space="preserve">Nashef et al., 2018</t>
  </si>
  <si>
    <t xml:space="preserve">Modulation of hypothalamic ICSS by concurrent limbic stimulation</t>
  </si>
  <si>
    <t xml:space="preserve">Jackson &amp; Gardner, 1974</t>
  </si>
  <si>
    <t xml:space="preserve">Effects of high-frequency stimulation in the internal globus pallidus on the activity of thalamic neurons in the awake monkey</t>
  </si>
  <si>
    <t xml:space="preserve">Anderson et al., 2003</t>
  </si>
  <si>
    <t xml:space="preserve">Neuronal activity in medial frontal cortex during learning of sequential procedures</t>
  </si>
  <si>
    <t xml:space="preserve">Nakamura et al., 1998</t>
  </si>
  <si>
    <t xml:space="preserve">Input-output properties of hand-related cells in the ventral cingulate cortex in the monkey</t>
  </si>
  <si>
    <t xml:space="preserve">Cadoret &amp; Smith, 1995</t>
  </si>
  <si>
    <t xml:space="preserve">cingulate</t>
  </si>
  <si>
    <t xml:space="preserve">Exploration of the role of the upper brainstem in motor control</t>
  </si>
  <si>
    <t xml:space="preserve">Effects of caudate nucleus stimulation on substantia nigra cell activity in monkey</t>
  </si>
  <si>
    <t xml:space="preserve">Hikosaka et al., 1993</t>
  </si>
  <si>
    <t xml:space="preserve">Responses of monkey prefrontal neurons during a visual tracking task reinforced by substantia innominata self-stimulation</t>
  </si>
  <si>
    <t xml:space="preserve">Funahashi, 1983</t>
  </si>
  <si>
    <t xml:space="preserve">Basal forebrain</t>
  </si>
  <si>
    <t xml:space="preserve">Recruitment of ipsilateral and contralateral upper limb muscles following stimulation of the cortical motor areas in the monkey</t>
  </si>
  <si>
    <t xml:space="preserve">Montgomery et al., 2013</t>
  </si>
  <si>
    <t xml:space="preserve">Functional organization of information flow in the corticospinal pathway</t>
  </si>
  <si>
    <t xml:space="preserve">Zinger et al., 2013</t>
  </si>
  <si>
    <t xml:space="preserve">Functional properties of single neurons in the face primary motor cortex of the primate. III. Relations with different directions of trained tongue protrusion</t>
  </si>
  <si>
    <t xml:space="preserve">Activity of magnocellular neuroendocrine cells in the hypothalamus of unanaesthetized monkeys. I. Functional cell types and their anatomical distribution in the supraoptic nucleus and the internuclear zone</t>
  </si>
  <si>
    <t xml:space="preserve">Hayward &amp; Jennings, 1973</t>
  </si>
  <si>
    <t xml:space="preserve">pituitary gland</t>
  </si>
  <si>
    <t xml:space="preserve">Brain state-dependence of electrically evoked potentials monitored with head-mounted electronics</t>
  </si>
  <si>
    <t xml:space="preserve">Richardson &amp; Fetz, 2012</t>
  </si>
  <si>
    <t xml:space="preserve">basal forebrain, M1, premotor cortex</t>
  </si>
  <si>
    <t xml:space="preserve">Visual response properties of V1 neurons projecting to V2 in macaque</t>
  </si>
  <si>
    <t xml:space="preserve">El-Shamayleh et al., 2013</t>
  </si>
  <si>
    <t xml:space="preserve">V2</t>
  </si>
  <si>
    <t xml:space="preserve">The dorsomedial frontal cortex of the macaca monkey: fixation and saccade-related activity</t>
  </si>
  <si>
    <t xml:space="preserve">Bon &amp; Lucchetti, 1992</t>
  </si>
  <si>
    <t xml:space="preserve">Low-frequency stimulation depresses the primate anterior-cingulate-cortex and prevents spontaneous recovery of aversive memories</t>
  </si>
  <si>
    <t xml:space="preserve">Klavir et al., 2012</t>
  </si>
  <si>
    <t xml:space="preserve">Stimulation of the ventral tegmental area induces visual cortical plasticity at the neuronal level</t>
  </si>
  <si>
    <t xml:space="preserve">Herpers et al., 2021</t>
  </si>
  <si>
    <t xml:space="preserve">Activity of neurons in cerebellar-receiving and pallidal-receiving areas of the thalamus of the behaving monkey</t>
  </si>
  <si>
    <t xml:space="preserve">Anderson &amp; Turner, 1991</t>
  </si>
  <si>
    <t xml:space="preserve">Experimental brain prosthesis for stroke</t>
  </si>
  <si>
    <t xml:space="preserve">Pinneo, 1972</t>
  </si>
  <si>
    <t xml:space="preserve">Spatial organization of precentral cortex in awake primates. III. Input-output coupling</t>
  </si>
  <si>
    <t xml:space="preserve">Murphy et al., 1978</t>
  </si>
  <si>
    <t xml:space="preserve">Neurons in the thalamic CM-Pf complex supply striatal neurons with information about behaviorally significant sensory events</t>
  </si>
  <si>
    <t xml:space="preserve">Matsumoto et al., 2001</t>
  </si>
  <si>
    <t xml:space="preserve">The primate locus coeruleus and effects of clonidine on opiate withdrawal</t>
  </si>
  <si>
    <t xml:space="preserve">Redmond &amp; Huang, 1982</t>
  </si>
  <si>
    <t xml:space="preserve">Involvement of NMDA and non-NMDA receptors in the neuronal responses of the primary motor cortex to input from the supplementary motor area and somatosensory cortex: studies of task-performing monkeys</t>
  </si>
  <si>
    <t xml:space="preserve">Shima &amp; Tanji, 1998</t>
  </si>
  <si>
    <t xml:space="preserve">M1, SMA</t>
  </si>
  <si>
    <t xml:space="preserve">A transthalamic olfactory pathway to orbitofrontal cortex in the monkey</t>
  </si>
  <si>
    <t xml:space="preserve">Yarita et al., 1980</t>
  </si>
  <si>
    <t xml:space="preserve">OFC, OB</t>
  </si>
  <si>
    <t xml:space="preserve">The superior colliculus encodes gaze commands in retinal coordinates</t>
  </si>
  <si>
    <t xml:space="preserve">Klier et al., 2001</t>
  </si>
  <si>
    <t xml:space="preserve">Role of the primate flocculus in adaptation of the vestibulo-ocular reflex</t>
  </si>
  <si>
    <t xml:space="preserve">Watanabe, 1985</t>
  </si>
  <si>
    <t xml:space="preserve">Anatomo-functional organization of the ventral primary motor and premotor cortex in the macaque monkey</t>
  </si>
  <si>
    <t xml:space="preserve">Maranesi et al., 2012</t>
  </si>
  <si>
    <t xml:space="preserve">Combined corticospinal and reticulospinal effects on upper limb muscles</t>
  </si>
  <si>
    <t xml:space="preserve">Ortiz-Rosario et al., 2014</t>
  </si>
  <si>
    <t xml:space="preserve">M1, brainstem</t>
  </si>
  <si>
    <t xml:space="preserve">Response properties of fixation neurons and their location in the frontal eye field in the monkey</t>
  </si>
  <si>
    <t xml:space="preserve">Izawa et al., 2009</t>
  </si>
  <si>
    <t xml:space="preserve">Neural mechanisms for predictive head movement strategies during sequential gaze shifts</t>
  </si>
  <si>
    <t xml:space="preserve">Monteon et al., 2012</t>
  </si>
  <si>
    <t xml:space="preserve">Activity of fixation neurons in the monkey frontal eye field during smooth pursuit eye movements</t>
  </si>
  <si>
    <t xml:space="preserve">Izawa &amp; Suzuki, 2014</t>
  </si>
  <si>
    <t xml:space="preserve">Optogenetic stimulation of the primary visual cortex drives activity in the visual association cortex</t>
  </si>
  <si>
    <t xml:space="preserve">Ortiz-Rios et al., 2023</t>
  </si>
  <si>
    <t xml:space="preserve">Partial tuning of motor cortex neurons to final posture in a free-moving paradigm</t>
  </si>
  <si>
    <t xml:space="preserve">Aflalo &amp; Graziano, 2016</t>
  </si>
  <si>
    <t xml:space="preserve">Studies on the cerebral localization of gastric secretion in the macaque</t>
  </si>
  <si>
    <t xml:space="preserve">Thayer et al., 1966</t>
  </si>
  <si>
    <t xml:space="preserve">Saccades induced by stimulation of the frontal eye fields: interaction with voluntary and reflexive eye movements</t>
  </si>
  <si>
    <t xml:space="preserve">Marrocco, 1978</t>
  </si>
  <si>
    <t xml:space="preserve">Cerebellar Roles in Self-Timing for Sub- and Supra-Second Intervals</t>
  </si>
  <si>
    <t xml:space="preserve">Ohmae et al., 2017</t>
  </si>
  <si>
    <t xml:space="preserve">Comparative Performance of Linear Multielectrode Probes and Single-Tip Electrodes for Intracortical Microstimulation and Single-Neuron Recording in Macaque Monkey</t>
  </si>
  <si>
    <t xml:space="preserve">Ferroni et al., 2017</t>
  </si>
  <si>
    <t xml:space="preserve">Physiological properties of projection neurons in the monkey striatum to the globus pallidus</t>
  </si>
  <si>
    <t xml:space="preserve">Kimura et al., 1990</t>
  </si>
  <si>
    <t xml:space="preserve">Hearing in action; auditory properties of neurons in the red nucleus of alert primates</t>
  </si>
  <si>
    <t xml:space="preserve">Lovell et al., 2014</t>
  </si>
  <si>
    <t xml:space="preserve">red nucleus</t>
  </si>
  <si>
    <t xml:space="preserve">Corticocortical and thalamocortical responses of neurons in the monkey primary motor cortex and their relation to a trained motor task</t>
  </si>
  <si>
    <t xml:space="preserve">Aizawa &amp; Tanji, 1994</t>
  </si>
  <si>
    <t xml:space="preserve">SMA, thalamus</t>
  </si>
  <si>
    <t xml:space="preserve">Luminance neurons in the pretectal olivary nucleus mediate the pupillary light reflex in the rhesus monkey</t>
  </si>
  <si>
    <t xml:space="preserve">Gamlin et al., 1995</t>
  </si>
  <si>
    <t xml:space="preserve">midbrain</t>
  </si>
  <si>
    <t xml:space="preserve">Similarities Between Somatosensory Cortical Responses Induced via Natural Touch and Microstimulation in the Ventral Posterior Lateral Thalamus in Macaques</t>
  </si>
  <si>
    <t xml:space="preserve">Francis et al., 2022</t>
  </si>
  <si>
    <t xml:space="preserve">Functionally specific and sparse domain-based micro-networks in monkey V1 and V2</t>
  </si>
  <si>
    <t xml:space="preserve">Hu &amp; Roe, 2022</t>
  </si>
  <si>
    <t xml:space="preserve">but no access</t>
  </si>
  <si>
    <t xml:space="preserve">Task-specific employment of sensory signals underlies rapid task switching</t>
  </si>
  <si>
    <t xml:space="preserve">Sasaki et al., 2022</t>
  </si>
  <si>
    <t xml:space="preserve">Sensorimotor integration in the precentral gyrus: polysensory neurons and defensive movements</t>
  </si>
  <si>
    <t xml:space="preserve">Cooke &amp; Graziano, 2004</t>
  </si>
  <si>
    <t xml:space="preserve">Muscle synergies evoked by microstimulation are preferentially encoded during behavior</t>
  </si>
  <si>
    <t xml:space="preserve">Overduin et al., 2014</t>
  </si>
  <si>
    <t xml:space="preserve">Chronic stability of a neuroprosthesis comprising multiple adjacent Utah arrays in monkeys</t>
  </si>
  <si>
    <t xml:space="preserve">Chen et al., 2023</t>
  </si>
  <si>
    <t xml:space="preserve">It is not just the category: behavioral effects of fMRI-guided electrical microstimulation result from a complex interplay of factors</t>
  </si>
  <si>
    <t xml:space="preserve">Kumar et al., 2022</t>
  </si>
  <si>
    <t xml:space="preserve">Contribution of the subthalamic nucleus to motor, cognitive and limbic processes: an electrophysiological and stimulation study in monkeys</t>
  </si>
  <si>
    <t xml:space="preserve">Bertrand et al., 2024</t>
  </si>
  <si>
    <t xml:space="preserve">Excessive daytime sleepiness in a model of Parkinson's disease improved by low-frequency stimulation of the pedunculopontine nucleus</t>
  </si>
  <si>
    <t xml:space="preserve">Davin et al., 2023</t>
  </si>
  <si>
    <t xml:space="preserve">Relationship Between the Activities of Gloss-Selective Neurons in the Macaque Inferior Temporal Cortex and the Gloss Discrimination Behavior of the Monkey</t>
  </si>
  <si>
    <t xml:space="preserve">Baba et al., 2021</t>
  </si>
  <si>
    <t xml:space="preserve">Monkey superior colliculus represents rapid eye movements in a two-dimensional motor map</t>
  </si>
  <si>
    <t xml:space="preserve">Hepp et al., 1993</t>
  </si>
  <si>
    <t xml:space="preserve">Behavioral detectability of optogenetic stimulation of inferior temporal cortex varies with the size of concurrently viewed objects</t>
  </si>
  <si>
    <t xml:space="preserve">Lafer-Sousa et al., 2022</t>
  </si>
  <si>
    <t xml:space="preserve">A shared neural network for emotional expression and perception: an anatomical study in the macaque monkey</t>
  </si>
  <si>
    <t xml:space="preserve">Jezzini et al., 2015</t>
  </si>
  <si>
    <t xml:space="preserve">Posterior Parietal Cortex Drives Inferotemporal Activations During Three-Dimensional Object Vision</t>
  </si>
  <si>
    <t xml:space="preserve">Van Dromme et al., 2016</t>
  </si>
  <si>
    <t xml:space="preserve">A multisynaptic pathway from the ventral midbrain toward spinal motoneurons in monkeys</t>
  </si>
  <si>
    <t xml:space="preserve">Suzuki et al., 2022</t>
  </si>
  <si>
    <t xml:space="preserve">Cerebellar outputs contribute to spontaneous and movement-related activity in the motor cortex of monkeys</t>
  </si>
  <si>
    <t xml:space="preserve">Sano et al., 2021</t>
  </si>
  <si>
    <t xml:space="preserve">A novel neural prosthesis providing long-term electrocorticography recording and cortical stimulation for epilepsy and brain-computer interface</t>
  </si>
  <si>
    <t xml:space="preserve">Romanelli et al., 2018</t>
  </si>
  <si>
    <t xml:space="preserve">Cortical Stimulation Paired With Volitional Unimanual Movement Affects Interhemispheric Communication</t>
  </si>
  <si>
    <t xml:space="preserve">Yun et al., 2021</t>
  </si>
  <si>
    <t xml:space="preserve">Inferring Cortical Connectivity from ECoG Signals Using Graph Signal Processing</t>
  </si>
  <si>
    <t xml:space="preserve">Tavildar et al., 2019</t>
  </si>
  <si>
    <t xml:space="preserve">M1,S1</t>
  </si>
  <si>
    <t xml:space="preserve">Neuronal activity in the frontal eye field of the monkey is modulated while attention is focused on to a stimulus in the peripheral visual field, irrespective of eye movement</t>
  </si>
  <si>
    <t xml:space="preserve">Kodaka et al., 1997</t>
  </si>
  <si>
    <t xml:space="preserve">NO </t>
  </si>
  <si>
    <t xml:space="preserve">Frontal non-invasive neurostimulation modulates antisaccade preparation in non-human primates</t>
  </si>
  <si>
    <t xml:space="preserve">Valero-Cabre et al., 2012</t>
  </si>
  <si>
    <t xml:space="preserve">TMS</t>
  </si>
  <si>
    <t xml:space="preserve">Longitudinal performance of a vestibular prosthesis as assessed by electrically evoked compound action potential recording</t>
  </si>
  <si>
    <t xml:space="preserve">Phillips et al., 2012</t>
  </si>
  <si>
    <t xml:space="preserve">vestibular stimulation</t>
  </si>
  <si>
    <t xml:space="preserve">Cortical visual prostheses: from microstimulation to functional percept.</t>
  </si>
  <si>
    <t xml:space="preserve">Najarpour Foroushani et al., 2018</t>
  </si>
  <si>
    <t xml:space="preserve">Particle swarm optimization for programming deep brain stimulation arrays</t>
  </si>
  <si>
    <t xml:space="preserve">Pena et al., 2017</t>
  </si>
  <si>
    <t xml:space="preserve">modelling</t>
  </si>
  <si>
    <t xml:space="preserve">Modelling and prediction of the dynamic responses of large-scale brain networks during direct electrical stimulation</t>
  </si>
  <si>
    <t xml:space="preserve">Yang et al., 2021</t>
  </si>
  <si>
    <t xml:space="preserve">Representation of Muscle Synergies in the Primate Brain</t>
  </si>
  <si>
    <t xml:space="preserve">Overduin et al., 2015</t>
  </si>
  <si>
    <t xml:space="preserve">recording</t>
  </si>
  <si>
    <t xml:space="preserve">Distributed stimulation increases force elicited with functional electrical stimulation</t>
  </si>
  <si>
    <t xml:space="preserve">Buckmire et al., 2018</t>
  </si>
  <si>
    <t xml:space="preserve">muscle contractions + anaesthesia</t>
  </si>
  <si>
    <t xml:space="preserve">Excitation of the corticospinal tract by electromagnetic and electrical stimulation of the scalp in the macaque monkey</t>
  </si>
  <si>
    <t xml:space="preserve">Edgley et al., 1990</t>
  </si>
  <si>
    <t xml:space="preserve">recordings + non-intracranial stimulation</t>
  </si>
  <si>
    <t xml:space="preserve">Activation of ganglion cells and axon bundles using epiretinal electrical stimulation</t>
  </si>
  <si>
    <t xml:space="preserve">Grosberg et al., 2017</t>
  </si>
  <si>
    <t xml:space="preserve">retinal stimulation</t>
  </si>
  <si>
    <t xml:space="preserve">Microstimulation of visual cortex to restore vision</t>
  </si>
  <si>
    <t xml:space="preserve">Tehovnik et al., 2009</t>
  </si>
  <si>
    <t xml:space="preserve">On-Probe Neural Interface ASIC for Combined Electrical Recording and Optogenetic Stimulation</t>
  </si>
  <si>
    <t xml:space="preserve">Ramezani et al., 2018</t>
  </si>
  <si>
    <t xml:space="preserve">Virtual Rhesus Labyrinth Model Predicts Responses to Electrical Stimulation Delivered by a Vestibular Prosthesis</t>
  </si>
  <si>
    <t xml:space="preserve">Hedjoudje et al., 2019</t>
  </si>
  <si>
    <t xml:space="preserve">Imaging Scan on Rhesus Monkeys With Implanted Deep Brain Stimulation Hardware</t>
  </si>
  <si>
    <t xml:space="preserve">Li et al., 2018</t>
  </si>
  <si>
    <t xml:space="preserve">Transcranial magnetic stimulation and PAS-induced cortical neuroplasticity in the awake rhesus monkey</t>
  </si>
  <si>
    <t xml:space="preserve">Amaya et al., 2010</t>
  </si>
  <si>
    <t xml:space="preserve">Histological assessment of optogenetic tools to study fronto-visual and fronto-parietal cortical networks in the rhesus macaque</t>
  </si>
  <si>
    <t xml:space="preserve">Fortuna et al., 2020</t>
  </si>
  <si>
    <t xml:space="preserve">histology</t>
  </si>
  <si>
    <t xml:space="preserve">What delay fields tell us about striate cortex</t>
  </si>
  <si>
    <t xml:space="preserve">A Novel Lead Design for Modulation and Sensing of Deep Brain Structures</t>
  </si>
  <si>
    <t xml:space="preserve">Connolly et al., 2016</t>
  </si>
  <si>
    <t xml:space="preserve">A wireless and artefact-free 128-channel neuromodulation device for closed-loop stimulation and recording in non-human primates</t>
  </si>
  <si>
    <t xml:space="preserve">Zhou et al., 2019</t>
  </si>
  <si>
    <t xml:space="preserve">In vivo impedance spectroscopy of deep brain stimulation electrodes</t>
  </si>
  <si>
    <t xml:space="preserve">Lempka et al., 2009</t>
  </si>
  <si>
    <t xml:space="preserve">Direct Activation of Primary Motor Cortex during Subthalamic But Not Pallidal Deep Brain Stimulation</t>
  </si>
  <si>
    <t xml:space="preserve">Johnson et al., 2020</t>
  </si>
  <si>
    <t xml:space="preserve">NO, parkinsonian animals</t>
  </si>
  <si>
    <t xml:space="preserve">ERAASR: an algorithm for removing electrical stimulation artifacts from multielectrode array recordings</t>
  </si>
  <si>
    <t xml:space="preserve">O'Shea &amp; Shenoy, 2018</t>
  </si>
  <si>
    <t xml:space="preserve">artifact removal paper</t>
  </si>
  <si>
    <t xml:space="preserve">An Ultra-Sensitive Step-Function Opsin for Minimally Invasive Optogenetic Stimulation in Mice and Macaques</t>
  </si>
  <si>
    <t xml:space="preserve">Gong et al., 2020</t>
  </si>
  <si>
    <t xml:space="preserve">optogenetic stimulation, dura</t>
  </si>
  <si>
    <t xml:space="preserve">WINCS Harmoni: Closed-loop dynamic neurochemical control of therapeutic interventions</t>
  </si>
  <si>
    <t xml:space="preserve">Lee et al., 2017</t>
  </si>
  <si>
    <t xml:space="preserve">Parthenogenetic activation of rhesus monkey oocytes and reconstructed embryos</t>
  </si>
  <si>
    <t xml:space="preserve">Mitalipov et al., 2001</t>
  </si>
  <si>
    <t xml:space="preserve">developmental biology?</t>
  </si>
  <si>
    <t xml:space="preserve">Neurogenic cerebral vasodilation from electrical stimulation of the cerebellum in the monkey</t>
  </si>
  <si>
    <t xml:space="preserve">McKee &amp; Stone, 1976</t>
  </si>
  <si>
    <t xml:space="preserve">anaesthetized animals</t>
  </si>
  <si>
    <t xml:space="preserve">Chronic implantation of deep brain stimulation leads in animal models of neurological disorders</t>
  </si>
  <si>
    <t xml:space="preserve">Elder et al., 2005</t>
  </si>
  <si>
    <t xml:space="preserve">Transcranial alternating current stimulation entrains single-neuron activity in the primate brain</t>
  </si>
  <si>
    <t xml:space="preserve">Krause et al., 2019</t>
  </si>
  <si>
    <t xml:space="preserve">tDCS</t>
  </si>
  <si>
    <t xml:space="preserve">Localisation and stimulation of the parietal eye field</t>
  </si>
  <si>
    <t xml:space="preserve">Phamnguyen et al., 2022</t>
  </si>
  <si>
    <t xml:space="preserve">human study</t>
  </si>
  <si>
    <t xml:space="preserve">Closed-Loop Deep Brain Stimulation Effects on Parkinsonian Motor Symptoms in a Non-Human Primate - Is Beta Enough?</t>
  </si>
  <si>
    <t xml:space="preserve">Johnson et al., 2016</t>
  </si>
  <si>
    <t xml:space="preserve">Collection and quality of rhesus monkey semen</t>
  </si>
  <si>
    <t xml:space="preserve">Lanzendorf et al., 1990</t>
  </si>
  <si>
    <t xml:space="preserve">Prosthetic Stimulation of the Vestibular Nerve Can Evoke Robust Eye and Head Movements Despite Prior Labyrinthectomy</t>
  </si>
  <si>
    <t xml:space="preserve">Wiboonsaksakul et al., 2023</t>
  </si>
  <si>
    <t xml:space="preserve">Real-time suppression and amplification of frequency-specific neural activity using stimulation evoked oscillations</t>
  </si>
  <si>
    <t xml:space="preserve">Sanabria et al., 2020</t>
  </si>
  <si>
    <t xml:space="preserve">Neurophysiology: electrically evoking sensory experience</t>
  </si>
  <si>
    <t xml:space="preserve">Wickersham &amp; Groh, 1998</t>
  </si>
  <si>
    <t xml:space="preserve">Computational Modeling of Neurotransmitter Release Evoked by Electrical Stimulation: Nonlinear Approaches to Predicting Stimulation-Evoked Dopamine Release</t>
  </si>
  <si>
    <t xml:space="preserve">Trevathan et al., 2017</t>
  </si>
  <si>
    <t xml:space="preserve">Modeling the effects of Deep Brain Stimulation on sensorimotor cortex in normal and MPTP conditions</t>
  </si>
  <si>
    <t xml:space="preserve">Santaniello et al., 2010</t>
  </si>
  <si>
    <t xml:space="preserve">Neural targets for relieving parkinsonian rigidity and bradykinesia with pallidal deep brain stimulation</t>
  </si>
  <si>
    <t xml:space="preserve">Johnson et al., 2012</t>
  </si>
  <si>
    <t xml:space="preserve">GP, IC</t>
  </si>
  <si>
    <t xml:space="preserve">The Accuracy and Feasibility of Robotic Assisted Lead Implantation in Nonhuman Primates</t>
  </si>
  <si>
    <t xml:space="preserve">Zhu et al., 2019</t>
  </si>
  <si>
    <t xml:space="preserve">methods paper</t>
  </si>
  <si>
    <t xml:space="preserve">Coordinated Reset Deep Brain Stimulation of Subthalamic Nucleus Produces Long-Lasting, Dose-Dependent Motor Improvements in the 1-Methyl-4-phenyl-1,2,3,6-tetrahydropyridine Non-Human Primate Model of Parkinsonism</t>
  </si>
  <si>
    <t xml:space="preserve">Wang et al., 2016</t>
  </si>
  <si>
    <t xml:space="preserve">Field evoked potentials in the globus pallidus of non-human primates</t>
  </si>
  <si>
    <t xml:space="preserve">Prescott et al., 2017</t>
  </si>
  <si>
    <t xml:space="preserve">Spatial steering of deep brain stimulation volumes using a novel lead design</t>
  </si>
  <si>
    <t xml:space="preserve">Martens et al., 2011</t>
  </si>
  <si>
    <t xml:space="preserve">mostly methods</t>
  </si>
  <si>
    <t xml:space="preserve">Electrical stimulation of semicircular canal afferents affects the perception of head orientation</t>
  </si>
  <si>
    <t xml:space="preserve">Lewis et al., 2013</t>
  </si>
  <si>
    <t xml:space="preserve">Prostaglandins E1 and E2, but not F2alpha or latanoprost, inhibit monkey ciliary muscle contraction</t>
  </si>
  <si>
    <t xml:space="preserve">Yamaji et al., 2005</t>
  </si>
  <si>
    <t xml:space="preserve">some kind of in vitro study</t>
  </si>
  <si>
    <t xml:space="preserve">Current-controlled deep brain stimulation reduces in vivo voltage fluctuations observed during voltage-controlled stimulation</t>
  </si>
  <si>
    <t xml:space="preserve">Lempka et al., 2010</t>
  </si>
  <si>
    <t xml:space="preserve">More about safety, curent-controlled pulses</t>
  </si>
  <si>
    <t xml:space="preserve">Non-invasive assessment of superficial and deep layer circuits in human motor cortex</t>
  </si>
  <si>
    <t xml:space="preserve">Kurz et al., 2019</t>
  </si>
  <si>
    <t xml:space="preserve">TMS in humans, monkey recordings motor cortex</t>
  </si>
  <si>
    <t xml:space="preserve">A Causal Network Analysis of Neuromodulation in the Mood Processing Network</t>
  </si>
  <si>
    <t xml:space="preserve">Qiao et al., 2020</t>
  </si>
  <si>
    <t xml:space="preserve">network analysis</t>
  </si>
  <si>
    <t xml:space="preserve">Optogenetic Tractography for anatomo-functional characterization of cortico-subcortical neural circuits in non-human primates</t>
  </si>
  <si>
    <t xml:space="preserve">Senova et al., 2018</t>
  </si>
  <si>
    <t xml:space="preserve">optogenetic -&gt; tractography</t>
  </si>
  <si>
    <t xml:space="preserve">Theoretical Optimization of Stimulation Strategies for a Directionally Segmented Deep Brain Stimulation Electrode Array</t>
  </si>
  <si>
    <t xml:space="preserve">Xiao et al., 2016</t>
  </si>
  <si>
    <t xml:space="preserve">electrical (DBS) -&gt; parameter optimization</t>
  </si>
  <si>
    <t xml:space="preserve">Longitudinal performance of an implantable vestibular prosthesis</t>
  </si>
  <si>
    <t xml:space="preserve">Phillips et al., 2015</t>
  </si>
  <si>
    <t xml:space="preserve">The mechanism of accommodation in primates</t>
  </si>
  <si>
    <t xml:space="preserve">Glasser &amp; Kaufmann, 1999</t>
  </si>
  <si>
    <t xml:space="preserve">opthalmology, brainstem stimulation but doesn't seem super relevant</t>
  </si>
  <si>
    <t xml:space="preserve">Feasibility and performance of a frameless stereotactic system for targeting subcortical nuclei in nonhuman primates</t>
  </si>
  <si>
    <t xml:space="preserve">Branco de Paiva et al., 2020</t>
  </si>
  <si>
    <t xml:space="preserve">methodology</t>
  </si>
  <si>
    <t xml:space="preserve">Responses of single corticospinal neurons to intracortical stimulation of primary motor and premotor cortex in the anesthetized macaque monkey</t>
  </si>
  <si>
    <t xml:space="preserve">Maier et al., 2013</t>
  </si>
  <si>
    <t xml:space="preserve">electrical, but anaesthetized</t>
  </si>
  <si>
    <t xml:space="preserve">High-fidelity reproduction of spatiotemporal visual signals for retinal prosthesis</t>
  </si>
  <si>
    <t xml:space="preserve">Jepson et al., 2014</t>
  </si>
  <si>
    <t xml:space="preserve">retina stimulation</t>
  </si>
  <si>
    <t xml:space="preserve">Characterization of the electrically evoked compound action potential of the vestibular nerve</t>
  </si>
  <si>
    <t xml:space="preserve">Nie et al., 2011</t>
  </si>
  <si>
    <t xml:space="preserve">The anatomy of the caudal zona incerta in rodents and primates</t>
  </si>
  <si>
    <t xml:space="preserve">Watson et al., 2014</t>
  </si>
  <si>
    <t xml:space="preserve">Behavioural state affects saccades elicited electrically from neocortex</t>
  </si>
  <si>
    <t xml:space="preserve">Tehovnik &amp; Slocum</t>
  </si>
  <si>
    <t xml:space="preserve">Mapping functional gradients of the striatal circuit using simultaneous microelectric stimulation and ultrahigh-field fMRI in non-human primates</t>
  </si>
  <si>
    <t xml:space="preserve">Han et al., 2021</t>
  </si>
  <si>
    <t xml:space="preserve">High-resolution electrical stimulation of primate retina for epiretinal implant design</t>
  </si>
  <si>
    <t xml:space="preserve">Serkinjak et al., 2008</t>
  </si>
  <si>
    <t xml:space="preserve">No-go potential in the prefrontal cortex and electrical stimulation of its loci in monkeys</t>
  </si>
  <si>
    <t xml:space="preserve">Sasaki, 1995</t>
  </si>
  <si>
    <t xml:space="preserve">Three-dimensional SPACE fluid-attenuated inversion recovery at 3 T to improve subthalamic nucleus lead placement for deep brain stimulation in Parkinson's disease: from preclinical to clinical studies</t>
  </si>
  <si>
    <t xml:space="preserve">Senova et al., 2016</t>
  </si>
  <si>
    <t xml:space="preserve">focus on reconstruction methods</t>
  </si>
  <si>
    <t xml:space="preserve">Anatomical connectivity between subcortical structures</t>
  </si>
  <si>
    <t xml:space="preserve">Taljan et al., 2011</t>
  </si>
  <si>
    <t xml:space="preserve">tractography</t>
  </si>
  <si>
    <t xml:space="preserve">Reanimating the arm and hand with intraspinal microstimulation</t>
  </si>
  <si>
    <t xml:space="preserve">Zimmermann et al., 2011</t>
  </si>
  <si>
    <t xml:space="preserve">electrical, spinal cord</t>
  </si>
  <si>
    <t xml:space="preserve">An in vivo analysis of the effect of transcutaneous electrical stimulation of the quadriceps and hamstrings on anterior cruciate ligament deformation</t>
  </si>
  <si>
    <t xml:space="preserve">Kain et al., 1988</t>
  </si>
  <si>
    <t xml:space="preserve">muscle study</t>
  </si>
  <si>
    <t xml:space="preserve">Cytoarchitecture and cortical connections of the anterior insula and adjacent frontal motor fields in the rhesus monkey</t>
  </si>
  <si>
    <t xml:space="preserve">Morecraft et al., 2015</t>
  </si>
  <si>
    <t xml:space="preserve">PET measurement of changes in D2/D3 dopamine receptor binding in a nonhuman primate during chronic deep brain stimulation of the bed nucleus of the stria terminalis</t>
  </si>
  <si>
    <t xml:space="preserve">Vandehey et al., 2008</t>
  </si>
  <si>
    <t xml:space="preserve">BNST</t>
  </si>
  <si>
    <t xml:space="preserve">No behaviour</t>
  </si>
  <si>
    <t xml:space="preserve">Closed-Loop Interruption of Hippocampal Ripples through Fornix Stimulation in the Non-Human Primate</t>
  </si>
  <si>
    <t xml:space="preserve">Talakoub et al., 2016</t>
  </si>
  <si>
    <t xml:space="preserve">Fornix and hippocampus</t>
  </si>
  <si>
    <t xml:space="preserve">Effects of high-frequency stimulation of the internal pallidal segment on neuronal activity in the thalamus in parkinsonian monkeys</t>
  </si>
  <si>
    <t xml:space="preserve">Kammermeier et al., 2016</t>
  </si>
  <si>
    <t xml:space="preserve">Parkinsonian animals</t>
  </si>
  <si>
    <t xml:space="preserve">Potential Protective Effects of Chronic Anterior Thalamic Nucleus Stimulation on Hippocampal Neurons in Epileptic Monkeys</t>
  </si>
  <si>
    <t xml:space="preserve">Yang et al., 2015</t>
  </si>
  <si>
    <t xml:space="preserve">ANT</t>
  </si>
  <si>
    <t xml:space="preserve">Seizure monkeys</t>
  </si>
  <si>
    <t xml:space="preserve">Differences in the corticospinal projection from primary motor cortex and supplementary motor area to macaque upper limb motoneurons: an anatomical and electrophysiological study</t>
  </si>
  <si>
    <t xml:space="preserve">Maier et al., 2002</t>
  </si>
  <si>
    <t xml:space="preserve">Corticospinal neurons</t>
  </si>
  <si>
    <t xml:space="preserve">Strategies for optical control and simultaneous electrical readout of extended cortical circuits</t>
  </si>
  <si>
    <t xml:space="preserve">Ledochowtisch et al., 2015</t>
  </si>
  <si>
    <t xml:space="preserve">methods</t>
  </si>
  <si>
    <t xml:space="preserve">Fidelity of frequency and phase entrainment of circuit-level spike activity during DBS</t>
  </si>
  <si>
    <t xml:space="preserve">Agnesi et al., 2015</t>
  </si>
  <si>
    <t xml:space="preserve">Various striatal targets</t>
  </si>
  <si>
    <t xml:space="preserve">Long term high frequency stimulation of STN increases dopamine in the corpus striatum of hemiparkinsonian rhesus monkey</t>
  </si>
  <si>
    <t xml:space="preserve">Zhao et al., 2009</t>
  </si>
  <si>
    <t xml:space="preserve">Chronic high-frequency stimulation therapy in hemiparkinsonian rhesus monkeys using an implanted human DBS system</t>
  </si>
  <si>
    <t xml:space="preserve">Cao et al., 2013</t>
  </si>
  <si>
    <t xml:space="preserve">Evidence that serotonin is involved in prolactin release by electrical stimulation of the medial basal hypothalamus in the rhesus monkey</t>
  </si>
  <si>
    <t xml:space="preserve">Pavasuthipaisit et al., 1980</t>
  </si>
  <si>
    <t xml:space="preserve">medial basal hypothalamus</t>
  </si>
  <si>
    <t xml:space="preserve">Intracortical stimulation in pyramidotomized monkeys</t>
  </si>
  <si>
    <t xml:space="preserve">Mitz &amp; Humphrey, 1986</t>
  </si>
  <si>
    <t xml:space="preserve">Pyramidal tract, sectioning</t>
  </si>
  <si>
    <t xml:space="preserve">A coaxial optrode as multifunction write-read probe for optogenetic studies in non-human primates</t>
  </si>
  <si>
    <t xml:space="preserve">Ozden et al. 2013</t>
  </si>
  <si>
    <t xml:space="preserve">Methods</t>
  </si>
  <si>
    <t xml:space="preserve">Localization of arm representation in the cerebral peduncle of the non-human primate</t>
  </si>
  <si>
    <t xml:space="preserve">Morecraft et al., 2007</t>
  </si>
  <si>
    <t xml:space="preserve">Effects of dorsal column stimulation on primate spinothalamic tract neurons</t>
  </si>
  <si>
    <t xml:space="preserve">spinal cord stimulation</t>
  </si>
  <si>
    <t xml:space="preserve">Visual response properties of neurons in cortical areas MT and MST projecting to the dorsolateral pontine nucleus or the nucleus of the optic tract in macaque monkeys</t>
  </si>
  <si>
    <t xml:space="preserve">Hoffmann et al., 2009</t>
  </si>
  <si>
    <t xml:space="preserve">Influence of alphaxalone on motor somatosensory evoked potentials in a female rhesus macaque (Macaca mulatta)</t>
  </si>
  <si>
    <t xml:space="preserve">Betrand et al., 2021</t>
  </si>
  <si>
    <t xml:space="preserve">nerve stimulation</t>
  </si>
  <si>
    <t xml:space="preserve">Brain stimulation: feeling the buzz</t>
  </si>
  <si>
    <t xml:space="preserve">Reppas &amp; Newsome, 2007</t>
  </si>
  <si>
    <t xml:space="preserve">Reinforcement mechanisms in putamen during high frequency STN DBS: A point process study</t>
  </si>
  <si>
    <t xml:space="preserve">Santaniello et al., 2012</t>
  </si>
  <si>
    <t xml:space="preserve">Putamen</t>
  </si>
  <si>
    <t xml:space="preserve">Favorable modulation in neurotransmitters: effects of chronic anterior thalamic nuclei stimulation observed in epileptic monkeys</t>
  </si>
  <si>
    <t xml:space="preserve">Shi et al., 2015</t>
  </si>
  <si>
    <t xml:space="preserve">ATN</t>
  </si>
  <si>
    <t xml:space="preserve">Distribution of retinal responses evoked by transscleral electrical stimulation detected by intrinsic signal imaging in macaque monkeys</t>
  </si>
  <si>
    <t xml:space="preserve">Inomata et al., 2008</t>
  </si>
  <si>
    <t xml:space="preserve">A cognitive prosthesis for memory facilitation by closed-loop functional ensemble stimulation of hippocampal neurons in primate brain</t>
  </si>
  <si>
    <t xml:space="preserve">Deadwyler et al., 2017</t>
  </si>
  <si>
    <t xml:space="preserve">Dopamine Release in the Nonhuman Primate Caudate and Putamen Depends upon Site of Stimulation in the Subthalamic Nucleus</t>
  </si>
  <si>
    <t xml:space="preserve">Min et al., 2016</t>
  </si>
  <si>
    <t xml:space="preserve">DA release study</t>
  </si>
  <si>
    <t xml:space="preserve">Evaluation of high-density, multi-contact nerve cuffs for activation of grasp muscles in monkeys</t>
  </si>
  <si>
    <t xml:space="preserve">Brill et al., 2018</t>
  </si>
  <si>
    <t xml:space="preserve">muscle stimulation</t>
  </si>
  <si>
    <t xml:space="preserve">Ictal perfusion changes associated with seizure progression in the amygdala kindling model in the rhesus monkey</t>
  </si>
  <si>
    <t xml:space="preserve">Cleeren et al., 2015</t>
  </si>
  <si>
    <t xml:space="preserve">amygdala</t>
  </si>
  <si>
    <t xml:space="preserve">Effect of globus pallidus internus stimulation on neuronal activity in the pedunculopontine tegmental nucleus in the primate model of Parkinson's disease</t>
  </si>
  <si>
    <t xml:space="preserve">Zhang et al., 2012</t>
  </si>
  <si>
    <t xml:space="preserve">High-side digitally current controlled biphasic bipolar microstimulator</t>
  </si>
  <si>
    <t xml:space="preserve">Hanson et al., 2012</t>
  </si>
  <si>
    <t xml:space="preserve">Surgical intervention and accommodative responses, I: centripetal ciliary body, capsule, and lens movements in rhesus monkeys of various ages</t>
  </si>
  <si>
    <t xml:space="preserve">Croft et al., 2008</t>
  </si>
  <si>
    <t xml:space="preserve">Slit-lamp studies of the rhesus monkey eye: II. Changes in crystalline lens shape, thickness and position during accommodation and aging</t>
  </si>
  <si>
    <t xml:space="preserve">Koretz et al., 1987</t>
  </si>
  <si>
    <t xml:space="preserve">Not clear how relevant behaviour is here</t>
  </si>
  <si>
    <t xml:space="preserve">Stimulus features affecting psychophysical detection thresholds for electrical stimulation of the cochlea. II: Frequency and interpulse interval</t>
  </si>
  <si>
    <t xml:space="preserve">Pfingst &amp; Morris, 1993</t>
  </si>
  <si>
    <t xml:space="preserve">cochlear stimulation</t>
  </si>
  <si>
    <t xml:space="preserve">Electrophysiological localization of the substantia nigra in the parkinsonian nonhuman primate</t>
  </si>
  <si>
    <t xml:space="preserve">Starr et al., 2000</t>
  </si>
  <si>
    <t xml:space="preserve">Anaesthetized and Parkinsonian animals</t>
  </si>
  <si>
    <t xml:space="preserve">Cerebellar Purkinje cells control eye movements with a rapid rate code that is invariant to spike irregularity</t>
  </si>
  <si>
    <t xml:space="preserve">Payne et al., 2019</t>
  </si>
  <si>
    <t xml:space="preserve">recordings?</t>
  </si>
  <si>
    <t xml:space="preserve">Deep brain stimulation for Parkinson's disease: Potential risk of tissue damage associated with external stimulation--erratum</t>
  </si>
  <si>
    <t xml:space="preserve">Meissner et al., 2004</t>
  </si>
  <si>
    <t xml:space="preserve">erratum</t>
  </si>
  <si>
    <t xml:space="preserve">Pallidal stimulation: effect of pattern and rate on bradykinesia in the non-human primate model of Parkinson's disease</t>
  </si>
  <si>
    <t xml:space="preserve">Baker &amp; Vitek, 2011</t>
  </si>
  <si>
    <t xml:space="preserve">Bradykinesia study</t>
  </si>
  <si>
    <t xml:space="preserve">Innervation of the external urethral and external anal sphincters in higher primates</t>
  </si>
  <si>
    <t xml:space="preserve">Rockswold et al., 1980</t>
  </si>
  <si>
    <t xml:space="preserve">Vestibular ablation and a semicircular canal prosthesis affect postural stability during head turns</t>
  </si>
  <si>
    <t xml:space="preserve">Thompson et al., 2016</t>
  </si>
  <si>
    <t xml:space="preserve">vestibular dysfunction</t>
  </si>
  <si>
    <t xml:space="preserve">Chronic cerebellar stimulation in the monkey. Electron microscopic and biochemical observations</t>
  </si>
  <si>
    <t xml:space="preserve">Tennyson et al., 1975</t>
  </si>
  <si>
    <t xml:space="preserve">Functional projections from striate cortex and superior temporal sulcus to the nucleus of the optic tract (NOT) and dorsal terminal nucleus of the accessory optic tract (DTN) of macaque monkeys</t>
  </si>
  <si>
    <t xml:space="preserve">Hoffmann et al., 1991</t>
  </si>
  <si>
    <t xml:space="preserve">Spectral characteristics of the newborn rhesus macaque EEG reflect functional cortical activity</t>
  </si>
  <si>
    <t xml:space="preserve">Vanderwert et al., 2012</t>
  </si>
  <si>
    <t xml:space="preserve">EEG</t>
  </si>
  <si>
    <t xml:space="preserve">Amygdala interconnections with the cingulate motor cortex in the rhesus monkey</t>
  </si>
  <si>
    <t xml:space="preserve">Local field potential recordings in a non-human primate model of Parkinsons disease using the Activa PC + S neurostimulator</t>
  </si>
  <si>
    <t xml:space="preserve">Connolly et al., 2015</t>
  </si>
  <si>
    <t xml:space="preserve">Behaviour not the focus</t>
  </si>
  <si>
    <t xml:space="preserve">Context-dependent representation of reinforcement in monkey amygdala</t>
  </si>
  <si>
    <t xml:space="preserve">Hirai et al., 2009</t>
  </si>
  <si>
    <t xml:space="preserve">Responses evoked by a vestibular implant providing chronic stimulation</t>
  </si>
  <si>
    <t xml:space="preserve">Thompson et al., 2012</t>
  </si>
  <si>
    <t xml:space="preserve">Intermittent shock titration task in the rhesus monkey and its validity as an analgesiometric procedure</t>
  </si>
  <si>
    <t xml:space="preserve">Bloss &amp; Hammond, 1989</t>
  </si>
  <si>
    <t xml:space="preserve">morphine study?</t>
  </si>
  <si>
    <t xml:space="preserve">Depth sensitivity of binocular cortical neurons of behaving monkeys</t>
  </si>
  <si>
    <t xml:space="preserve">Fischer &amp; Poggio, 1979</t>
  </si>
  <si>
    <t xml:space="preserve">A technique for anodally blocking large nerve fibres through chronically implanted electrodes</t>
  </si>
  <si>
    <t xml:space="preserve">Brindley &amp; Craggs, 1980</t>
  </si>
  <si>
    <t xml:space="preserve">Evidence for an inhibitory 5-HT4 receptor in urinary bladder of rhesus and Cynomolgus monkeys</t>
  </si>
  <si>
    <t xml:space="preserve">Waikar &amp; Clarke, 1994</t>
  </si>
  <si>
    <t xml:space="preserve">urinary study</t>
  </si>
  <si>
    <t xml:space="preserve">Parallel processing in the corticogeniculate pathway of the macaque monkey</t>
  </si>
  <si>
    <t xml:space="preserve">Briggs &amp; Usrey, 2009</t>
  </si>
  <si>
    <t xml:space="preserve">No behaviour tested</t>
  </si>
  <si>
    <t xml:space="preserve">Hippocampal Sharp-Wave Ripples Influence Selective Activation of the Default Mode Network</t>
  </si>
  <si>
    <t xml:space="preserve">Kaplan et al., 2016</t>
  </si>
  <si>
    <t xml:space="preserve">Anaesthetized</t>
  </si>
  <si>
    <t xml:space="preserve">More about mechanism, not perception</t>
  </si>
  <si>
    <t xml:space="preserve">The effects of chronic intracortical microstimulation on neural tissue and fine motor behavior</t>
  </si>
  <si>
    <t xml:space="preserve">Rajan et al., 2015</t>
  </si>
  <si>
    <t xml:space="preserve">Fatigue development during electrical stimulation in the masseter muscle of rhesus monkeys (Macaca mulatta)</t>
  </si>
  <si>
    <t xml:space="preserve">Strom et al., 1994</t>
  </si>
  <si>
    <t xml:space="preserve">Dilation of the eustachian tube by electrical stimulation of the mandibular nerve</t>
  </si>
  <si>
    <t xml:space="preserve">Cantekin et al., 1979</t>
  </si>
  <si>
    <t xml:space="preserve">A novel device to suppress electrical stimulus artifacts in electrophysiological experiments</t>
  </si>
  <si>
    <t xml:space="preserve">Wichmann &amp; Devergnas, 2011</t>
  </si>
  <si>
    <t xml:space="preserve">Visual pathway for the optokinetic reflex in infant macaque monkeys</t>
  </si>
  <si>
    <t xml:space="preserve">Distler &amp; Hoffmann, 2011</t>
  </si>
  <si>
    <t xml:space="preserve">NOT-DTN</t>
  </si>
  <si>
    <t xml:space="preserve">Development of semi-chronic microdrive system for large-scale circuit mapping in macaque mesolimbic and basal ganglia systems</t>
  </si>
  <si>
    <t xml:space="preserve">Qiao et al., 2016</t>
  </si>
  <si>
    <t xml:space="preserve">Subthalamic stimulation elicits hemiballismus in normal monkey</t>
  </si>
  <si>
    <t xml:space="preserve">Beurrier et al., 1997</t>
  </si>
  <si>
    <t xml:space="preserve">Influence of amplitude, starting point, and age on first- and second-order dynamics of Edinger-Westphal-stimulated accommodation in rhesus monkeys</t>
  </si>
  <si>
    <t xml:space="preserve">Baumeister et al., 2010</t>
  </si>
  <si>
    <t xml:space="preserve">Modulation of motor cortex neuronal activity and motor behavior during subthalamic nucleus stimulation in the normal primate</t>
  </si>
  <si>
    <t xml:space="preserve">Johnson et al., 2015</t>
  </si>
  <si>
    <t xml:space="preserve">A computational model that predicts behavioral sensitivity to intracortical microstimulation</t>
  </si>
  <si>
    <t xml:space="preserve">Kim et al., 2017</t>
  </si>
  <si>
    <t xml:space="preserve">Methods paper</t>
  </si>
  <si>
    <t xml:space="preserve">Lateral habenula as a source of negative reward signals in dopamine neurons</t>
  </si>
  <si>
    <t xml:space="preserve">Matsumoto &amp; Hikosaka</t>
  </si>
  <si>
    <t xml:space="preserve">Didn't look at behaviour</t>
  </si>
  <si>
    <t xml:space="preserve">Rhesus monkeys reared in isolation with added social, nonsocial and electrical brain stimulation</t>
  </si>
  <si>
    <t xml:space="preserve">Sackett et al., 1982</t>
  </si>
  <si>
    <t xml:space="preserve">Not available, and doesn't seem relevant</t>
  </si>
  <si>
    <t xml:space="preserve">Frontal eye field neurons orthodromically activated from the superior colliculus</t>
  </si>
  <si>
    <t xml:space="preserve">Sommer &amp; Wurtz, 1998</t>
  </si>
  <si>
    <t xml:space="preserve">Mapping the contribution of single muscles to facial movements in the rhesus macaque</t>
  </si>
  <si>
    <t xml:space="preserve">Waller et al., 2008</t>
  </si>
  <si>
    <t xml:space="preserve">Deep brain stimulation for Parkinson's disease: potential risk of tissue damage associated with external stimulation</t>
  </si>
  <si>
    <t xml:space="preserve">Safety study?</t>
  </si>
  <si>
    <t xml:space="preserve">Optical intrinsic signal imaging with optogenetics reveals functional cortico-cortical connectivity at the columnar level in living macaques</t>
  </si>
  <si>
    <t xml:space="preserve">Nakamichi et al., 2019</t>
  </si>
  <si>
    <t xml:space="preserve">Stimulation of pontine reticular formation in monkeys with strabismus</t>
  </si>
  <si>
    <t xml:space="preserve">Walton et al., 2013</t>
  </si>
  <si>
    <t xml:space="preserve">Callosal and superior temporal sulcus contributions to receptive field properties in the macaque monkey's nucleus of the optic tract and dorsal terminal nucleus of the accessory optic tract</t>
  </si>
  <si>
    <t xml:space="preserve">Hoffmann et al., 1992</t>
  </si>
  <si>
    <t xml:space="preserve">Reliable real-time spike discrimination during microstimulation</t>
  </si>
  <si>
    <t xml:space="preserve">Paul &amp; Gnadt, 2003</t>
  </si>
  <si>
    <t xml:space="preserve">An experimental vestibular neural prosthesis: design and preliminary results with rhesus monkeys stimulated with modulated pulses</t>
  </si>
  <si>
    <t xml:space="preserve">Nie et al., 2013</t>
  </si>
  <si>
    <t xml:space="preserve">Prolonged apnea in infant monkeys resulting from stimulation of superior laryngeal nerve</t>
  </si>
  <si>
    <t xml:space="preserve">Sutton et al., 1978</t>
  </si>
  <si>
    <t xml:space="preserve">A template subtraction method for stimulus artifact removal in high-frequency deep brain stimulation</t>
  </si>
  <si>
    <t xml:space="preserve">Hashimoto et al., 2002</t>
  </si>
  <si>
    <t xml:space="preserve">Microstimulation of movements from cerebellar-receiving, but not pallidal-receiving areas of the macaque thalamus under ketamine anaesthesia</t>
  </si>
  <si>
    <t xml:space="preserve">Miall et al., 1998</t>
  </si>
  <si>
    <t xml:space="preserve">The perihypoglossal projection to the superior colliculus in the rhesus monkey</t>
  </si>
  <si>
    <t xml:space="preserve">Hartwhich-Young et al., 1990</t>
  </si>
  <si>
    <t xml:space="preserve">Corticospinal and corticorubral projections from the supplementary motor area in the monkey</t>
  </si>
  <si>
    <t xml:space="preserve">Palmer et al., 1981</t>
  </si>
  <si>
    <t xml:space="preserve">The effect of FEF microstimulation on the responses of neurons in the lateral intraparietal area</t>
  </si>
  <si>
    <t xml:space="preserve">Premereur et al., 2014</t>
  </si>
  <si>
    <t xml:space="preserve">Effect of geniohyoid, cricothyroid and sternothyroid muscle stimulation on voice fundamental frequency of electrically elicited phonation in rhesus macaque</t>
  </si>
  <si>
    <t xml:space="preserve">Sapir et al., 1981</t>
  </si>
  <si>
    <t xml:space="preserve">Brainstem</t>
  </si>
  <si>
    <t xml:space="preserve">Assessment of penile erection methods in rhesus macaques to model pharmacokinetics of antiretroviral drugs and penile infection with simian immunodeficiency virus</t>
  </si>
  <si>
    <t xml:space="preserve">Hayes et al., 2016</t>
  </si>
  <si>
    <t xml:space="preserve">erection study?</t>
  </si>
  <si>
    <t xml:space="preserve">Functional organization of motor networks in the lumbosacral spinal cord of non-human primates</t>
  </si>
  <si>
    <t xml:space="preserve">Toossi et al., 2019</t>
  </si>
  <si>
    <t xml:space="preserve">Cytoarchitectural characteristic of the frontal eye fields in macaque monkeys</t>
  </si>
  <si>
    <t xml:space="preserve">Stanton et al., 1989</t>
  </si>
  <si>
    <t xml:space="preserve">[Changes of amino acids neurotransmitters in striatum of hemi-parkinsonian rhesus monkey after high frequency stimulation of subthalamic nucleus]</t>
  </si>
  <si>
    <t xml:space="preserve">Zhao et al., 2007</t>
  </si>
  <si>
    <t xml:space="preserve">Article is in Chinese and doesn't seem relevant</t>
  </si>
  <si>
    <t xml:space="preserve">Afferent cortical connections of the motor cortical larynx area in the rhesus monkey</t>
  </si>
  <si>
    <t xml:space="preserve">Dopamine neurons code subjective sensory experience and uncertainty of perceptual decisions</t>
  </si>
  <si>
    <t xml:space="preserve">Lafuente &amp; Romo, 2011</t>
  </si>
  <si>
    <t xml:space="preserve">DA neurons</t>
  </si>
  <si>
    <t xml:space="preserve">Comparison of electrostimulation methods for semen recovery in the rhesus monkey (Macaca mulatta)</t>
  </si>
  <si>
    <t xml:space="preserve">Gould &amp; Mann, 1988</t>
  </si>
  <si>
    <t xml:space="preserve">penile/rectal probe stimulation..</t>
  </si>
  <si>
    <t xml:space="preserve">Distribution of putrescine, spermidine, and spermine in rhesus monkey brain: decrease in spermidine and spermine concentrations in motor cortex after electrical stimulation</t>
  </si>
  <si>
    <t xml:space="preserve">Russel &amp; Gfeller, 1974</t>
  </si>
  <si>
    <t xml:space="preserve">Doesn't seem relevant</t>
  </si>
  <si>
    <t xml:space="preserve">Three-dimensional kinematics at the level of the oculomotor plant</t>
  </si>
  <si>
    <t xml:space="preserve">Klier et al., 2006</t>
  </si>
  <si>
    <t xml:space="preserve">Interactions between pulse separation and pulse polarity order in cochlear implants</t>
  </si>
  <si>
    <t xml:space="preserve">Miller et al., 1997</t>
  </si>
  <si>
    <t xml:space="preserve">BOLD sensitivity to cortical activation induced by microstimulation: comparison to visual stimulation</t>
  </si>
  <si>
    <t xml:space="preserve">Sultan et al., 2007</t>
  </si>
  <si>
    <t xml:space="preserve">Expression of motor learning in the response of the primate vestibuloocular reflex pathway to electrical stimulation</t>
  </si>
  <si>
    <t xml:space="preserve">Broussard et al., 1992</t>
  </si>
  <si>
    <t xml:space="preserve">Experimental study of fascicular nerve repair with and without epineurial closure</t>
  </si>
  <si>
    <t xml:space="preserve">Kline et al., 1981</t>
  </si>
  <si>
    <t xml:space="preserve">Risk of tissue damage and deep brain stimulation with external devices: A technical note</t>
  </si>
  <si>
    <t xml:space="preserve">Trottenberg et al., 2004</t>
  </si>
  <si>
    <t xml:space="preserve">Fastigial evoked eye movement and brain stem neuronal behavior in the alert monkey</t>
  </si>
  <si>
    <t xml:space="preserve">Cogdell et al., 1977</t>
  </si>
  <si>
    <t xml:space="preserve">No explicit behaviour tested</t>
  </si>
  <si>
    <t xml:space="preserve">Spinal commissural connections to motoneurons controlling the primate hand and wrist</t>
  </si>
  <si>
    <t xml:space="preserve">Soteropoulos et al., 2013</t>
  </si>
  <si>
    <t xml:space="preserve">Physiological properties of vestibular primary afferents that mediate motor learning and normal performance of the vestibulo-ocular reflex in monkeys</t>
  </si>
  <si>
    <t xml:space="preserve">Bronte-Stewart &amp; Lisberger, 1994</t>
  </si>
  <si>
    <t xml:space="preserve">A closed-loop human simulator for investigating the role of feedback control in brain-machine interfaces</t>
  </si>
  <si>
    <t xml:space="preserve">Cunningham et al., 2011</t>
  </si>
  <si>
    <t xml:space="preserve">Elevation of pain threshold to tooth shock by brain stimulation in primates</t>
  </si>
  <si>
    <t xml:space="preserve">Oleson et al., 1980</t>
  </si>
  <si>
    <t xml:space="preserve">Brain targets not very precise</t>
  </si>
  <si>
    <t xml:space="preserve">Somatosensory evoked potentials of median and tibial nerves in rhesus monkeys (Macaca mulatta) under captivity: influence of ontogenic status in neonatal, infant, young, adult, and senile stages</t>
  </si>
  <si>
    <t xml:space="preserve">Hernandez-Godinez et al., 2011</t>
  </si>
  <si>
    <t xml:space="preserve">Spectral cancellation of microstimulation artifact for simultaneous neural recording in situ</t>
  </si>
  <si>
    <t xml:space="preserve">Gnadt et al., 2003</t>
  </si>
  <si>
    <t xml:space="preserve">Dynamics of primate oculomotor plant revealed by effects of abducens microstimulation</t>
  </si>
  <si>
    <t xml:space="preserve">Anderson et al., 2009</t>
  </si>
  <si>
    <t xml:space="preserve">Electrophysiological diversity of layer 5 pyramidal cells in the prefrontal cortex of the rhesus monkey: in vitro slice studies</t>
  </si>
  <si>
    <t xml:space="preserve">Chang &amp; Luebke, 2007 </t>
  </si>
  <si>
    <t xml:space="preserve">in-vitro study</t>
  </si>
  <si>
    <t xml:space="preserve">Unravelling cerebellar pathways with high temporal precision targeting motor and extensive sensory and parietal networks</t>
  </si>
  <si>
    <t xml:space="preserve">Sultan et al., 2012</t>
  </si>
  <si>
    <t xml:space="preserve">Anaesthetized animals, no behaviour</t>
  </si>
  <si>
    <t xml:space="preserve">Cortical neural evoked correlates of somatosensory stimulus detection in the rhesus monkey</t>
  </si>
  <si>
    <t xml:space="preserve">Kulics, 1982</t>
  </si>
  <si>
    <t xml:space="preserve">An electrophysiological study of the postnatal development of the corticospinal system in the macaque monkey</t>
  </si>
  <si>
    <t xml:space="preserve">Olivier et al., 1997</t>
  </si>
  <si>
    <t xml:space="preserve">Psychophysical evaluation of cochlear prostheses in a monkey model</t>
  </si>
  <si>
    <t xml:space="preserve">Pfingst et al., 1979</t>
  </si>
  <si>
    <t xml:space="preserve">Participation of prefrontal neurons in the preparation of visually guided eye movements in the rhesus monkey</t>
  </si>
  <si>
    <t xml:space="preserve">Boch &amp; Goldberg, 1989</t>
  </si>
  <si>
    <t xml:space="preserve">The effect of otolith and semicircular canal convergence on the VOR during eccentric rotation</t>
  </si>
  <si>
    <t xml:space="preserve">Fuhry et al., 2000</t>
  </si>
  <si>
    <t xml:space="preserve">Pituitary-adrenal response to stimulation of the limbic system and lateral hypothalamus in the rhesus monkey (Macacca mulatta)</t>
  </si>
  <si>
    <t xml:space="preserve">Frankel et al., 1978</t>
  </si>
  <si>
    <t xml:space="preserve">No behaviour tested (plasma levels of cortisol)</t>
  </si>
  <si>
    <t xml:space="preserve">Making sense: Determining the parameter space of electrical brain stimulation</t>
  </si>
  <si>
    <t xml:space="preserve">Murphey, 2015</t>
  </si>
  <si>
    <t xml:space="preserve">Macaque ventral premotor cortex exerts powerful facilitation of motor cortex outputs to upper limb motoneurons</t>
  </si>
  <si>
    <t xml:space="preserve">Shimazu et al., 2004</t>
  </si>
  <si>
    <t xml:space="preserve">M1, F5</t>
  </si>
  <si>
    <t xml:space="preserve">Design and analysis of a transcutaneous telemetry device for brain stimulator</t>
  </si>
  <si>
    <t xml:space="preserve">Wang et al., 2009</t>
  </si>
  <si>
    <t xml:space="preserve">Modulation of lemniscal input during conditioned arm movements in the monkey</t>
  </si>
  <si>
    <t xml:space="preserve">Chapman et al., 1988</t>
  </si>
  <si>
    <t xml:space="preserve">peripheral stimulation</t>
  </si>
  <si>
    <t xml:space="preserve">Reorganization of primary motor cortex in adult macaque monkeys with long-standing amputations</t>
  </si>
  <si>
    <t xml:space="preserve">Qi et al., 2000</t>
  </si>
  <si>
    <t xml:space="preserve">Amputated animals</t>
  </si>
  <si>
    <t xml:space="preserve">Anatomical variability predicts individual differences in transcranial electric stimulation motor threshold</t>
  </si>
  <si>
    <t xml:space="preserve">Lee et al., 2013</t>
  </si>
  <si>
    <t xml:space="preserve">ECT study</t>
  </si>
  <si>
    <t xml:space="preserve">Functional organization of primate translational vestibulo-ocular reflexes and effects of unilateral labyrinthectomy</t>
  </si>
  <si>
    <t xml:space="preserve">Angelaki et al., 1999</t>
  </si>
  <si>
    <t xml:space="preserve">Effects of electrode configuration on threshold functions for electrical stimulation of the cochlea</t>
  </si>
  <si>
    <t xml:space="preserve">Pfingst et al., 1995</t>
  </si>
  <si>
    <t xml:space="preserve">Effects of electrode configuration and stimulus level on rate and level discrimination with cochlear implants</t>
  </si>
  <si>
    <t xml:space="preserve">Morris &amp; Pfingst, 2000</t>
  </si>
  <si>
    <t xml:space="preserve">Effects of Hypothalamic Stimulation on the Erythropoietic Response in the Rhesus Monkey</t>
  </si>
  <si>
    <t xml:space="preserve">Mirand et al., 1964</t>
  </si>
  <si>
    <t xml:space="preserve">Hormone secretion testing</t>
  </si>
  <si>
    <t xml:space="preserve">Vestibular effects of electrical stimulation of the cochlea. Monitored in the awake primate</t>
  </si>
  <si>
    <t xml:space="preserve">Kimm et al., 1979</t>
  </si>
  <si>
    <t xml:space="preserve">Roles of the facial, glossopharyngeal and vagus nerves in velopharyngeal movement</t>
  </si>
  <si>
    <t xml:space="preserve">Nishio et al., 1976</t>
  </si>
  <si>
    <t xml:space="preserve">Reorganization of the primary motor cortex of adult macaque monkeys after sensory loss resulting from partial spinal cord injuries</t>
  </si>
  <si>
    <t xml:space="preserve">Kambi et al., 2011</t>
  </si>
  <si>
    <t xml:space="preserve">Spinal cord injury</t>
  </si>
  <si>
    <t xml:space="preserve">A method of bite force measurement in primates</t>
  </si>
  <si>
    <t xml:space="preserve">Dechow &amp; Carlson, 1983</t>
  </si>
  <si>
    <t xml:space="preserve">bite study</t>
  </si>
  <si>
    <t xml:space="preserve">Stimulus features affecting psychophysical detection thresholds for electrical stimulation of the cochlea. III. Pulse polarity</t>
  </si>
  <si>
    <t xml:space="preserve">Coste &amp; Pfingst, 1996</t>
  </si>
  <si>
    <t xml:space="preserve">Directional asymmetry of neurons in cortical areas MT and MST projecting to the NOT-DTN in macaques</t>
  </si>
  <si>
    <t xml:space="preserve">Hoffmann et al., 2002</t>
  </si>
  <si>
    <t xml:space="preserve">Not testing behaviour</t>
  </si>
  <si>
    <t xml:space="preserve">Disconnection of parietal and occipital access to the saccadic oculomotor system</t>
  </si>
  <si>
    <t xml:space="preserve">Keating &amp; Gooley, 1988</t>
  </si>
  <si>
    <t xml:space="preserve">lesion study</t>
  </si>
  <si>
    <t xml:space="preserve">The effects of electric shock on responding maintained by cocaine injections in a choice procedure in the rhesus monkey</t>
  </si>
  <si>
    <t xml:space="preserve">Johanson, 1977</t>
  </si>
  <si>
    <t xml:space="preserve">Oh and cocaine..</t>
  </si>
  <si>
    <t xml:space="preserve">Projection of the cerebellar dentate nucleus onto the frontal association cortex in monkeys</t>
  </si>
  <si>
    <t xml:space="preserve">Sasaki et al., 1979</t>
  </si>
  <si>
    <t xml:space="preserve">Cerebellum (DN)</t>
  </si>
  <si>
    <t xml:space="preserve">Intraretinal recordings of slow electrical responses to steady illumination in monkey: isolation of receptor responses and the origin of the light peak</t>
  </si>
  <si>
    <t xml:space="preserve">Valeton &amp; Van Norren, 1982</t>
  </si>
  <si>
    <t xml:space="preserve">Further studies of the neural mechanisms of ketamine-induced anesthesia in the rhesus monkey</t>
  </si>
  <si>
    <t xml:space="preserve">Sparks et al., 1975</t>
  </si>
  <si>
    <t xml:space="preserve">tooth stimulation</t>
  </si>
  <si>
    <t xml:space="preserve">Sensory discriminability in monkeys and humans: direct comparisons by signal detection theory</t>
  </si>
  <si>
    <t xml:space="preserve">Kulics &amp; Lineberry</t>
  </si>
  <si>
    <t xml:space="preserve">doesn’t seem relevant</t>
  </si>
  <si>
    <t xml:space="preserve">Training and performance of rhesus monkeys as operators in a compensatory manual control system</t>
  </si>
  <si>
    <t xml:space="preserve">Newsom et al., 1976</t>
  </si>
  <si>
    <t xml:space="preserve">doesn't seem relevant</t>
  </si>
  <si>
    <t xml:space="preserve">Neuroscience: making faces in the brain</t>
  </si>
  <si>
    <t xml:space="preserve">Dicarlo, 2006</t>
  </si>
  <si>
    <t xml:space="preserve">Neural generators of the somatosensory evoked potentials: recording from the cuneate nucleus in man and monkeys</t>
  </si>
  <si>
    <t xml:space="preserve">Moller et al., 1996</t>
  </si>
  <si>
    <t xml:space="preserve">Cardiovascular responses to experimental cerebral concussion in the rhesus monkey; discussion of similarity of responses to electroconvulsive shock and cerebral concussion in dogs, monkeys, and man</t>
  </si>
  <si>
    <t xml:space="preserve">Brown &amp; Brown, 1954</t>
  </si>
  <si>
    <t xml:space="preserve">concussion / ECT</t>
  </si>
  <si>
    <t xml:space="preserve">Simulation of motion on the skin. I. Receptive fields and temporal frequency coding by cutaneous mechanoreceptors of OPTACON pulses delivered to the hand</t>
  </si>
  <si>
    <t xml:space="preserve">Gardner &amp; Palmer, 1989</t>
  </si>
  <si>
    <t xml:space="preserve">hand study</t>
  </si>
  <si>
    <t xml:space="preserve">Responses of spinothalamic tract cells in the thoracic spinal cord of the monkey to cutaneous and visceral inputs</t>
  </si>
  <si>
    <t xml:space="preserve">Foreman et al., 1981</t>
  </si>
  <si>
    <t xml:space="preserve">esfMRI of the upper STS: further evidence for the lack of electrically induced polysynaptic propagation of activity in the neocortex</t>
  </si>
  <si>
    <t xml:space="preserve">Sultan et al., 2011</t>
  </si>
  <si>
    <t xml:space="preserve">STS</t>
  </si>
  <si>
    <t xml:space="preserve">Precentral cortical modulation of mastication and swallowing</t>
  </si>
  <si>
    <t xml:space="preserve">Miller &amp; Bowman, 1977</t>
  </si>
  <si>
    <t xml:space="preserve">Responses from neurons of the primate spinothalamic tract to electrical stimulation of afferents from the cardiopulmonary region and somatic structures</t>
  </si>
  <si>
    <t xml:space="preserve">Foreman &amp; Weber, 1980</t>
  </si>
  <si>
    <t xml:space="preserve">thalamic nuclei</t>
  </si>
  <si>
    <t xml:space="preserve">A method for recording single-cell activity in the frontal-pole cortex of macaque monkeys</t>
  </si>
  <si>
    <t xml:space="preserve">Mitz et al., 2008</t>
  </si>
  <si>
    <t xml:space="preserve">Frontal pole</t>
  </si>
  <si>
    <t xml:space="preserve">Simulation of motion on the skin. II. Cutaneous mechanoreceptor coding of the width and texture of bar patterns displaced across the OPTACON</t>
  </si>
  <si>
    <t xml:space="preserve">Spatial summation, response pattern and conduction velocity of ganglion cells of the rhesus monkey retina</t>
  </si>
  <si>
    <t xml:space="preserve">Monasterio et al., 1976</t>
  </si>
  <si>
    <t xml:space="preserve">[Dynamics of lateralization of delayed spatial choice following electrical stimulation of the monkey brain]</t>
  </si>
  <si>
    <t xml:space="preserve">Modrino, 1976</t>
  </si>
  <si>
    <t xml:space="preserve">russian</t>
  </si>
  <si>
    <t xml:space="preserve">[Electrophysiologic and morphologic studies of neocortical and deep brain structures during exposure to transcranial micropolarization]</t>
  </si>
  <si>
    <t xml:space="preserve">Gal'dinov et al., 1979</t>
  </si>
  <si>
    <t xml:space="preserve">Experimental spike and wave EEG pattern from thalamic stimulation in anaesthetized juvenile monkeys</t>
  </si>
  <si>
    <t xml:space="preserve">David et al., 1981</t>
  </si>
  <si>
    <t xml:space="preserve">Thalamic nuclei</t>
  </si>
  <si>
    <t xml:space="preserve">Old and new non-depolarizing muscle relaxants: a reassessment on subhuman primates</t>
  </si>
  <si>
    <t xml:space="preserve">Gyermek &amp; Wymore</t>
  </si>
  <si>
    <t xml:space="preserve">Influence of electrical stimulation of posterior orbital cortex upon plasma cortisol levels in unanesthetized sub-human primate</t>
  </si>
  <si>
    <t xml:space="preserve">Hall &amp; Marr, 1975</t>
  </si>
  <si>
    <t xml:space="preserve">No behavioural effects</t>
  </si>
  <si>
    <t xml:space="preserve">Electroanesthesia (EA) studies: EA produced by stimulation of sensory nerves of the scalp in Rhesus monkeys</t>
  </si>
  <si>
    <t xml:space="preserve">Kano et al., 1976</t>
  </si>
  <si>
    <t xml:space="preserve">electroanaesthesia?</t>
  </si>
  <si>
    <t xml:space="preserve">Asymmetry of on- and off-pathways of blue-sensitive cones of the retina of macaques</t>
  </si>
  <si>
    <t xml:space="preserve">Monasterio, 1979</t>
  </si>
  <si>
    <t xml:space="preserve">Mapping of evoked responses from different areas of hypothalamus on stimulation of spermatic nerve in monkeys</t>
  </si>
  <si>
    <t xml:space="preserve">Mangat et al., 1981</t>
  </si>
  <si>
    <t xml:space="preserve">Eye movement related neurons in the cerebellar nuclei of the alert monkey</t>
  </si>
  <si>
    <t xml:space="preserve">Hepp et al., 1982</t>
  </si>
  <si>
    <t xml:space="preserve">Role of the orbital cortex in cardiac dysfunction in unanesthetized rhesus monkey</t>
  </si>
  <si>
    <t xml:space="preserve">Hall &amp; Cornish, 1976</t>
  </si>
  <si>
    <t xml:space="preserve">[Inferotemporal cortex and short term visual memory in monkeys. New data]</t>
  </si>
  <si>
    <t xml:space="preserve">Delacour, 1977</t>
  </si>
  <si>
    <t xml:space="preserve">french</t>
  </si>
  <si>
    <t xml:space="preserve">A microcomputer system for the control of behavioral experiments</t>
  </si>
  <si>
    <t xml:space="preserve">Carroll et al., 1981</t>
  </si>
  <si>
    <t xml:space="preserve">Electromyographic evidence of two functional subdivisions in the rhesus monkey's flexor digitorum profundus</t>
  </si>
  <si>
    <t xml:space="preserve">Schieber, 1993</t>
  </si>
  <si>
    <t xml:space="preserve">Conduction pathways and generators of magnetic evoked spinal cord potentials: a study in monkeys</t>
  </si>
  <si>
    <t xml:space="preserve">Kitagawa &amp; Moller, 1994</t>
  </si>
  <si>
    <t xml:space="preserve">transcranial magnetic stimulation</t>
  </si>
  <si>
    <t xml:space="preserve">Topographic localisation of insulinogenic and insulinoprival areas in the hypothalamus</t>
  </si>
  <si>
    <t xml:space="preserve">Garg et al., 1978</t>
  </si>
  <si>
    <t xml:space="preserve">Distribution of cortical potentials evoked by electrical stimulation of dorsal roots in Macaca mulatta</t>
  </si>
  <si>
    <t xml:space="preserve">Woolsey et al., 1947</t>
  </si>
  <si>
    <t xml:space="preserve">Effects of long-term raphe nucleus stimulation on chronic limbic seizures in monkeys</t>
  </si>
  <si>
    <t xml:space="preserve">Perryman et al., 1980</t>
  </si>
  <si>
    <t xml:space="preserve">raphe nuclei</t>
  </si>
  <si>
    <t xml:space="preserve">Epilepsy study</t>
  </si>
  <si>
    <t xml:space="preserve">Biophysical measurements in the implanted cochlea</t>
  </si>
  <si>
    <t xml:space="preserve">Spelman et al., 1979</t>
  </si>
  <si>
    <t xml:space="preserve">Dendritic orientation of thalamocortical projection neurons in the ventrobasal complex of macaques</t>
  </si>
  <si>
    <t xml:space="preserve">Havton &amp; Ohara, 1994</t>
  </si>
  <si>
    <t xml:space="preserve">Modular activation and suppression of neocortical activity in the monkey revealed by optical imaging</t>
  </si>
  <si>
    <t xml:space="preserve">Sawaguchi, 1994</t>
  </si>
  <si>
    <t xml:space="preserve">Frontal/Parietal</t>
  </si>
  <si>
    <t xml:space="preserve">The intracerebellar nucleocortical projection in a primate</t>
  </si>
  <si>
    <t xml:space="preserve">Tolbert et al., 1977</t>
  </si>
  <si>
    <t xml:space="preserve">Bypassing the spinal cord: functional electrical stimulation guided by electrocorticography decoding</t>
  </si>
  <si>
    <t xml:space="preserve">Hotson &amp; Anderson, 2012</t>
  </si>
  <si>
    <t xml:space="preserve">commentary</t>
  </si>
  <si>
    <t xml:space="preserve">Facilitative integration of local motion signals in the peripheral visual field observed in monkey ocular following responses</t>
  </si>
  <si>
    <t xml:space="preserve">Aoki et al., 2012</t>
  </si>
  <si>
    <t xml:space="preserve">eye movement</t>
  </si>
  <si>
    <t xml:space="preserve">Effects of electrical current configuration on potential fields in the electrically stimulated cochlea: field models and measurements</t>
  </si>
  <si>
    <t xml:space="preserve">Spelman et al., 1995</t>
  </si>
  <si>
    <t xml:space="preserve">Intracortical capacitor electrodes: preliminary evaluation</t>
  </si>
  <si>
    <t xml:space="preserve">Schmidt et al., 1982</t>
  </si>
  <si>
    <t xml:space="preserve">Shedding light on the neural networks underlying behavior</t>
  </si>
  <si>
    <t xml:space="preserve">Rosania, 2012</t>
  </si>
  <si>
    <t xml:space="preserve">The effects of reverse monocular deprivation in monkeys. II. Electrophysiological and anatomical studies</t>
  </si>
  <si>
    <t xml:space="preserve">Crawford et al., 1989</t>
  </si>
  <si>
    <t xml:space="preserve">[The effect of electrostimulation of the premotor cortex and hippocampus on delayed choice in monkeys]</t>
  </si>
  <si>
    <t xml:space="preserve">Mordvinov, 1976</t>
  </si>
  <si>
    <t xml:space="preserve">A HEAD-MOUNTED REMOTE-CONTROLLED BRAIN STIMULATOR FOR USE ON RHESUS MONKEYS</t>
  </si>
  <si>
    <t xml:space="preserve">Robinson et al., 1964</t>
  </si>
  <si>
    <t xml:space="preserve">Antinociceptive effects of SC-39566, an opioid dipeptide arylalkylamide, in the Rhesus monkey</t>
  </si>
  <si>
    <t xml:space="preserve">Hammond &amp; Bloss, 1993</t>
  </si>
  <si>
    <t xml:space="preserve">pharmacological study</t>
  </si>
  <si>
    <t xml:space="preserve">Observations on coagulum characteristics of the rhesus monkey electroejaculate</t>
  </si>
  <si>
    <t xml:space="preserve">Settlage &amp; Hendrickx, 1974</t>
  </si>
  <si>
    <t xml:space="preserve">electroejaculation?</t>
  </si>
  <si>
    <t xml:space="preserve">The role of follicle stimulating hormone in testicular function of the mature rhesus monkey</t>
  </si>
  <si>
    <t xml:space="preserve">Wickings et al., 1980</t>
  </si>
  <si>
    <t xml:space="preserve">[Sensitive control of heart rate in monkeys using burst stimulation of the vagus nerve]</t>
  </si>
  <si>
    <t xml:space="preserve">Pokrovskii et al., 1987</t>
  </si>
  <si>
    <t xml:space="preserve">Pulse-pattern sensitivity in the frontal eye field of the macaque monkey</t>
  </si>
  <si>
    <t xml:space="preserve">Pouget et al., 2007</t>
  </si>
  <si>
    <t xml:space="preserve">[Effect of successive electric stimulation of different brain regions on delayed spatial choice in monkeys]</t>
  </si>
  <si>
    <t xml:space="preserve">Mordvinov, 1979</t>
  </si>
  <si>
    <t xml:space="preserve">[A clinico-experimental study of the innervation of the teeth and gingivae]</t>
  </si>
  <si>
    <t xml:space="preserve">Moroz et al., 1991</t>
  </si>
  <si>
    <t xml:space="preserve">teeth study, russian</t>
  </si>
  <si>
    <t xml:space="preserve">[Effects of electric stimulation of central end of vagus on unit discharges of hippocampus in rhesus monkeys]</t>
  </si>
  <si>
    <t xml:space="preserve">Zhang et al., 1986</t>
  </si>
  <si>
    <t xml:space="preserve">nerve stimulation, chinese</t>
  </si>
  <si>
    <t xml:space="preserve">[Participation of corticofugal transmissions in the formation of somatic evoked potentials in the caudate nucleus of monkeys]</t>
  </si>
  <si>
    <t xml:space="preserve">Tolkunov &amp; Oganesian, 1978</t>
  </si>
  <si>
    <t xml:space="preserve">Seasonal changes in production of semen in free-ranging rhesus monkey</t>
  </si>
  <si>
    <t xml:space="preserve">Zamboni et al., 1974</t>
  </si>
  <si>
    <t xml:space="preserve">sperm study</t>
  </si>
  <si>
    <t xml:space="preserve">[Role of the caudate nucleus head in delayed spatial preference and differentiation of trace reflexes in Macaca mulatta]</t>
  </si>
  <si>
    <t xml:space="preserve">Firsov &amp; Moisseeva, 1985</t>
  </si>
  <si>
    <t xml:space="preserve">[Functional characteristics of the conduction pathways of the caudal sympathetic mesenteric ganglion in the monkey (Macaca rhesus)]</t>
  </si>
  <si>
    <t xml:space="preserve">Nozdrachev &amp; Fedorova, 1983</t>
  </si>
  <si>
    <t xml:space="preserve">[Hypothalamic control of sexual behavior and grooming in monkey]</t>
  </si>
  <si>
    <t xml:space="preserve">Koyama, 1988</t>
  </si>
  <si>
    <t xml:space="preserve">japanese</t>
  </si>
  <si>
    <t xml:space="preserve">Trigeminal evoked potentials in somatosensory cortex of the Macaca mulatta</t>
  </si>
  <si>
    <t xml:space="preserve">McCarthy &amp; Allison, 1995</t>
  </si>
  <si>
    <t xml:space="preserve">Evoked potential studies of the effects of impact acceleration on the motor nervous system</t>
  </si>
  <si>
    <t xml:space="preserve">Saltzberg et al., 1983</t>
  </si>
  <si>
    <t xml:space="preserve">vehicule crash study?</t>
  </si>
  <si>
    <t xml:space="preserve">Subthalamic nucleus stimulation modulates thalamic neuronal activity</t>
  </si>
  <si>
    <t xml:space="preserve">Xu et al., 2008</t>
  </si>
  <si>
    <t xml:space="preserve">The role of the iris in accommodation of rhesus monkeys</t>
  </si>
  <si>
    <t xml:space="preserve">Crawford et al., 1990</t>
  </si>
  <si>
    <t xml:space="preserve">retinal study</t>
  </si>
  <si>
    <t xml:space="preserve">Post-spike distance-to-threshold trajectories of neurones in monkey motor cortex</t>
  </si>
  <si>
    <t xml:space="preserve">Wetmore &amp; Baker, 2004</t>
  </si>
  <si>
    <t xml:space="preserve">Custom-fit radiolucent cranial implants for neurophysiological recording and stimulation</t>
  </si>
  <si>
    <t xml:space="preserve">Mulliken et al., 2015</t>
  </si>
  <si>
    <t xml:space="preserve">The associative and limbic thalamus in the pathophysiology of obsessive-compulsive disorder: an experimental study in the monkey</t>
  </si>
  <si>
    <t xml:space="preserve">Rotge et al., 2012</t>
  </si>
  <si>
    <t xml:space="preserve">Dissociation of motor symptoms during deep brain stimulation of the subthalamic nucleus in the region of the internal capsule</t>
  </si>
  <si>
    <t xml:space="preserve">Xu et al., 2011</t>
  </si>
  <si>
    <t xml:space="preserve">[ON PATHOLOGICAL SHIFTS IN THE ECG OF RHESUS MONKEYS FOLLOWING STIMULATION OF THE CORTEX OF THE "VISCERAL BRAIN" IN CHRONIC EXPERIMENTS]</t>
  </si>
  <si>
    <t xml:space="preserve">Dzheliev, 1964</t>
  </si>
  <si>
    <t xml:space="preserve">Microelectrode array stimulation combined with intrinsic optical imaging: A novel tool for functional brain mapping</t>
  </si>
  <si>
    <t xml:space="preserve">Chernov et al., 2016</t>
  </si>
  <si>
    <t xml:space="preserve">Cortical and subcortical contributions to coordinated eye and head movements</t>
  </si>
  <si>
    <t xml:space="preserve">Sparks et al., 2001</t>
  </si>
  <si>
    <t xml:space="preserve">Tooth pulp-driven neurons in somatosensory cortex of primates: role in pain mechanisms including a review of the literature</t>
  </si>
  <si>
    <t xml:space="preserve">Biedenbach et al., 1979</t>
  </si>
  <si>
    <t xml:space="preserve">Prolactin release following electrical stimulation of the brain in ovarectomized and ovariectomized estrogen-treated rhesus monkeys</t>
  </si>
  <si>
    <t xml:space="preserve">Quadri et al., 1977</t>
  </si>
  <si>
    <t xml:space="preserve">Edinger--Westphal stimulated accommodative dynamics in anesthetized, middle-aged rhesus monkeys</t>
  </si>
  <si>
    <t xml:space="preserve">Baumeister et al., 2008</t>
  </si>
  <si>
    <t xml:space="preserve">Extending the Cortical Grasping Network: Pre-supplementary Motor Neuron Activity During Vision and Grasping of Objects</t>
  </si>
  <si>
    <t xml:space="preserve">Lanzilotto et al., 2016</t>
  </si>
  <si>
    <t xml:space="preserve">F6</t>
  </si>
  <si>
    <t xml:space="preserve">[Electrophysiologic study of cerebellocortical connections in monkeys]</t>
  </si>
  <si>
    <t xml:space="preserve">Sofiadis &amp;  Khasabov</t>
  </si>
  <si>
    <t xml:space="preserve">Neurons in the macaque orbitofrontal cortex code relative preference of both rewarding and aversive outcomes</t>
  </si>
  <si>
    <t xml:space="preserve">Hosokawa et al., 2007</t>
  </si>
  <si>
    <t xml:space="preserve">Direct comparison of spontaneous functional connectivity and effective connectivity measured by intracortical microstimulation: an fMRI study in macaque monkeys</t>
  </si>
  <si>
    <t xml:space="preserve">Matsui et al., 2011</t>
  </si>
  <si>
    <t xml:space="preserve">Vestibular responses in the rhesus monkey ventroposterior thalamus. II. Vestibulo-proprioceptive convergence at thalamic neurons</t>
  </si>
  <si>
    <t xml:space="preserve">Deecke et al., 1977</t>
  </si>
  <si>
    <t xml:space="preserve">Excitatory synaptic ensemble properties in the visual cortex of the macaque monkey: a current source density analysis of electrically evoked potentials</t>
  </si>
  <si>
    <t xml:space="preserve">Mitzdorf &amp; Singer, 1979</t>
  </si>
  <si>
    <t xml:space="preserve">Modulation of Neuronal Activity in the Motor Thalamus during GPi-DBS in the MPTP Nonhuman Primate Model of Parkinson's Disease</t>
  </si>
  <si>
    <t xml:space="preserve">Muralidharan et al., 2017</t>
  </si>
  <si>
    <t xml:space="preserve">Changes in descending motor pathway connectivity after corticospinal tract lesion in macaque monkey</t>
  </si>
  <si>
    <t xml:space="preserve">Zaaimi et al., 2012</t>
  </si>
  <si>
    <t xml:space="preserve">nerve modulation</t>
  </si>
  <si>
    <t xml:space="preserve">The amygdala and basal forebrain as a pathway for motivationally guided attention</t>
  </si>
  <si>
    <t xml:space="preserve">Peck &amp; Salzman, 2014</t>
  </si>
  <si>
    <t xml:space="preserve">Amygdala, BF</t>
  </si>
  <si>
    <t xml:space="preserve">EEG oscillations at 600 Hz are macroscopic markers for cortical spike bursts</t>
  </si>
  <si>
    <t xml:space="preserve">Baker et al., 2003</t>
  </si>
  <si>
    <t xml:space="preserve">Dynamics of accommodative fatigue in rhesus monkeys and humans</t>
  </si>
  <si>
    <t xml:space="preserve">Vilupuru et al., 2005</t>
  </si>
  <si>
    <t xml:space="preserve">The afferent neural response to electrotactile stimuli: preliminary results</t>
  </si>
  <si>
    <t xml:space="preserve">Kaczmarek et al., 2000</t>
  </si>
  <si>
    <t xml:space="preserve">electrotactile stimulation</t>
  </si>
  <si>
    <t xml:space="preserve">Closed-Loop Continuous Hand Control via Chronic Recording of Regenerative Peripheral Nerve Interfaces</t>
  </si>
  <si>
    <t xml:space="preserve">Vu et al., 2018</t>
  </si>
  <si>
    <t xml:space="preserve">Extracellular Spike Waveform Dissociates Four Functionally Distinct Cell Classes in Primate Cortex</t>
  </si>
  <si>
    <t xml:space="preserve">Trainito et al., 2019</t>
  </si>
  <si>
    <t xml:space="preserve">FEF, dlPFC, LIP </t>
  </si>
  <si>
    <t xml:space="preserve">The origins of thalamic inputs to grasp zones in frontal cortex of macaque monkeys</t>
  </si>
  <si>
    <t xml:space="preserve">Gharbawie et al., 2016</t>
  </si>
  <si>
    <t xml:space="preserve">Inputs from the ipsilateral and contralateral vestibular apparatus to behaviorally characterized abducens neurons in rhesus monkeys</t>
  </si>
  <si>
    <t xml:space="preserve">Broussard et al., 1995</t>
  </si>
  <si>
    <t xml:space="preserve">Spatially patterned electrical stimulation to enhance resolution of retinal prostheses</t>
  </si>
  <si>
    <t xml:space="preserve">Pedunculopontine nucleus stimulation improves akinesia in a Parkinsonian monkey</t>
  </si>
  <si>
    <t xml:space="preserve">Jenkinson et al., 2004</t>
  </si>
  <si>
    <t xml:space="preserve">Response Properties of Cells Within the Rostral Superior Colliculus of Strabismic Monkeys</t>
  </si>
  <si>
    <t xml:space="preserve">Upadhyaya &amp; Das, 2019</t>
  </si>
  <si>
    <t xml:space="preserve">The effect of sciatic nerve stimulation on spinal cord blood flow</t>
  </si>
  <si>
    <t xml:space="preserve">Cobrine et al., 1978</t>
  </si>
  <si>
    <t xml:space="preserve">Properties and tectal projections of monkey retinal ganglion cells</t>
  </si>
  <si>
    <t xml:space="preserve">Schiller &amp; Malpeli, 1977</t>
  </si>
  <si>
    <t xml:space="preserve">Vestibular prosthesis tested in rhesus monkeys</t>
  </si>
  <si>
    <t xml:space="preserve">Lewis et al., 2011</t>
  </si>
  <si>
    <t xml:space="preserve">Two types of bipolar microelectrodes for intraretinal use</t>
  </si>
  <si>
    <t xml:space="preserve">Alferdinck et al., 1981</t>
  </si>
  <si>
    <t xml:space="preserve">Stimulation of the nodulus and uvula discharges velocity storage in the vestibulo-ocular reflex</t>
  </si>
  <si>
    <t xml:space="preserve">Solomon &amp; Cohen, 1994</t>
  </si>
  <si>
    <t xml:space="preserve">uvula stimulation</t>
  </si>
  <si>
    <t xml:space="preserve">Long-term surface stimulation of the cerebellum in the monkey. I. Light microscopic, electrophysiologic, and clinical observations</t>
  </si>
  <si>
    <t xml:space="preserve">Dauth et al., 1977</t>
  </si>
  <si>
    <t xml:space="preserve">Effects of electrical current configuration on stimulus detection</t>
  </si>
  <si>
    <t xml:space="preserve">A Bayesian statistical analysis of behavioral facilitation associated with deep brain stimulation</t>
  </si>
  <si>
    <t xml:space="preserve">Smith et al., 2009</t>
  </si>
  <si>
    <t xml:space="preserve">[Influence of the anterior and posterior hypothalamus on the conditioned reflex activity and delayed responses of lower simians]</t>
  </si>
  <si>
    <t xml:space="preserve">Bakuradze &amp; Naneishvili, 1975</t>
  </si>
  <si>
    <t xml:space="preserve">Multisensory convergence in auditory cortex, I. Cortical connections of the caudal superior temporal plane in macaque monkeys</t>
  </si>
  <si>
    <t xml:space="preserve">Smiley et al., 2007</t>
  </si>
  <si>
    <t xml:space="preserve">Upper-limb muscle responses to epidural, subdural and intraspinal stimulation of the cervical spinal cord</t>
  </si>
  <si>
    <t xml:space="preserve">Sharpe &amp; Jackson, 2014</t>
  </si>
  <si>
    <t xml:space="preserve">Loss of Afferent Vestibular Input Produces Central Adaptation and Increased Gain of Vestibular Prosthetic Stimulation</t>
  </si>
  <si>
    <t xml:space="preserve">Phillips et al., 2016</t>
  </si>
  <si>
    <t xml:space="preserve">Monkey brains wired to share</t>
  </si>
  <si>
    <t xml:space="preserve">Reardon, 2014</t>
  </si>
  <si>
    <t xml:space="preserve">Efferent subcortical projections of the laryngeal motorcortex in the rhesus monkey</t>
  </si>
  <si>
    <t xml:space="preserve">Simonyan &amp; Jurgens, 2003</t>
  </si>
  <si>
    <t xml:space="preserve">The effects of electric shock on responding maintained by cocaine in rhesus monkeys</t>
  </si>
  <si>
    <t xml:space="preserve">Bergman &amp; Johanson, 1981</t>
  </si>
  <si>
    <t xml:space="preserve">Responses of single units in cervical spinal cord of alert monkeys</t>
  </si>
  <si>
    <t xml:space="preserve">Bromberg &amp; Fetz, 1977</t>
  </si>
  <si>
    <t xml:space="preserve">Pronounced reduction of digit motor responses evoked from macaque ventral premotor cortex after reversible inactivation of the primary motor cortex hand area</t>
  </si>
  <si>
    <t xml:space="preserve">Schmidlin et al., 2008</t>
  </si>
  <si>
    <t xml:space="preserve">BRAIN TELESTIMULATOR WITH SOLAR CELL POWER SUPPLY</t>
  </si>
  <si>
    <t xml:space="preserve">Robinson et al., 1965</t>
  </si>
  <si>
    <t xml:space="preserve">Electroejaculation: its technique, neurological implications and uses</t>
  </si>
  <si>
    <t xml:space="preserve">Brindley, 1981</t>
  </si>
  <si>
    <t xml:space="preserve">[Interaction between corticofugal impulses from the S1 region and responses in the caudate nucleus of monkeys to nonsomatic stimuli]</t>
  </si>
  <si>
    <t xml:space="preserve">Oganesian, 1978</t>
  </si>
  <si>
    <t xml:space="preserve">Ipsilateral hand input to area 3b revealed by converging hemodynamic and electrophysiological analyses in macaque monkeys</t>
  </si>
  <si>
    <t xml:space="preserve">Lipton et al., 2006</t>
  </si>
  <si>
    <t xml:space="preserve">fMRI</t>
  </si>
  <si>
    <t xml:space="preserve">Low temperature painful stimulus alters brain wave pattern of transcutaneous electrical stimulus</t>
  </si>
  <si>
    <t xml:space="preserve">Schneider, 1981</t>
  </si>
  <si>
    <t xml:space="preserve">Effects of chronic stimulation of the caudate nucleus on a preexisting alumina seizure focus</t>
  </si>
  <si>
    <t xml:space="preserve">Oakley &amp; Ojemann, 1982</t>
  </si>
  <si>
    <t xml:space="preserve">epilepsy study</t>
  </si>
  <si>
    <t xml:space="preserve">Some cerebellar effects on cerebral seizures in the monkey</t>
  </si>
  <si>
    <t xml:space="preserve">Snider, 1975</t>
  </si>
  <si>
    <t xml:space="preserve">unclear</t>
  </si>
  <si>
    <t xml:space="preserve">Effects of gaze shifts on maintenance of spatial memory in macaque frontal eye field</t>
  </si>
  <si>
    <t xml:space="preserve">Balan &amp; Ferrera, 2003</t>
  </si>
  <si>
    <t xml:space="preserve">Design and performance of a multichannel vestibular prosthesis that restores semicircular canal sensation in rhesus monkey</t>
  </si>
  <si>
    <t xml:space="preserve">Chiang et al., 2011</t>
  </si>
  <si>
    <t xml:space="preserve">In vivo analysis of bone strain about the sagittal suture in macaca mulatta during masticatory movements</t>
  </si>
  <si>
    <t xml:space="preserve">Behrents et al., 1978</t>
  </si>
  <si>
    <t xml:space="preserve">teeth study</t>
  </si>
  <si>
    <t xml:space="preserve">Effects of hippocampal low-frequency stimulation in idiopathic non-human primate epilepsy assessed via a remote-sensing-enabled neurostimulator</t>
  </si>
  <si>
    <t xml:space="preserve">Wozny et al., 2017</t>
  </si>
  <si>
    <t xml:space="preserve">hippocampus</t>
  </si>
  <si>
    <t xml:space="preserve">Primate somatosensory cortical neurons are entrained to both spontaneous and peripherally evoked spindle oscillations</t>
  </si>
  <si>
    <t xml:space="preserve">Sritharan et al., 2020</t>
  </si>
  <si>
    <t xml:space="preserve">Brainstem cells of origin of physiologically identified cardiopulmonary nerves in the rhesus monkey (Macaca mulatta)</t>
  </si>
  <si>
    <t xml:space="preserve">Hopkins &amp; Armour, 1998</t>
  </si>
  <si>
    <t xml:space="preserve">Neuronal activity related to visual recognition memory: long-term memory and the encoding of recency and familiarity information in the primate anterior and medial inferior temporal and rhinal cortex</t>
  </si>
  <si>
    <t xml:space="preserve">Fahy et al., 1993</t>
  </si>
  <si>
    <t xml:space="preserve">enthorinal cortex</t>
  </si>
  <si>
    <t xml:space="preserve">A MEG investigation of somatosensory processing in the rhesus monkey</t>
  </si>
  <si>
    <t xml:space="preserve">Wilson et al., 2009</t>
  </si>
  <si>
    <t xml:space="preserve">MEG study</t>
  </si>
  <si>
    <t xml:space="preserve">Blind signal separation from optical imaging recordings with extended spatial decorrelation</t>
  </si>
  <si>
    <t xml:space="preserve">Schiessl et al., 2000</t>
  </si>
  <si>
    <t xml:space="preserve">Assessment of capacitor electrodes for intracortical neural stimulation</t>
  </si>
  <si>
    <t xml:space="preserve">Rose et al., 1985</t>
  </si>
  <si>
    <t xml:space="preserve">Oculomotor signals in medial longitudinal fasciculus of the monkey</t>
  </si>
  <si>
    <t xml:space="preserve">Pola &amp; Robinson, 1978</t>
  </si>
  <si>
    <t xml:space="preserve">Corticospinal neurones of the supplementary motor area of monkeys. A single unit study</t>
  </si>
  <si>
    <t xml:space="preserve">Macpherson et al., 1982</t>
  </si>
  <si>
    <t xml:space="preserve">Neuronal activity in nuclei pontis and reticularis tegmenti pontis related to forelimb movements of the monkey</t>
  </si>
  <si>
    <t xml:space="preserve">Matsunami, 1987</t>
  </si>
  <si>
    <t xml:space="preserve">Functional analysis of attention-related unit activity in the reticular formaton of the monkey</t>
  </si>
  <si>
    <t xml:space="preserve">Ray et al., 1982</t>
  </si>
  <si>
    <t xml:space="preserve">unable to view</t>
  </si>
  <si>
    <t xml:space="preserve">Respondent conditioning of self-injurious behavior in early socially deprived rhesus monkeys (Macaca mulatta)</t>
  </si>
  <si>
    <t xml:space="preserve">Gluck et al., 1985</t>
  </si>
  <si>
    <t xml:space="preserve">Endocrine responses to electric shock and avoidance conditioning in the rhesus monkey: cortisol and growth hormone</t>
  </si>
  <si>
    <t xml:space="preserve">Feldmann &amp; Brown, 1976</t>
  </si>
  <si>
    <t xml:space="preserve">Frontal neurons modulate memory retrieval across widely varying temporal scales</t>
  </si>
  <si>
    <t xml:space="preserve">Zhang &amp; Williams, 2015</t>
  </si>
  <si>
    <t xml:space="preserve">muscimol</t>
  </si>
  <si>
    <t xml:space="preserve">Response of monkey glabrous skin mechanoreceptors to random noise sequences: III. Spectral analysis</t>
  </si>
  <si>
    <t xml:space="preserve">Looft, 1996</t>
  </si>
  <si>
    <t xml:space="preserve">Central course of digital axons within the median nerve of Macaca mulatta</t>
  </si>
  <si>
    <t xml:space="preserve">Brushart, 1991</t>
  </si>
  <si>
    <t xml:space="preserve">Properties of pathways that mediate motor learning in the vestibulo-ocular reflex of monkeys</t>
  </si>
  <si>
    <t xml:space="preserve">Lisberger et al., 1990</t>
  </si>
  <si>
    <t xml:space="preserve">Effect of brain stimulation on aldosterone secretion in the rhesus monkey (Macaca Mulatta)</t>
  </si>
  <si>
    <t xml:space="preserve">Frankel et al., 1976</t>
  </si>
  <si>
    <t xml:space="preserve">Complex attributes of lateral hypothalamic neurons in the regulation of feeding of alert rhesus monkeys</t>
  </si>
  <si>
    <t xml:space="preserve">Karadi et al., 1990</t>
  </si>
  <si>
    <t xml:space="preserve">OFC, DLPFC</t>
  </si>
  <si>
    <t xml:space="preserve">No behaviour tested related to stimulation</t>
  </si>
  <si>
    <t xml:space="preserve">Cortico-striatal relations under conditions of interaction of monomodal afferent volleys</t>
  </si>
  <si>
    <t xml:space="preserve">Oganesyan &amp; Tolkunov, 1985</t>
  </si>
  <si>
    <t xml:space="preserve">Primate translational vestibuloocular reflexes. III. Effects of bilateral labyrinthine electrical stimulation</t>
  </si>
  <si>
    <t xml:space="preserve">Angelasi et al., 2000</t>
  </si>
  <si>
    <t xml:space="preserve">Effects of manipulation of the sensorimotor system on focal motor seizures in the monkey</t>
  </si>
  <si>
    <t xml:space="preserve">Hosokawa et al., 1980</t>
  </si>
  <si>
    <t xml:space="preserve">Operant control of precentral neurons: bilateral single unit conditioning</t>
  </si>
  <si>
    <t xml:space="preserve">Wyler et al., 1980</t>
  </si>
  <si>
    <t xml:space="preserve">Activity-related changes in electrical thresholds of pyramidal tract axons in the behaving monkey</t>
  </si>
  <si>
    <t xml:space="preserve">Schmied &amp; Fetz, 1987</t>
  </si>
  <si>
    <t xml:space="preserve">Tissue reactions to long-term electrical stimulation of the cerebellum in monkeys</t>
  </si>
  <si>
    <t xml:space="preserve">Brown et al., 1977</t>
  </si>
  <si>
    <t xml:space="preserve">safety/tissue study</t>
  </si>
  <si>
    <t xml:space="preserve">A quantitative analysis of generation of saccadic eye movements by burst neurons</t>
  </si>
  <si>
    <t xml:space="preserve">Van Gisbergen et al., 1981</t>
  </si>
  <si>
    <t xml:space="preserve">Convergence of pyramidal and medial brain stem descending pathways onto macaque cervical spinal interneurons</t>
  </si>
  <si>
    <t xml:space="preserve">Riddle &amp; Baker, 2010</t>
  </si>
  <si>
    <t xml:space="preserve">Alterations in the pattern of mastication after ablations of the lateral precentral cortex in rhesus macaques</t>
  </si>
  <si>
    <t xml:space="preserve">Larson et al., 1980</t>
  </si>
  <si>
    <t xml:space="preserve">Activity of neurons in cortical area 3a during maintenance of steady postures by the monkey</t>
  </si>
  <si>
    <t xml:space="preserve">Tanji, 1975</t>
  </si>
  <si>
    <t xml:space="preserve">Electrostimulation and penile erection</t>
  </si>
  <si>
    <t xml:space="preserve">Lue et al., 1985</t>
  </si>
  <si>
    <t xml:space="preserve">Detection and discrimination of electrical stimuli from an upper limb cuff electrode in M. Mulatta</t>
  </si>
  <si>
    <t xml:space="preserve">Schilchenmeyer et al., 2022</t>
  </si>
  <si>
    <t xml:space="preserve">Representation of the tongue in the cerebellar nuclei of the monkey</t>
  </si>
  <si>
    <t xml:space="preserve">Aldes &amp; Bowman, 1979</t>
  </si>
  <si>
    <t xml:space="preserve">Intra-aural reflexes elicited by a cochlear prosthesis in monkeys</t>
  </si>
  <si>
    <t xml:space="preserve">Burnett et al., 1984</t>
  </si>
  <si>
    <t xml:space="preserve">Intensity discrimination with cochlear implants</t>
  </si>
  <si>
    <t xml:space="preserve">Pfingst et al., 1983</t>
  </si>
  <si>
    <t xml:space="preserve">Motor effects of stimulation and ablation of the caudate nucleus of the monkey</t>
  </si>
  <si>
    <t xml:space="preserve">Chandler &amp; Crosby, 1975</t>
  </si>
  <si>
    <t xml:space="preserve">Behavioral and electrical correlates of absence seizures induced by thalamic stimulation in juvenile rhesus monkeys with frontal aluminum hydroxide implants: a pharmacologic evaluation</t>
  </si>
  <si>
    <t xml:space="preserve">David et al., 1982</t>
  </si>
  <si>
    <t xml:space="preserve">Stimulation-evoked eye movements with and without the lateral rectus muscle pulley</t>
  </si>
  <si>
    <t xml:space="preserve">Dimitrova et al., 2003</t>
  </si>
  <si>
    <t xml:space="preserve">Morphological and biochemical effects of chronic cerebellar stimulation in monkey</t>
  </si>
  <si>
    <t xml:space="preserve">Gilman et al., 1975</t>
  </si>
  <si>
    <t xml:space="preserve">No behavioural effects tested</t>
  </si>
  <si>
    <t xml:space="preserve">Deep brain stimulation of the anterior nuclei of the thalamus relieves basal ganglia dysfunction in monkeys with temporal lobe epilepsy</t>
  </si>
  <si>
    <t xml:space="preserve">Du et al., 2021</t>
  </si>
  <si>
    <t xml:space="preserve">Response patterns and postspike effects of peripheral afferents in dorsal root ganglia of behaving monkeys</t>
  </si>
  <si>
    <t xml:space="preserve">Flament et al., 1992</t>
  </si>
  <si>
    <t xml:space="preserve">Varying temporal location of a conditioned stimulus in heart rate conditioning of Macaca mulatta</t>
  </si>
  <si>
    <t xml:space="preserve">Turkkan, 1979</t>
  </si>
  <si>
    <t xml:space="preserve">heart rate study</t>
  </si>
  <si>
    <t xml:space="preserve">Visual and oculomotor functions of monkey substantia nigra pars reticulata. IV. Relation of substantia nigra to superior colliculus</t>
  </si>
  <si>
    <t xml:space="preserve">Hikosaka &amp; Wurtz, 1983</t>
  </si>
  <si>
    <t xml:space="preserve">[Differences in the corticofugal facilitating effect on evoked potentials in the neostriatum of rats and monkeys]</t>
  </si>
  <si>
    <t xml:space="preserve">Tolkunov et al., 1990</t>
  </si>
  <si>
    <t xml:space="preserve">Trigeminothalamic neurons in nucleus caudalis responsive to tactile, thermal, and nociceptive stimulation of monkey's face</t>
  </si>
  <si>
    <t xml:space="preserve">Price et al., 1976</t>
  </si>
  <si>
    <t xml:space="preserve">Plasma growth hormone and cortisol changes following limbic stimulation in conscious monkeys</t>
  </si>
  <si>
    <t xml:space="preserve">Ehle et al., 1977</t>
  </si>
  <si>
    <t xml:space="preserve">Amygdala</t>
  </si>
  <si>
    <t xml:space="preserve">Selective Formation of Porous Pt Nanorods for Highly Electrochemically Efficient Neural Electrode Interfaces</t>
  </si>
  <si>
    <t xml:space="preserve">Ganji et al., 2019</t>
  </si>
  <si>
    <t xml:space="preserve">Axonal and synaptic failure suppress the transfer of firing rate oscillations, synchrony and information during high frequency deep brain stimulation</t>
  </si>
  <si>
    <t xml:space="preserve">Rosenbaum et al., 2014</t>
  </si>
  <si>
    <t xml:space="preserve">Mostly modelling, no behaviour</t>
  </si>
  <si>
    <t xml:space="preserve">Operant conditioning of single unit activity in parietal cortex</t>
  </si>
  <si>
    <t xml:space="preserve">Steege et al., 1982</t>
  </si>
  <si>
    <t xml:space="preserve">Cortico-cortical projections of the motorcortical larynx area in the rhesus monkey</t>
  </si>
  <si>
    <t xml:space="preserve">Simonyan &amp; Jurgens, 2002</t>
  </si>
  <si>
    <t xml:space="preserve">Properties of delay-period neuronal activity in the monkey dorsolateral prefrontal cortex during a spatial delayed matching-to-sample task</t>
  </si>
  <si>
    <t xml:space="preserve">Sawaguchi &amp; Jamane, 1999</t>
  </si>
  <si>
    <t xml:space="preserve">Axial tension model of spinal cord injury</t>
  </si>
  <si>
    <t xml:space="preserve">Myklebust et al., 1988</t>
  </si>
  <si>
    <t xml:space="preserve">Responses of primate spinothalamic tract neurons to electrical stimulation of hindlimb peripheral nerves</t>
  </si>
  <si>
    <t xml:space="preserve">Foreman et al., 1975</t>
  </si>
  <si>
    <t xml:space="preserve">In vivo optogenetic control of striatal and thalamic neurons in non-human primates</t>
  </si>
  <si>
    <t xml:space="preserve">Galvan et al., 2012</t>
  </si>
  <si>
    <t xml:space="preserve">GP, Putamen</t>
  </si>
  <si>
    <t xml:space="preserve">No behaviour reported</t>
  </si>
  <si>
    <t xml:space="preserve">Vestibular responses in the macaque pedunculopontine nucleus and central mesencephalic reticular formation</t>
  </si>
  <si>
    <t xml:space="preserve">Aravamutha &amp; Angelaki, 2012</t>
  </si>
  <si>
    <t xml:space="preserve">Studies of human and monkey "epileptic" neocortex in the in vitro slice preparation</t>
  </si>
  <si>
    <t xml:space="preserve">Schwartzkroin et al., 1983</t>
  </si>
  <si>
    <t xml:space="preserve">in vitro study</t>
  </si>
  <si>
    <t xml:space="preserve">High-frequency pallidal stimulation eliminates tic-related neuronal activity in a nonhuman primate model of Tourette syndrome</t>
  </si>
  <si>
    <t xml:space="preserve">McCairn et al., 2012</t>
  </si>
  <si>
    <t xml:space="preserve">Tourette monkeys</t>
  </si>
  <si>
    <t xml:space="preserve">The dawning of primate optogenetics</t>
  </si>
  <si>
    <t xml:space="preserve">Berdyyeva &amp; Reynolds, 2009</t>
  </si>
  <si>
    <t xml:space="preserve">The effects of control and lack of control on active and passive avoidance in rhesus monkeys</t>
  </si>
  <si>
    <t xml:space="preserve">Rush et al., 1982</t>
  </si>
  <si>
    <t xml:space="preserve">behavioural study</t>
  </si>
  <si>
    <t xml:space="preserve">Two-dimensional saccade-related population activity in superior colliculus in monkey</t>
  </si>
  <si>
    <t xml:space="preserve">Anderson et al., 1998</t>
  </si>
  <si>
    <t xml:space="preserve">[Changes in the rhythm of cardiac contractions upon stimulation of nuclei of the striopallidal system in chronic experiments with monkeys]</t>
  </si>
  <si>
    <t xml:space="preserve">Lagutina et al., </t>
  </si>
  <si>
    <t xml:space="preserve">Subthalamic high frequency stimulation resets subthalamic firing and reduces abnormal oscillations</t>
  </si>
  <si>
    <t xml:space="preserve">Meissner et al., 2005</t>
  </si>
  <si>
    <t xml:space="preserve">Plastic changes in primate motor cortex following paired peripheral nerve stimulation</t>
  </si>
  <si>
    <t xml:space="preserve">Habekost et al., 2021</t>
  </si>
  <si>
    <t xml:space="preserve">Somatosensory evoked potentials (SEPs) and cortical single unit responses elicited by mechanical tactile stimuli in awake monkeys</t>
  </si>
  <si>
    <t xml:space="preserve">Gardner et al., 1984</t>
  </si>
  <si>
    <t xml:space="preserve">Pallidal burst activity during therapeutic deep brain stimulation</t>
  </si>
  <si>
    <t xml:space="preserve">Hahn et al., 2008</t>
  </si>
  <si>
    <t xml:space="preserve">Dynamic amplitude coding in the auditory cortex of awake rhesus macaques</t>
  </si>
  <si>
    <t xml:space="preserve">Malone et al., 2007</t>
  </si>
  <si>
    <t xml:space="preserve">A1</t>
  </si>
  <si>
    <t xml:space="preserve">FMRI activity in the macaque cerebellum evoked by intracortical microstimulation of the primary somatosensory cortex: evidence for polysynaptic propagation</t>
  </si>
  <si>
    <t xml:space="preserve">Matsui et al., 2012</t>
  </si>
  <si>
    <t xml:space="preserve">Non-burst epileptic firing patterns of neurons in chronic epileptic foci</t>
  </si>
  <si>
    <t xml:space="preserve">Wyler et al., 1979</t>
  </si>
  <si>
    <t xml:space="preserve">Estrogen and progesterone affect electrically induced release of Luteinizing hormone and prolactin in macaques</t>
  </si>
  <si>
    <t xml:space="preserve">Jackson et al., 1981</t>
  </si>
  <si>
    <t xml:space="preserve">hormone study</t>
  </si>
  <si>
    <t xml:space="preserve">Towards optogenetic vision restoration with high resolution</t>
  </si>
  <si>
    <t xml:space="preserve">Ferrari et al., 2020</t>
  </si>
  <si>
    <t xml:space="preserve">Eye dominance and response latency in area V1 of the monkey</t>
  </si>
  <si>
    <t xml:space="preserve">Morero et al., 2007</t>
  </si>
  <si>
    <t xml:space="preserve">Fastigial nucleus activity during different frequencies and orientations of vertical vestibular stimulation in the monkey</t>
  </si>
  <si>
    <t xml:space="preserve">Siebold et al., 1999</t>
  </si>
  <si>
    <t xml:space="preserve">Latency variability and the identification of antidromically activated neurons in mammalian brain</t>
  </si>
  <si>
    <t xml:space="preserve">Swadlow et al., 1978</t>
  </si>
  <si>
    <t xml:space="preserve">Electrical Coupling and Synchronized Subthreshold Oscillations in the Inferior Olive of the Rhesus Macaque</t>
  </si>
  <si>
    <t xml:space="preserve">Turecek et al., 2016</t>
  </si>
  <si>
    <t xml:space="preserve">Visual-vestibular interactions during vestibular compensation: role of the pretectal not in horizontal VOR recovery after hemilabyrinthectomy in rhesus monkey</t>
  </si>
  <si>
    <t xml:space="preserve">Stewart et al., 2005</t>
  </si>
  <si>
    <t xml:space="preserve">Effects of a primary motor cortex lesion on step-tracking movements of the wrist</t>
  </si>
  <si>
    <t xml:space="preserve">Hofman &amp; Strick, 1995</t>
  </si>
  <si>
    <t xml:space="preserve">Otolith processing in the deep cerebellar nuclei</t>
  </si>
  <si>
    <t xml:space="preserve">Buttner et al., 1999</t>
  </si>
  <si>
    <t xml:space="preserve">Dopaminergic and opioid compounds. Effects on prolactin and LH release after electrical stimulation of the hypothalamus in ovariectomized rhesus monkeys</t>
  </si>
  <si>
    <t xml:space="preserve">Spies et al., 1980</t>
  </si>
  <si>
    <t xml:space="preserve">The relationship between refractive and biometric changes during Edinger-Westphal stimulated accommodation in rhesus monkeys</t>
  </si>
  <si>
    <t xml:space="preserve">Electrical Microstimulation of the Superior Colliculus in Strabismic Monkeys</t>
  </si>
  <si>
    <t xml:space="preserve">Fleuriet et al., 2016</t>
  </si>
  <si>
    <t xml:space="preserve">Receptive field properties of somatosensory callosal fibres in the monkey</t>
  </si>
  <si>
    <t xml:space="preserve">Guillemot et al., 1987</t>
  </si>
  <si>
    <t xml:space="preserve">Functional linkage between the electrical activity in the vermal cerebellar cortex and saccadic eye movements</t>
  </si>
  <si>
    <t xml:space="preserve">Llina &amp; Wolfe, 1977</t>
  </si>
  <si>
    <t xml:space="preserve">Frontal eye field efferents in the macaque monkey: I. Subcortical pathways and topography of striatal and thalamic terminal fields</t>
  </si>
  <si>
    <t xml:space="preserve">Stanton et al., 1988</t>
  </si>
  <si>
    <t xml:space="preserve">Neuronal mechanisms of motion perception</t>
  </si>
  <si>
    <t xml:space="preserve">Newsome et al., 1990</t>
  </si>
  <si>
    <t xml:space="preserve">Receptive field properties of the macaque second somatosensory cortex: representation of orientation on different finger pads</t>
  </si>
  <si>
    <t xml:space="preserve">Fitzgerald et al., 2006</t>
  </si>
  <si>
    <t xml:space="preserve">Median nerve stimulation modulates extracellular signals in the primary motor area of a macaque monkey</t>
  </si>
  <si>
    <t xml:space="preserve">Papazachariadis et al., 2013</t>
  </si>
  <si>
    <t xml:space="preserve">High Spatiotemporal Resolution ECoG Recording of Somatosensory Evoked Potentials with Flexible Micro-Electrode Arrays</t>
  </si>
  <si>
    <t xml:space="preserve">Kaiju et al., 2017</t>
  </si>
  <si>
    <t xml:space="preserve">Discharge properties of MST neurons that project to the frontal pursuit area in macaque monkeys</t>
  </si>
  <si>
    <t xml:space="preserve">Churchland &amp; Lisberger, 2005</t>
  </si>
  <si>
    <t xml:space="preserve">The effective connectivity of the seizure onset zone and ictal perfusion changes in amygdala kindled rhesus monkeys</t>
  </si>
  <si>
    <t xml:space="preserve">Cleeren et al., 2016</t>
  </si>
  <si>
    <t xml:space="preserve">Macaque inferior temporal neurons are selective for disparity-defined three-dimensional shapes</t>
  </si>
  <si>
    <t xml:space="preserve">Janssen et al., 1999</t>
  </si>
  <si>
    <t xml:space="preserve">Radial motion bias in macaque frontal eye field</t>
  </si>
  <si>
    <t xml:space="preserve">Xiao et al., 2006</t>
  </si>
  <si>
    <t xml:space="preserve">Excitatory/Inhibitory Responses Shape Coherent Neuronal Dynamics Driven by Optogenetic Stimulation in the Primate Brain</t>
  </si>
  <si>
    <t xml:space="preserve">Shewcraft et al., 2020</t>
  </si>
  <si>
    <t xml:space="preserve">Parietal cortex</t>
  </si>
  <si>
    <t xml:space="preserve">Computational analysis of subthalamic nucleus and lenticular fasciculus activation during therapeutic deep brain stimulation</t>
  </si>
  <si>
    <t xml:space="preserve">Miocinovic et al., 2006</t>
  </si>
  <si>
    <t xml:space="preserve">computational modelling</t>
  </si>
  <si>
    <t xml:space="preserve">Histopathologic Changes of the Inner ear in Rhesus Monkeys After Intratympanic Gentamicin Injection and Vestibular Prosthesis Electrode Array Implantation</t>
  </si>
  <si>
    <t xml:space="preserve">Sun et al., 2015</t>
  </si>
  <si>
    <t xml:space="preserve">Cerebellar stimulation in alumina-gel monkey model: inverse relationship between clinical seizures and EEG interictal bursts</t>
  </si>
  <si>
    <t xml:space="preserve">Lockard et al., 1979</t>
  </si>
  <si>
    <t xml:space="preserve">Fucntional specialization and binocular interaction in the visual areas of rhesus monkey prestriate cortex</t>
  </si>
  <si>
    <t xml:space="preserve">Zeki, 1979</t>
  </si>
  <si>
    <t xml:space="preserve">prestriate cortex</t>
  </si>
  <si>
    <t xml:space="preserve">Action of biologically active peptides on monkey iris sphincter and dilator muscles</t>
  </si>
  <si>
    <t xml:space="preserve">eye study</t>
  </si>
  <si>
    <t xml:space="preserve">Disruption of Fixation Reveals Latent Sensorimotor Processes in the Superior Colliculus</t>
  </si>
  <si>
    <t xml:space="preserve">Jagadisan et al., 2016</t>
  </si>
  <si>
    <t xml:space="preserve">Encoding of sound-source location and movement: activity of single neurons and interactions between adjacent neurons in the monkey auditory cortex</t>
  </si>
  <si>
    <t xml:space="preserve">Ahissar et al., 1992</t>
  </si>
  <si>
    <t xml:space="preserve">The anatomy and localization of the pedunculopontine nucleus determined using probabilistic diffusion tractography [corrected]</t>
  </si>
  <si>
    <t xml:space="preserve">Aravumathan et al., 2008</t>
  </si>
  <si>
    <t xml:space="preserve">DTI</t>
  </si>
  <si>
    <t xml:space="preserve">Sensory characteristics of monkey thalamic and motor cortex neurones</t>
  </si>
  <si>
    <t xml:space="preserve">Butler et al., 1992</t>
  </si>
  <si>
    <t xml:space="preserve">Comparison of neuronal activity in the rostral supplementary and cingulate motor areas during a task with cognitive and motor demands</t>
  </si>
  <si>
    <t xml:space="preserve">Akkal et al., 2002</t>
  </si>
  <si>
    <t xml:space="preserve">Electric shock delivery system for rhesus monkeys: its effect on escape responding</t>
  </si>
  <si>
    <t xml:space="preserve">Johansen &amp; Franco, 1978</t>
  </si>
  <si>
    <t xml:space="preserve">Habituation of the vestibulo-ocular reflex (VOR) in the monkey during sinusoidal rotation in the dark</t>
  </si>
  <si>
    <t xml:space="preserve">Jager &amp; Henn, 1981</t>
  </si>
  <si>
    <t xml:space="preserve">nystagmus monkeys</t>
  </si>
  <si>
    <t xml:space="preserve">Signals in vestibular nucleus mediating vertical eye movements in the monkey</t>
  </si>
  <si>
    <t xml:space="preserve">Tomlinson &amp; Robinson, 1984</t>
  </si>
  <si>
    <t xml:space="preserve">vestibular nucleus</t>
  </si>
  <si>
    <t xml:space="preserve">Task difficulty: ignoring, attending to, and discriminating a visual stimulus yield progressively more activity in inferior temporal neurons</t>
  </si>
  <si>
    <t xml:space="preserve">Spitzer &amp; Richmond, 1991</t>
  </si>
  <si>
    <t xml:space="preserve">Deep brain stimulation of the globus pallidus internus in the parkinsonian primate: local entrainment and suppression of low-frequency oscillations</t>
  </si>
  <si>
    <t xml:space="preserve">McCairn &amp; Turner, 2009</t>
  </si>
  <si>
    <t xml:space="preserve">parkinsonian animals</t>
  </si>
  <si>
    <t xml:space="preserve">External pallidal stimulation improves parkinsonian motor signs and modulates neuronal activity throughout the basal ganglia thalamic network</t>
  </si>
  <si>
    <t xml:space="preserve">Vitek et al., 2012</t>
  </si>
  <si>
    <t xml:space="preserve">Hypothalamic control of insulin, growth hormone &amp; cortisol release in primates (rhesus monkeys)</t>
  </si>
  <si>
    <t xml:space="preserve">Garg et al., 1983</t>
  </si>
  <si>
    <t xml:space="preserve">Coordinated reset has sustained aftereffects in Parkinsonian monkeys</t>
  </si>
  <si>
    <t xml:space="preserve">Tass et al., 2012</t>
  </si>
  <si>
    <t xml:space="preserve">Feasibility and safety of vagal stimulation in monkey model</t>
  </si>
  <si>
    <t xml:space="preserve">Lockard et al., 1990</t>
  </si>
  <si>
    <t xml:space="preserve">Reaching the limit of the oculomotor plant: 3D kinematics after abducens nerve stimulation during the torsional vestibulo-ocular reflex</t>
  </si>
  <si>
    <t xml:space="preserve">Klier et al., 2012</t>
  </si>
  <si>
    <t xml:space="preserve">Effect of uncertainty on emotionality and ethanol self-selection in monkeys with cortical ablations</t>
  </si>
  <si>
    <t xml:space="preserve">Orloff &amp; Masserman, 1975</t>
  </si>
  <si>
    <t xml:space="preserve">Stimulus-Driven Population Activity Patterns in Macaque Primary Visual Cortex</t>
  </si>
  <si>
    <t xml:space="preserve">Cowley et al., 2016</t>
  </si>
  <si>
    <t xml:space="preserve">Widespread optogenetic expression in macaque cortex obtained with MR-guided, convection enhanced delivery (CED) of AAV vector to the thalamus</t>
  </si>
  <si>
    <t xml:space="preserve">Focus on methods, expression. Rather than behaviour</t>
  </si>
  <si>
    <t xml:space="preserve">Chronic cerebellar stimulation in the monkey. Preliminary observations</t>
  </si>
  <si>
    <t xml:space="preserve">Objective quantification of arm rigidity in MPTP-treated primates</t>
  </si>
  <si>
    <t xml:space="preserve">Mera et al., 2009</t>
  </si>
  <si>
    <t xml:space="preserve">Neuronal responses of periaqueductal gray to peripheral noxious stimulation</t>
  </si>
  <si>
    <t xml:space="preserve">Sharma et al., 1999</t>
  </si>
  <si>
    <t xml:space="preserve">[Responses of Purkinje cells and other neurons of the monkey cerebellar cortex to stimulation of the vagus nerve]</t>
  </si>
  <si>
    <t xml:space="preserve">Levchuk et al., 1978</t>
  </si>
  <si>
    <t xml:space="preserve">in russian</t>
  </si>
  <si>
    <t xml:space="preserve">A putative non-cholinergic mechanism in urinary bladders of New but not Old World primates</t>
  </si>
  <si>
    <t xml:space="preserve">Craggs et al., 1986</t>
  </si>
  <si>
    <t xml:space="preserve">Behavioral and electrophysiological analyses of the effects of 2-o-chlorobenzoyl-4-chloro-n-methyl-n alpha-glycylglycinanilide hydrate (45-0088-S) in the CNS in cats and monkeys</t>
  </si>
  <si>
    <t xml:space="preserve">Yamamoto et al., 1982</t>
  </si>
  <si>
    <t xml:space="preserve">Performance of platinum stimulating electrodes, mapped on the limit-voltage plane. Part 1. Charge injection in vivo</t>
  </si>
  <si>
    <t xml:space="preserve">Modeling the motor striatum under Deep Brain Stimulation in normal and MPTP conditions</t>
  </si>
  <si>
    <t xml:space="preserve">Neurophysiological characterization of magnetic seizure therapy (MST) in non-human primates</t>
  </si>
  <si>
    <t xml:space="preserve">Lisanby et al., 2003</t>
  </si>
  <si>
    <t xml:space="preserve">High-frequency EEG covaries with spike burst patterns detected in cortical neurons</t>
  </si>
  <si>
    <t xml:space="preserve">Telenczuk et al., 2011</t>
  </si>
  <si>
    <t xml:space="preserve">Arrest reaction with concomitant spike and wave afterdischarge following thalamic stimulation in conscious juvenile monkeys with Al (OH)3 focal premotor lesions</t>
  </si>
  <si>
    <t xml:space="preserve">nucleus medialis dorsalis</t>
  </si>
  <si>
    <t xml:space="preserve">Lesion animals</t>
  </si>
  <si>
    <t xml:space="preserve">[Cortico-striatal relations in the interaction of monomodal afferent volleys]</t>
  </si>
  <si>
    <t xml:space="preserve">Oganesian &amp; Tolkunov, 1983</t>
  </si>
  <si>
    <t xml:space="preserve">Correlations between activity of motor cortex cells and arm muscles during operantly conditioned response patterns</t>
  </si>
  <si>
    <t xml:space="preserve">Fetz &amp; Finocchio, 1975</t>
  </si>
  <si>
    <t xml:space="preserve">Refractoriness Accounts for Variable Spike Burst Responses in Somatosensory Cortex</t>
  </si>
  <si>
    <t xml:space="preserve">Telenczuk et al., 2017</t>
  </si>
  <si>
    <t xml:space="preserve">Neurons in the primate superior colliculus coding for arm movements in gaze-related coordinates</t>
  </si>
  <si>
    <t xml:space="preserve">Stuphorn et al., 2000</t>
  </si>
  <si>
    <t xml:space="preserve">Shock-induced inhibition in the lateral geniculate nucleus of the rhesus monkey</t>
  </si>
  <si>
    <t xml:space="preserve">optic nerve stimulation</t>
  </si>
  <si>
    <t xml:space="preserve">The effect of muscimol micro-injections into the fastigial nucleus on the optokinetic response and the vestibulo-ocular reflex in the alert monkey</t>
  </si>
  <si>
    <t xml:space="preserve">Kurzan et al., 1993</t>
  </si>
  <si>
    <t xml:space="preserve">OKN</t>
  </si>
  <si>
    <t xml:space="preserve">The neuronal refractory period causes a short-term peak in the autocorrelation function</t>
  </si>
  <si>
    <t xml:space="preserve">Bar-Gad et al., 2001</t>
  </si>
  <si>
    <t xml:space="preserve">Sensory coding accuracy and perceptual performance are improved during the desynchronized cortical state</t>
  </si>
  <si>
    <t xml:space="preserve">Beaman et al., 2017</t>
  </si>
  <si>
    <t xml:space="preserve">[Comparative physiologic study of the responses of cerebellar cortex neurons to stimulation of the vagus nerve]</t>
  </si>
  <si>
    <t xml:space="preserve">Bratus et al., 1987</t>
  </si>
  <si>
    <t xml:space="preserve">pyElectrode: an open-source tool using structural MRI for electrode positioning and neuron mapping</t>
  </si>
  <si>
    <t xml:space="preserve">Daye et al., 2013</t>
  </si>
  <si>
    <t xml:space="preserve">Primate superior colliculus neurons activated by unexpected sensation</t>
  </si>
  <si>
    <t xml:space="preserve">Mikulic &amp; Hoffmann, 2016</t>
  </si>
  <si>
    <t xml:space="preserve">Enhancement of conditioned autonomic responses in monkey when preshock signals occasion operant suppression</t>
  </si>
  <si>
    <t xml:space="preserve">Kelly, 1980</t>
  </si>
  <si>
    <t xml:space="preserve">Learned control of systolic blood pressure raising and lowering in rhesus monkeys</t>
  </si>
  <si>
    <t xml:space="preserve">Bardos et al., 1989</t>
  </si>
  <si>
    <t xml:space="preserve">Information processing from the motor cortices to the subthalamic nucleus and globus pallidus and their somatotopic organizations revealed electrophysiologically in monkeys</t>
  </si>
  <si>
    <t xml:space="preserve">Iwamuro et al., 2017</t>
  </si>
  <si>
    <t xml:space="preserve">Stimulation, but no focus on behaviour it seems</t>
  </si>
  <si>
    <t xml:space="preserve">Behavioral analysis of signals that guide learned changes in the amplitude and dynamics of the vestibulo-ocular reflex</t>
  </si>
  <si>
    <t xml:space="preserve">Raymond &amp; Lisberger, 1996</t>
  </si>
  <si>
    <t xml:space="preserve">Decoding dexterous finger movements in a neural prosthesis model approaching real-world conditions</t>
  </si>
  <si>
    <t xml:space="preserve">Egan et al., 2012</t>
  </si>
  <si>
    <t xml:space="preserve">recordings, modelling</t>
  </si>
  <si>
    <t xml:space="preserve">Functional relationships between neurons of marginal and substantia gelatinosa layers of primate dorsal horn</t>
  </si>
  <si>
    <t xml:space="preserve">Price et al., 1979</t>
  </si>
  <si>
    <t xml:space="preserve">Parkinsonism and vigilance: alteration in neural oscillatory activity and phase-amplitude coupling in the basal ganglia and motor cortex</t>
  </si>
  <si>
    <t xml:space="preserve">Sanabria et al., 2017</t>
  </si>
  <si>
    <t xml:space="preserve">recordings (DBS)</t>
  </si>
  <si>
    <t xml:space="preserve">Trunk position influences vestibular responses of fastigial nucleus neurons in the alert monkey</t>
  </si>
  <si>
    <t xml:space="preserve">Kleine et al., 2004</t>
  </si>
  <si>
    <t xml:space="preserve">Methods for functional assessment after C7 spinal cord hemisection in the rhesus monkey</t>
  </si>
  <si>
    <t xml:space="preserve">Nout et al., 2012</t>
  </si>
  <si>
    <t xml:space="preserve">Electroejaculation technique in Macaca mulatta (rhesus monkeys)</t>
  </si>
  <si>
    <t xml:space="preserve">Settlage &amp; Hendrickx, 1975</t>
  </si>
  <si>
    <t xml:space="preserve">ejaculation study?</t>
  </si>
  <si>
    <t xml:space="preserve">Nuclear transfer in the rhesus monkey: practical and basic implications</t>
  </si>
  <si>
    <t xml:space="preserve">Wolf et al., 1999</t>
  </si>
  <si>
    <t xml:space="preserve">Asymmetrical cross-tolerance between morphine and scopolamine induced antinociception in the primate: differential sites of action</t>
  </si>
  <si>
    <t xml:space="preserve">Pert &amp; Maxey, 1975</t>
  </si>
  <si>
    <t xml:space="preserve">Spinal evoked potential in the monkey</t>
  </si>
  <si>
    <t xml:space="preserve">Feldman et al., 1980</t>
  </si>
  <si>
    <t xml:space="preserve">Temporal patterns of vasopressin release following electrical stimulation of the amygdala and the neuroendocrine pathway in the monkey</t>
  </si>
  <si>
    <t xml:space="preserve">Hayward et al., 1977</t>
  </si>
  <si>
    <t xml:space="preserve">No behaviour studied</t>
  </si>
  <si>
    <t xml:space="preserve">Oscillatory entrainment of subthalamic nucleus neurons and behavioural consequences in rodents and primates</t>
  </si>
  <si>
    <t xml:space="preserve">Syed et al., 2012</t>
  </si>
  <si>
    <t xml:space="preserve">Signal processing for a vestibular neurostimulator</t>
  </si>
  <si>
    <t xml:space="preserve">Rubinstein et al., 2010</t>
  </si>
  <si>
    <t xml:space="preserve">The neural signal for skin indentation depth. II. Steady indentations</t>
  </si>
  <si>
    <t xml:space="preserve">Mei et al., 1983</t>
  </si>
  <si>
    <t xml:space="preserve">skin stimulation</t>
  </si>
  <si>
    <t xml:space="preserve">Time course of action of sugammadex (Org 25969) on rocuronium-induced block in the Rhesus monkey, using a simple model of equilibration of complex formation</t>
  </si>
  <si>
    <t xml:space="preserve">De Boer et al., 2006</t>
  </si>
  <si>
    <t xml:space="preserve">Conserved dorsal-ventral gradient of dopamine release and uptake rate in mice, rats and rhesus macaques</t>
  </si>
  <si>
    <t xml:space="preserve">Calipari et al., 2012</t>
  </si>
  <si>
    <t xml:space="preserve">Transcranial Direct Current Stimulation Facilitates Associative Learning and Alters Functional Connectivity in the Primate Brain</t>
  </si>
  <si>
    <t xml:space="preserve">Krause et al., 2017</t>
  </si>
  <si>
    <t xml:space="preserve">Kindling as a model of epilepsy</t>
  </si>
  <si>
    <t xml:space="preserve">Wada, 1978</t>
  </si>
  <si>
    <t xml:space="preserve">Effects of ejaculation on levels of testosterone, cortisol, and luteinizing hormone in peripheral plasma of rhesus monkeys</t>
  </si>
  <si>
    <t xml:space="preserve">Phoenix et al., 1977</t>
  </si>
  <si>
    <t xml:space="preserve">Stimulus-dependent spiking relationships with the EEG</t>
  </si>
  <si>
    <t xml:space="preserve">Snyder et al., 2015</t>
  </si>
  <si>
    <t xml:space="preserve">Secondarily generalized convulsive seizures induced by daily amygdaloid stimulation in rhesus monkeys</t>
  </si>
  <si>
    <t xml:space="preserve">Wada et al., 1978</t>
  </si>
  <si>
    <t xml:space="preserve">Projection of group I muscle afferents to the postcentral gyrus of the rhesus monkey</t>
  </si>
  <si>
    <t xml:space="preserve">Deecke et al., 1972</t>
  </si>
  <si>
    <t xml:space="preserve">Evaluation of new compounds for opioid activity: 1982 annual report</t>
  </si>
  <si>
    <t xml:space="preserve">Woods et al., 1983</t>
  </si>
  <si>
    <t xml:space="preserve">On the anticipatory precue activity in motor cortex</t>
  </si>
  <si>
    <t xml:space="preserve">Confais et al., 2012</t>
  </si>
  <si>
    <t xml:space="preserve">Disjunctive optokinetic nystagmus in a naturally esotropic macaque monkey: interaction between nasotemporal asymmetries of versional eye movement and convergence</t>
  </si>
  <si>
    <t xml:space="preserve">Yilidirm &amp; Tichsen, 2000</t>
  </si>
  <si>
    <t xml:space="preserve">nystagmus study</t>
  </si>
  <si>
    <t xml:space="preserve">Physiological and anatomical identification of the nucleus of the optic tract and dorsal terminal nucleus of the accessory optic tract in monkeys</t>
  </si>
  <si>
    <t xml:space="preserve">Hoffmann et al., 1988</t>
  </si>
  <si>
    <t xml:space="preserve">Comparison of two techniques for the development and maintenance of tracking behavior in monkeys</t>
  </si>
  <si>
    <t xml:space="preserve">McCoy et al., 1980</t>
  </si>
  <si>
    <t xml:space="preserve">Local cerebral energy metabolism: its relationship to local functional activity and blood flow</t>
  </si>
  <si>
    <t xml:space="preserve">Sokoloff, 1980</t>
  </si>
  <si>
    <t xml:space="preserve">blood flow study</t>
  </si>
  <si>
    <t xml:space="preserve">Mechanisms underlying somatosensory cortical dynamics: I. In vivo studies</t>
  </si>
  <si>
    <t xml:space="preserve">Lee &amp;Whitsel, 1992</t>
  </si>
  <si>
    <t xml:space="preserve">Modulation and transmission of peripheral inputs in monkey cuneate and external cuneate nuclei</t>
  </si>
  <si>
    <t xml:space="preserve">Witham &amp; Baker, 2011</t>
  </si>
  <si>
    <t xml:space="preserve">Phencyclidine (PCP): effects on limbic afterdischarges in the rhesus monkey</t>
  </si>
  <si>
    <t xml:space="preserve">Matsuzaki &amp; Dowling, 1984</t>
  </si>
  <si>
    <t xml:space="preserve">Effects of trans-membrane polarization and TEA injection on monosynaptic actions from motor cortex, red nucleus and group Ia afferents on lumbar motoneurons in the monkey</t>
  </si>
  <si>
    <t xml:space="preserve">Shapovalov &amp; Kurchavyi, 1974</t>
  </si>
  <si>
    <t xml:space="preserve">Characteristics of nystagmus evoked by electrical stimulation of the uvular/nodular lobules of the cerebellum in monkey</t>
  </si>
  <si>
    <t xml:space="preserve">Heinen et al., 1992</t>
  </si>
  <si>
    <t xml:space="preserve">Therapy for helpless monkeys</t>
  </si>
  <si>
    <t xml:space="preserve">Spatiotemporal receptive fields of peripheral afferents and cortical area 3b and 1 neurons in the primate somatosensory system</t>
  </si>
  <si>
    <t xml:space="preserve">Sripati et al., 2006</t>
  </si>
  <si>
    <t xml:space="preserve">Area 1 and 3b</t>
  </si>
  <si>
    <t xml:space="preserve">Pedunculopontine nucleus electric stimulation alleviates akinesia independently of dopaminergic mechanisms</t>
  </si>
  <si>
    <t xml:space="preserve">Jenkinson et al., 2006</t>
  </si>
  <si>
    <t xml:space="preserve">A Basal Forebrain-Cingulate Circuit in Macaques Decides It Is Time to Act</t>
  </si>
  <si>
    <t xml:space="preserve">Khalighinejad et al., 2020</t>
  </si>
  <si>
    <t xml:space="preserve">Transcranial ultrasound</t>
  </si>
  <si>
    <t xml:space="preserve">Cingulate cortex, basal forebrain</t>
  </si>
  <si>
    <t xml:space="preserve">Development of a multichannel vestibular prosthesis prototype by modification of a commercially available cochlear implant</t>
  </si>
  <si>
    <t xml:space="preserve">Valentin et al., 2013</t>
  </si>
  <si>
    <t xml:space="preserve">Effect of adrenergic blockade and dexamethasone on the aldosterone response to brain stimulation in the rhesus monkey</t>
  </si>
  <si>
    <t xml:space="preserve">Jenkins et al., 1976</t>
  </si>
  <si>
    <t xml:space="preserve">Effect of application of current on the paravertebral muscles of a primate model for kyphosis</t>
  </si>
  <si>
    <t xml:space="preserve">Hemmy et al., 1978</t>
  </si>
  <si>
    <t xml:space="preserve">Nociceptive neurons in the macaque anterior cingulate activate during anticipation of pain</t>
  </si>
  <si>
    <t xml:space="preserve">Koyama et al., 1998</t>
  </si>
  <si>
    <t xml:space="preserve">Does acetylcholine change the electrical resistance of the basal membrane of secretory cells in eccrine sweat glands?</t>
  </si>
  <si>
    <t xml:space="preserve">Sato, 1978</t>
  </si>
  <si>
    <t xml:space="preserve">sweat gland study</t>
  </si>
  <si>
    <t xml:space="preserve">Neural correlates of high-gamma oscillations (60-200 Hz) in macaque local field potentials and their potential implications in electrocorticography</t>
  </si>
  <si>
    <t xml:space="preserve">Ray et al., 2008</t>
  </si>
  <si>
    <t xml:space="preserve">Neuronal activity dependent on anticipated and elapsed delay in macaque prefrontal cortex, frontal and supplementary eye fields, and premotor cortex</t>
  </si>
  <si>
    <t xml:space="preserve">Roesch &amp; Olson, 2005</t>
  </si>
  <si>
    <t xml:space="preserve">Frontal cortex</t>
  </si>
  <si>
    <t xml:space="preserve">Noninvasive neurophysiological mapping of the lower urinary tract in adult and aging rhesus macaques</t>
  </si>
  <si>
    <t xml:space="preserve">Gad et al., 2018</t>
  </si>
  <si>
    <t xml:space="preserve">Multiple fragment statistical analysis of post-spike effects in spike-triggered averages of rectified EMG</t>
  </si>
  <si>
    <t xml:space="preserve">Poliakov &amp; Schieber, 1998</t>
  </si>
  <si>
    <t xml:space="preserve">Optogenetic neuromodulation</t>
  </si>
  <si>
    <t xml:space="preserve">Kalanithi &amp; Henderson, 2012</t>
  </si>
  <si>
    <t xml:space="preserve">Critical evaluation of the anatomical location of the Barrington nucleus: relevance for deep brain stimulation surgery of pedunculopontine tegmental nucleus</t>
  </si>
  <si>
    <t xml:space="preserve">Blanco et al., 2013</t>
  </si>
  <si>
    <t xml:space="preserve">Hippocampal gamma-slow oscillation coupling in macaques during sedation and sleep</t>
  </si>
  <si>
    <t xml:space="preserve">Richardson et al., 2017</t>
  </si>
  <si>
    <t xml:space="preserve">Serial, covert shifts of attention during visual search are reflected by the frontal eye fields and correlated with population oscillations</t>
  </si>
  <si>
    <t xml:space="preserve">Buschman &amp; Miller, 2009</t>
  </si>
  <si>
    <t xml:space="preserve">Corticospinal Inputs to Primate Motoneurons Innervating the Forelimb from Two Divisions of Primary Motor Cortex and Area 3a</t>
  </si>
  <si>
    <t xml:space="preserve">Witham et al., 2016</t>
  </si>
  <si>
    <t xml:space="preserve">Bypassing stroke-damaged neural pathways via a neural interface induces targeted cortical adaptation</t>
  </si>
  <si>
    <t xml:space="preserve">Kato et al., 2019</t>
  </si>
  <si>
    <t xml:space="preserve">The neural basis of the behaviorally relevant N1 component of the somatosensory-evoked potential in SI cortex of awake monkeys: evidence that backward cortical projections signal conscious touch sensation</t>
  </si>
  <si>
    <t xml:space="preserve">Cauller &amp; Kulics, 1991</t>
  </si>
  <si>
    <t xml:space="preserve">The primate amygdala and reinforcement: a dissociation between rule-based and associatively-mediated memory revealed in neuronal activity</t>
  </si>
  <si>
    <t xml:space="preserve">Wilson &amp; Rolls, 2005</t>
  </si>
  <si>
    <t xml:space="preserve">Neurons in the Monkey's Subthalamic Nucleus Differentially Encode Motivation and Effort</t>
  </si>
  <si>
    <t xml:space="preserve">Nougaret et al., 2022</t>
  </si>
  <si>
    <t xml:space="preserve">Chemical encapsulation of rocuronium by synthetic cyclodextrin derivatives: reversal of neuromuscular block in anaesthetized Rhesus monkeys</t>
  </si>
  <si>
    <t xml:space="preserve">Functional Subpopulations of Neurons in a Macaque Face Patch Revealed by Single-Unit fMRI Mapping</t>
  </si>
  <si>
    <t xml:space="preserve">Park et al., 2017</t>
  </si>
  <si>
    <t xml:space="preserve">recordings, fMRI</t>
  </si>
  <si>
    <t xml:space="preserve">Auditory outcomes following implantation and electrical stimulation of the semicircular canals</t>
  </si>
  <si>
    <t xml:space="preserve">Bierer et al., 2012</t>
  </si>
  <si>
    <t xml:space="preserve">Using ocular dominance to infer the depth of the visual input layers of V1 in behaving macaque monkey</t>
  </si>
  <si>
    <t xml:space="preserve">Discrimination between epileptic and injury-induced repetitive firing in chronic epileptic cortex</t>
  </si>
  <si>
    <t xml:space="preserve">Wyler, 1977</t>
  </si>
  <si>
    <t xml:space="preserve">Optogenetic Stimulation Shifts the Excitability of Cerebral Cortex from Type I to Type II: Oscillation Onset and Wave Propagation</t>
  </si>
  <si>
    <t xml:space="preserve">Heitmann et al., 2017</t>
  </si>
  <si>
    <t xml:space="preserve">modeling</t>
  </si>
  <si>
    <t xml:space="preserve">Subthalamic nucleus deep brain stimulation induces motor network BOLD activation: use of a high precision MRI guided stereotactic system for nonhuman primates</t>
  </si>
  <si>
    <t xml:space="preserve">Min et al., 2014</t>
  </si>
  <si>
    <t xml:space="preserve">esfMRI</t>
  </si>
  <si>
    <t xml:space="preserve">Neuronal activity representing temporal prediction of reward in the primate prefrontal cortex</t>
  </si>
  <si>
    <t xml:space="preserve">Tsujimoto &amp; Sawaguchi, 2005</t>
  </si>
  <si>
    <t xml:space="preserve">Chemoarchitectonic heterogeneities in the primate zona incerta: clinical and functional implications</t>
  </si>
  <si>
    <t xml:space="preserve">Mitrofanis et al., 2004</t>
  </si>
  <si>
    <t xml:space="preserve">Actions of the scalene muscles for rotation of the cervical spine in macaque and human</t>
  </si>
  <si>
    <t xml:space="preserve">Buford et al., 2002</t>
  </si>
  <si>
    <t xml:space="preserve">muscle study?</t>
  </si>
  <si>
    <t xml:space="preserve">Phylogenesis and kindling</t>
  </si>
  <si>
    <t xml:space="preserve">Tsuru, 1981</t>
  </si>
  <si>
    <t xml:space="preserve">High-frequency stimulation of the hippocampus protects against seizure activity and hippocampal neuronal apoptosis induced by kainic acid administration in macaques</t>
  </si>
  <si>
    <t xml:space="preserve">Chen et al., 2014</t>
  </si>
  <si>
    <t xml:space="preserve">Frontal cortical and subcortical projections provide a basis for segmenting the cingulum bundle: implications for neuroimaging and psychiatric disorders</t>
  </si>
  <si>
    <t xml:space="preserve">Heilbronner &amp; Haber, 2014</t>
  </si>
  <si>
    <t xml:space="preserve">Assessment of the effect of continuous theta burst stimulation of the motor cortex on manual dexterity in non-human primates in a direct comparison with invasive intracortical pharmacological inactivation</t>
  </si>
  <si>
    <t xml:space="preserve">Roux et al., 2019</t>
  </si>
  <si>
    <t xml:space="preserve">non-invasive stimulation</t>
  </si>
  <si>
    <t xml:space="preserve">High-Fidelity Reproduction of Visual Signals by Electrical Stimulation in the Central Primate Retina</t>
  </si>
  <si>
    <t xml:space="preserve">Gogliettino et al., 2023</t>
  </si>
  <si>
    <t xml:space="preserve">Multiple parietal-frontal pathways mediate grasping in macaque monkeys</t>
  </si>
  <si>
    <t xml:space="preserve">Gharbawie et al., 2011</t>
  </si>
  <si>
    <t xml:space="preserve">The photovoltage of macaque cone photoreceptors: adaptation, noise, and kinetics</t>
  </si>
  <si>
    <t xml:space="preserve">Schneeweis &amp; Schnapft, 1999</t>
  </si>
  <si>
    <t xml:space="preserve">Modulation of spinal motor output by initial arm postures in anesthetized monkeys</t>
  </si>
  <si>
    <t xml:space="preserve">Yaguchi et al., 2015</t>
  </si>
  <si>
    <t xml:space="preserve">Histology-driven model of the macaque motor hyperdirect pathway</t>
  </si>
  <si>
    <t xml:space="preserve">Bingham et al., 2012</t>
  </si>
  <si>
    <t xml:space="preserve">Electrical conduction block in large nerves: high-frequency current delivery in the nonhuman primate</t>
  </si>
  <si>
    <t xml:space="preserve">Ackermann et al., 2011</t>
  </si>
  <si>
    <t xml:space="preserve">Effects of various anesthetic and autonomic drugs on refraction in monkeys</t>
  </si>
  <si>
    <t xml:space="preserve">anaesthesia study</t>
  </si>
  <si>
    <t xml:space="preserve">Neuronal responses to moving targets in monkey frontal eye fields</t>
  </si>
  <si>
    <t xml:space="preserve">Cassanello et al., 2008</t>
  </si>
  <si>
    <t xml:space="preserve">Cortical projection of group I muscle afferents to areas 2, 3a, and the vestibular field in the rhesus monkey</t>
  </si>
  <si>
    <t xml:space="preserve">Schwarz et al., 1973</t>
  </si>
  <si>
    <t xml:space="preserve">Effects of cerebellar stimulation on abnormal proprioceptive reflexes in spastic primates</t>
  </si>
  <si>
    <t xml:space="preserve">Ebner et al., 1980</t>
  </si>
  <si>
    <t xml:space="preserve">Effects of lorazepam on CNS structures: neurophysiological and behavioral correlations</t>
  </si>
  <si>
    <t xml:space="preserve">Figueroa et al., 1974</t>
  </si>
  <si>
    <t xml:space="preserve">Effect of inactivation of the cortical frontal eye field on saccades generated in a choice response paradigm</t>
  </si>
  <si>
    <t xml:space="preserve">Keller et al., 2008</t>
  </si>
  <si>
    <t xml:space="preserve">Effects of anesthesia level and stimulus characteristic on the amplitude and latency of the somatosensory evoked response in monkeys</t>
  </si>
  <si>
    <t xml:space="preserve">Pimmel et al., 1976</t>
  </si>
  <si>
    <t xml:space="preserve">Neuronal activity in the cingulate motor areas during adaptation to a new dynamic environment</t>
  </si>
  <si>
    <t xml:space="preserve">Richardson et al., 2008</t>
  </si>
  <si>
    <t xml:space="preserve">CMA</t>
  </si>
  <si>
    <t xml:space="preserve">Plasticity within non-cerebellar pathways rapidly shapes motor performance in vivo</t>
  </si>
  <si>
    <t xml:space="preserve">Mitchell et al., 2016</t>
  </si>
  <si>
    <t xml:space="preserve">A comparative analysis of short-latency somatosensory evoked potentials in man, monkey, cat, and rat</t>
  </si>
  <si>
    <t xml:space="preserve">Allison &amp; Hume, 1981</t>
  </si>
  <si>
    <t xml:space="preserve">Sugammadex reverses neuromuscular block induced by 3-desacetyl-vecuronium, an active metabolite of vecuronium, in the anaesthetised rhesus monkey</t>
  </si>
  <si>
    <t xml:space="preserve">Staals et al., 2011</t>
  </si>
  <si>
    <t xml:space="preserve">Neuronal activity in the primate motor thalamus during visually triggered and internally generated limb movements</t>
  </si>
  <si>
    <t xml:space="preserve">Donkelaar et al., 1999</t>
  </si>
  <si>
    <t xml:space="preserve">Thalamus</t>
  </si>
  <si>
    <t xml:space="preserve">Analgesic properties of the GABA-mimetic THIP</t>
  </si>
  <si>
    <t xml:space="preserve">Hill et al., 1981</t>
  </si>
  <si>
    <t xml:space="preserve">Gaze-stabilizing deficits and latent nystagmus in monkeys with early-onset visual deprivation: role of the pretectal not</t>
  </si>
  <si>
    <t xml:space="preserve">Mustari et al., 2001</t>
  </si>
  <si>
    <t xml:space="preserve">Nystagmus monkeys</t>
  </si>
  <si>
    <t xml:space="preserve">Deep brain stimulation reduces neuronal entropy in the MPTP-primate model of Parkinson's disease</t>
  </si>
  <si>
    <t xml:space="preserve">Dorval et al., 2008</t>
  </si>
  <si>
    <t xml:space="preserve">Occlusal force after mandibular advancement in adult rhesus monkeys</t>
  </si>
  <si>
    <t xml:space="preserve">Dechow &amp; Carlson, 1986</t>
  </si>
  <si>
    <t xml:space="preserve">Accommodation dynamics in aging rhesus monkeys</t>
  </si>
  <si>
    <t xml:space="preserve">Croft et al., 1998</t>
  </si>
  <si>
    <t xml:space="preserve">In Vivo 7T MRI of the Non-Human Primate Brainstem</t>
  </si>
  <si>
    <t xml:space="preserve">Zitella et al., 2015</t>
  </si>
  <si>
    <t xml:space="preserve">MRI study</t>
  </si>
  <si>
    <t xml:space="preserve">A micro-electrocorticography platform and deployment strategies for chronic BCI applications</t>
  </si>
  <si>
    <t xml:space="preserve">Thongpang et al., 2011</t>
  </si>
  <si>
    <t xml:space="preserve">Some variables in auditory pattern discrimination learning</t>
  </si>
  <si>
    <t xml:space="preserve">Wegener, 1976</t>
  </si>
  <si>
    <t xml:space="preserve">Transcranial magnetic stimulation of the prefrontal cortex in awake nonhuman primates evokes a polysynaptic neck muscle response that reflects oculomotor activity at the time of stimulation</t>
  </si>
  <si>
    <t xml:space="preserve">Gu &amp; Corneil, 2014</t>
  </si>
  <si>
    <t xml:space="preserve">The sweetness-inducing effect of miraculin; behavioural and neurophysiological experiments in the rhesus monkey Macaca mulatta</t>
  </si>
  <si>
    <t xml:space="preserve">Brouwer et al., 1983</t>
  </si>
  <si>
    <t xml:space="preserve">gustatory study</t>
  </si>
  <si>
    <t xml:space="preserve">A brain-spine interface alleviating gait deficits after spinal cord injury in primates</t>
  </si>
  <si>
    <t xml:space="preserve">Capogrosso et al., 2016</t>
  </si>
  <si>
    <t xml:space="preserve">Task-relevant output signals are sent from monkey dorsolateral prefrontal cortex to the superior colliculus during a visuospatial working memory task</t>
  </si>
  <si>
    <t xml:space="preserve">Johnston &amp; Everling, 2009</t>
  </si>
  <si>
    <t xml:space="preserve">Gastric emptying and secretion in monkeys during unavoidable shock</t>
  </si>
  <si>
    <t xml:space="preserve">Natelson &amp; Dubois, 1980</t>
  </si>
  <si>
    <t xml:space="preserve">gastro-intestinal study</t>
  </si>
  <si>
    <t xml:space="preserve">Somatosensory evoked potentials, cerebral blood flow and metabolism following cerebral missile trauma in monkeys</t>
  </si>
  <si>
    <t xml:space="preserve">Crockard et al., 1977</t>
  </si>
  <si>
    <t xml:space="preserve">brain injury study (horrendous)</t>
  </si>
  <si>
    <t xml:space="preserve">The effects of cerebellar stimulation on the stretch reflex in the spastic monkey</t>
  </si>
  <si>
    <t xml:space="preserve">Ebner et al., 1982</t>
  </si>
  <si>
    <t xml:space="preserve">Body fat and body weight reduction following hypothalamic deep brain stimulation in monkeys: an intraventricular approach</t>
  </si>
  <si>
    <t xml:space="preserve">Torres et al., 2012</t>
  </si>
  <si>
    <t xml:space="preserve">Long-term study into weightloss</t>
  </si>
  <si>
    <t xml:space="preserve">More than meets the eye-myelinated axons crowd the subthalamic nucleus</t>
  </si>
  <si>
    <t xml:space="preserve">Mathai et al., 2013</t>
  </si>
  <si>
    <t xml:space="preserve">The impact of task context on predicting finger movements in a brain-machine interface</t>
  </si>
  <si>
    <t xml:space="preserve">Mender et al., 2023</t>
  </si>
  <si>
    <t xml:space="preserve">Electrical stimulation of the fastigial nucleus increases total cerebral blood flow in the monkey</t>
  </si>
  <si>
    <t xml:space="preserve">Goadsby &amp; Lambert, 1989</t>
  </si>
  <si>
    <t xml:space="preserve">Fastigial Nucleus</t>
  </si>
  <si>
    <t xml:space="preserve">Frontal eye field neurons signal changes in decision criteria</t>
  </si>
  <si>
    <t xml:space="preserve">Ferrera et al., 2009</t>
  </si>
  <si>
    <t xml:space="preserve">Organizational principles of velocity storage in three dimensions. The effect of gravity on cross-coupling of optokinetic after-nystagmus</t>
  </si>
  <si>
    <t xml:space="preserve">Raphan &amp; Cohen, 1988</t>
  </si>
  <si>
    <t xml:space="preserve">Chronic brain ischemia in the monkey assessed by somatosensory evoked potentials and local blood flow measurements</t>
  </si>
  <si>
    <t xml:space="preserve">Lopes da Silva et al., 1985</t>
  </si>
  <si>
    <t xml:space="preserve">brain injury study</t>
  </si>
  <si>
    <t xml:space="preserve">Characteristics of the output from the dentate nucleus to spinal neurons via pathways which do not involve the primary sensorimotor cortex</t>
  </si>
  <si>
    <t xml:space="preserve">Bantli &amp; Bloedel, 1976</t>
  </si>
  <si>
    <t xml:space="preserve">Dentate nucleus</t>
  </si>
  <si>
    <t xml:space="preserve">Lesioned animals</t>
  </si>
  <si>
    <t xml:space="preserve">Evaluation of Retinal Ganglion Cell via Visual Evoked Potential</t>
  </si>
  <si>
    <t xml:space="preserve">Lu et al., 2023</t>
  </si>
  <si>
    <t xml:space="preserve">Parainfluenza virus infection damages inhibitory M2 muscarinic receptors on pulmonary parasympathetic nerves in the guinea-pig</t>
  </si>
  <si>
    <t xml:space="preserve">Fryer &amp; Jacoby, 1991</t>
  </si>
  <si>
    <t xml:space="preserve">guinea pigs</t>
  </si>
  <si>
    <t xml:space="preserve">Effects of various hippocampal lesions on monkey plasma cortisol levels in two experimental conditions</t>
  </si>
  <si>
    <t xml:space="preserve">Regestein et al., 1986</t>
  </si>
  <si>
    <t xml:space="preserve">Comparison of cortico-cortical and cortico-collicular signals for the generation of saccadic eye movements</t>
  </si>
  <si>
    <t xml:space="preserve">Ferraina et al., 2002</t>
  </si>
  <si>
    <t xml:space="preserve">LIP, FEF, SC</t>
  </si>
  <si>
    <t xml:space="preserve">A peripheral "cold" fiber population responsive to innocuous and noxious thermal stimuli applied to monkey's face</t>
  </si>
  <si>
    <t xml:space="preserve">Dubner et al., 1975</t>
  </si>
  <si>
    <t xml:space="preserve">Electric Field Model of Transcranial Electric Stimulation in Nonhuman Primates: Correspondence to Individual Motor Threshold</t>
  </si>
  <si>
    <t xml:space="preserve">Lee et al., 2015</t>
  </si>
  <si>
    <t xml:space="preserve">Epiretinal stimulation with local returns enhances selectivity at cellular resolution</t>
  </si>
  <si>
    <t xml:space="preserve">Fan et al., 2019</t>
  </si>
  <si>
    <t xml:space="preserve">Low temperature stimulation augments early wave component of somatosensory evoked response in humans and Macaca mulatta monkeys</t>
  </si>
  <si>
    <t xml:space="preserve">Schneider, 1982</t>
  </si>
  <si>
    <t xml:space="preserve">Spatiotemporal variation of multiple neurophysiological signals in the primary motor cortex during dexterous reach-to-grasp movements</t>
  </si>
  <si>
    <t xml:space="preserve">Mollazadeh et al., 2011</t>
  </si>
  <si>
    <t xml:space="preserve">Electrical microstimulation evokes saccades in posterior parietal cortex of common marmosets</t>
  </si>
  <si>
    <t xml:space="preserve">Ghahremani et al., 2019</t>
  </si>
  <si>
    <t xml:space="preserve">marmoset monkeys</t>
  </si>
  <si>
    <t xml:space="preserve">Delay-period activity in visual, visuomovement, and movement neurons in the frontal eye field</t>
  </si>
  <si>
    <t xml:space="preserve">Lawrence et al., 2005</t>
  </si>
  <si>
    <t xml:space="preserve">Monkeys time their pauses of movement and not their movement-kinematics during a synchronization-continuation rhythmic task</t>
  </si>
  <si>
    <t xml:space="preserve">Donnet et al., 2014</t>
  </si>
  <si>
    <t xml:space="preserve">kinematic study</t>
  </si>
  <si>
    <t xml:space="preserve">Cortical motor representation of the laryngeal muscles in Macaca mulatta</t>
  </si>
  <si>
    <t xml:space="preserve">Hast et al., 1974</t>
  </si>
  <si>
    <t xml:space="preserve">Decoding unconstrained arm movements in primates using high-density electrocorticography signals for brain-machine interface use</t>
  </si>
  <si>
    <t xml:space="preserve">Hu et al., 2018</t>
  </si>
  <si>
    <t xml:space="preserve">Behavioral Impact of Long-Term Chronic Implantation of Neural Recording Devices in the Rhesus Macaque</t>
  </si>
  <si>
    <t xml:space="preserve">Kyle et al., 2019</t>
  </si>
  <si>
    <t xml:space="preserve">Trochlear unit activity during ocular convergence</t>
  </si>
  <si>
    <t xml:space="preserve">Mays et al., 1991</t>
  </si>
  <si>
    <t xml:space="preserve">Macaque dorsolateral prefrontal cortex does not suppress saccade-related activity in the superior colliculus</t>
  </si>
  <si>
    <t xml:space="preserve">Johnston et al., 2014</t>
  </si>
  <si>
    <t xml:space="preserve">cortical deactivation</t>
  </si>
  <si>
    <t xml:space="preserve">Opioid and non-opioid effects of novel butyrophenone analogues</t>
  </si>
  <si>
    <t xml:space="preserve">Winger et al., 1992</t>
  </si>
  <si>
    <t xml:space="preserve">The effects of diazepam, morphine and lidocaine on nociception in rhesus monkeys: a signal detection analysis</t>
  </si>
  <si>
    <t xml:space="preserve">Lineberry &amp; Kulics, 1978</t>
  </si>
  <si>
    <t xml:space="preserve">Update on magnetic seizure therapy: a novel form of convulsive therapy</t>
  </si>
  <si>
    <t xml:space="preserve">Lisanby, 2002</t>
  </si>
  <si>
    <t xml:space="preserve">Real-time communication of head velocity and acceleration for an externally mounted vestibular prosthesis</t>
  </si>
  <si>
    <t xml:space="preserve">Responses of the monkey oviduct to transmural electrical stimulation and to drugs</t>
  </si>
  <si>
    <t xml:space="preserve">Widdicombe et al., 1977</t>
  </si>
  <si>
    <t xml:space="preserve">fertility study</t>
  </si>
  <si>
    <t xml:space="preserve">The relative influences of priors and sensory evidence on an oculomotor decision variable during perceptual learning</t>
  </si>
  <si>
    <t xml:space="preserve">Gold et al., 2008</t>
  </si>
  <si>
    <t xml:space="preserve">MT, LIP</t>
  </si>
  <si>
    <t xml:space="preserve">[The organization of neocortex and caudate nucleus interconnections in simians]</t>
  </si>
  <si>
    <t xml:space="preserve">Khasabov, 1974</t>
  </si>
  <si>
    <t xml:space="preserve">Coherent 25- to 35-Hz oscillations in the sensorimotor cortex of awake behaving monkeys</t>
  </si>
  <si>
    <t xml:space="preserve">Murthy &amp; Fetz, 1992</t>
  </si>
  <si>
    <t xml:space="preserve">Sensorimotor cortex</t>
  </si>
  <si>
    <t xml:space="preserve">Neurons in the monkey midbrain with activity related to vergence eye movement and accommodation</t>
  </si>
  <si>
    <t xml:space="preserve">Judge &amp; Cumming, 1986</t>
  </si>
  <si>
    <t xml:space="preserve">Mapping of functional neural pathways by autoradiographic survey of local metabolic rate with (14C)deoxyglucose</t>
  </si>
  <si>
    <t xml:space="preserve">Kennedy et al., 1975</t>
  </si>
  <si>
    <t xml:space="preserve">Cross-validated models of the relationships between neck muscle electromyography and three-dimensional head kinematics during gaze behavior</t>
  </si>
  <si>
    <t xml:space="preserve">EMG study</t>
  </si>
  <si>
    <t xml:space="preserve">Minimally invasive neural stimulation with a novel ultra-sensitive step function opsin: implications and future directions</t>
  </si>
  <si>
    <t xml:space="preserve">Lawrence &amp; Chang, 2020</t>
  </si>
  <si>
    <t xml:space="preserve">Temporal interference stimulation targets deep primate brain</t>
  </si>
  <si>
    <t xml:space="preserve">Liu et al., 2024</t>
  </si>
  <si>
    <t xml:space="preserve">TI stimulation</t>
  </si>
  <si>
    <t xml:space="preserve">Motor cortical control of internal pallidal activity through glutamatergic and GABAergic inputs in awake monkeys</t>
  </si>
  <si>
    <t xml:space="preserve">Tachibana et al., 2008</t>
  </si>
  <si>
    <t xml:space="preserve">Motor cortex?</t>
  </si>
  <si>
    <t xml:space="preserve">Effects of reaction time performance on single-unit activity in the central auditory pathway of the rhesus macaque</t>
  </si>
  <si>
    <t xml:space="preserve">Ryan et al., 1984</t>
  </si>
  <si>
    <t xml:space="preserve">Reprogramming of muscle activation patterns at the wrist in compensation for elbow reaction torques during planar two-joint arm movements</t>
  </si>
  <si>
    <t xml:space="preserve">Cooke &amp; Virji-Babul, 1995</t>
  </si>
  <si>
    <t xml:space="preserve">Eye-centered, head-centered, and intermediate coding of remembered sound locations in area LIP</t>
  </si>
  <si>
    <t xml:space="preserve">Stricanne et al., 1996</t>
  </si>
  <si>
    <t xml:space="preserve">Multimodal Interactions between Proprioceptive and Cutaneous Signals in Primary Somatosensory Cortex</t>
  </si>
  <si>
    <t xml:space="preserve">recordings, peripheral stimulation</t>
  </si>
  <si>
    <t xml:space="preserve">Computing vector differences using a gain field-like mechanism in monkey frontal eye field</t>
  </si>
  <si>
    <t xml:space="preserve">Cassanello &amp; Ferrera, 2007</t>
  </si>
  <si>
    <t xml:space="preserve">Recovery of motor function and sensory evoked responses following brain damage in monkey</t>
  </si>
  <si>
    <t xml:space="preserve">Toya et al., 1977</t>
  </si>
  <si>
    <t xml:space="preserve">Protocol for behavioral and neural recording during stimulation of the macaque monkey nucleus basalis</t>
  </si>
  <si>
    <t xml:space="preserve">Qi et al., 2022</t>
  </si>
  <si>
    <t xml:space="preserve">Effects of vestibular prosthesis electrode implantation and stimulation on hearing in rhesus monkeys</t>
  </si>
  <si>
    <t xml:space="preserve">Dai et al., 2011</t>
  </si>
  <si>
    <t xml:space="preserve">Development of conditioned suppression and associated cardiovascular responses in the monkey</t>
  </si>
  <si>
    <t xml:space="preserve">Marshall et al., 1978</t>
  </si>
  <si>
    <t xml:space="preserve">cardiac study</t>
  </si>
  <si>
    <t xml:space="preserve">Lateral geniculate neurons in behaving primates. I. Responses to two-dimensional stimuli</t>
  </si>
  <si>
    <t xml:space="preserve">McClurkin et al., 1991</t>
  </si>
  <si>
    <t xml:space="preserve">[Functional organization of the intermediate and deep layers of the superior colliculus of the monkey]</t>
  </si>
  <si>
    <t xml:space="preserve">Gentilucci et al., 1984</t>
  </si>
  <si>
    <t xml:space="preserve">Decoding of visual attention from LFP signals of macaque MT</t>
  </si>
  <si>
    <t xml:space="preserve">Esghaei &amp; Daliri, 2014</t>
  </si>
  <si>
    <t xml:space="preserve">LFP study</t>
  </si>
  <si>
    <t xml:space="preserve">Topography and intracranial sources of somatosensory evoked potentials in the monkey. I. Early components</t>
  </si>
  <si>
    <t xml:space="preserve">Arezzo et al., 1979</t>
  </si>
  <si>
    <t xml:space="preserve">The medial parietal occipital areas in the macaque monkey</t>
  </si>
  <si>
    <t xml:space="preserve">Gamberini et al., 2015</t>
  </si>
  <si>
    <t xml:space="preserve">Evidence for nitroxidergic innervation in monkey ophthalmic arteries in vivo and in vitro</t>
  </si>
  <si>
    <t xml:space="preserve">Ayajiki et al., 2000</t>
  </si>
  <si>
    <t xml:space="preserve">Neuronal responses in rostral trigeminal brain-stem nuclei of macaque monkeys after chronic trigeminal tractotomy</t>
  </si>
  <si>
    <t xml:space="preserve">Young &amp; Perryman, 1986</t>
  </si>
  <si>
    <t xml:space="preserve">tooth study</t>
  </si>
  <si>
    <t xml:space="preserve">Roles of narrow- and broad-spiking dorsal premotor area neurons in reach target selection and movement production</t>
  </si>
  <si>
    <t xml:space="preserve">Song &amp; McPeek, 2010</t>
  </si>
  <si>
    <t xml:space="preserve">PMd</t>
  </si>
  <si>
    <t xml:space="preserve">Effects of estradiol-17beta on the induction of gonadotropin release by electrical stimulation of the hypothalamus in rhesus monkeys</t>
  </si>
  <si>
    <t xml:space="preserve">Spies et al., 1977</t>
  </si>
  <si>
    <t xml:space="preserve">electrical, hormonal study</t>
  </si>
  <si>
    <t xml:space="preserve">Age-related changes to layer 3 pyramidal cells in the rhesus monkey visual cortex</t>
  </si>
  <si>
    <t xml:space="preserve">Luebke et al., 2015</t>
  </si>
  <si>
    <t xml:space="preserve">Diverse task-driven modeling of macaque V4 reveals functional specialization towards semantic tasks</t>
  </si>
  <si>
    <t xml:space="preserve">Cadena et al., 2024</t>
  </si>
  <si>
    <t xml:space="preserve">Optogenetic therapy: high spatiotemporal resolution and pattern discrimination compatible with vision restoration in non-human primates</t>
  </si>
  <si>
    <t xml:space="preserve">Gauvain et al., 2022</t>
  </si>
  <si>
    <t xml:space="preserve">Reconstruction of natural images from responses of primate retinal ganglion cells</t>
  </si>
  <si>
    <t xml:space="preserve">Brackbill et al., 2020</t>
  </si>
  <si>
    <t xml:space="preserve">retinal recordings</t>
  </si>
  <si>
    <t xml:space="preserve">[Gonadotropin release following hypothalamic electrical stimulation of the Macaca fuscata]</t>
  </si>
  <si>
    <t xml:space="preserve">Tanada, 1983</t>
  </si>
  <si>
    <t xml:space="preserve">in japanese</t>
  </si>
  <si>
    <t xml:space="preserve">A semi-automated pipeline for finite element modeling of electric field induced in nonhuman primates by transcranial magnetic stimulation</t>
  </si>
  <si>
    <t xml:space="preserve">Goswami et al., 2024</t>
  </si>
  <si>
    <t xml:space="preserve">Limited functional grouping of neurons in the motor cortex hand area during individuated finger movements: A cluster analysis</t>
  </si>
  <si>
    <t xml:space="preserve">Poliakov &amp; Schieber, 1999</t>
  </si>
  <si>
    <t xml:space="preserve">Macaque dorsal premotor cortex exhibits decision-related activity only when specific stimulus-response associations are known</t>
  </si>
  <si>
    <t xml:space="preserve">Wang et al., 2019</t>
  </si>
  <si>
    <t xml:space="preserve">Facilitation from ventral premotor cortex of primary motor cortex outputs to macaque hand muscles</t>
  </si>
  <si>
    <t xml:space="preserve">Cerri et al., 2003</t>
  </si>
  <si>
    <t xml:space="preserve">Origins of GABA(A) and GABA(B) receptor-mediated responses of globus pallidus induced after stimulation of the putamen in the monkey</t>
  </si>
  <si>
    <t xml:space="preserve">Kita et al., 2006</t>
  </si>
  <si>
    <t xml:space="preserve">recordings, pharmacology</t>
  </si>
  <si>
    <t xml:space="preserve">Motor cortex stimulation: mild transient benefit in a primate model of Parkinson disease</t>
  </si>
  <si>
    <t xml:space="preserve">Wu et al., 2007</t>
  </si>
  <si>
    <t xml:space="preserve">Characteristics of responses of Golgi cells and mossy fibers to eye saccades and saccadic adaptation recorded from the posterior vermis of the cerebellum</t>
  </si>
  <si>
    <t xml:space="preserve">Prsa et al., 2009</t>
  </si>
  <si>
    <t xml:space="preserve">Effects of surface electrostimulation on the structure and metabolic properties in monkey skeletal muscle</t>
  </si>
  <si>
    <t xml:space="preserve">Biggard et al., 1993</t>
  </si>
  <si>
    <t xml:space="preserve">Altering alpha-frequency brain oscillations with rapid analog feedback-driven neurostimulation</t>
  </si>
  <si>
    <t xml:space="preserve">Widge et al., 2018</t>
  </si>
  <si>
    <t xml:space="preserve">Cortical and thalamic excitation mediate the multiphasic responses of striatal cholinergic interneurons to motivationally salient stimuli</t>
  </si>
  <si>
    <t xml:space="preserve">Doig et al., 2014</t>
  </si>
  <si>
    <t xml:space="preserve">Causal Role of Neural Signals Transmitted From the Frontal Eye Field to the Superior Colliculus in Saccade Generation</t>
  </si>
  <si>
    <t xml:space="preserve">Matsumoto et al., 2018</t>
  </si>
  <si>
    <t xml:space="preserve">Comparison of the two methods of electroejaculation in the Japanese monkey (Macaca fuscata)</t>
  </si>
  <si>
    <t xml:space="preserve">Matsubayashi, 1982</t>
  </si>
  <si>
    <t xml:space="preserve">Stimulus features affecting psychophysical detection thresholds for electrical stimulation of the cochlea. I: Phase duration and stimulus duration</t>
  </si>
  <si>
    <t xml:space="preserve">Pfingst et al., 1991</t>
  </si>
  <si>
    <t xml:space="preserve">Microscale Physiological Events on the Human Cortical Surface</t>
  </si>
  <si>
    <t xml:space="preserve">Paulk et al., 2021</t>
  </si>
  <si>
    <t xml:space="preserve">The cholinergic system and nociception in the primate: interactions with morphine</t>
  </si>
  <si>
    <t xml:space="preserve">Pert, 1975</t>
  </si>
  <si>
    <t xml:space="preserve">Ultrasound-guided insertion of intramuscular electrodes into suboccipital muscles in the non-human primate</t>
  </si>
  <si>
    <t xml:space="preserve">Corneil et al., 2012</t>
  </si>
  <si>
    <t xml:space="preserve">Do corticomotoneuronal cells predict target muscle EMG activity?</t>
  </si>
  <si>
    <t xml:space="preserve">Griffin et al., 2008</t>
  </si>
  <si>
    <t xml:space="preserve">CM cells</t>
  </si>
  <si>
    <t xml:space="preserve">Extraocular muscle motor units characterized by spike-triggered averaging in alert monkey</t>
  </si>
  <si>
    <t xml:space="preserve">Gamlin &amp; Miller, 2012</t>
  </si>
  <si>
    <t xml:space="preserve">Restoration of grasp following paralysis through brain-controlled stimulation of muscles</t>
  </si>
  <si>
    <t xml:space="preserve">Ethier et al., 2012</t>
  </si>
  <si>
    <t xml:space="preserve">Categorization in the monkey hippocampus: a possible mechanism for encoding information into memory</t>
  </si>
  <si>
    <t xml:space="preserve">Hampson et al., 2004</t>
  </si>
  <si>
    <t xml:space="preserve">Principles of operation of a cerebellar learning circuit</t>
  </si>
  <si>
    <t xml:space="preserve">Hertzfeld et al., 2020</t>
  </si>
  <si>
    <t xml:space="preserve">[Evoked potentials in the caudate nucleus of the monkey Macaca rhesus in response to stimulation of different areas of the ipsilateral cerebral cortex]</t>
  </si>
  <si>
    <t xml:space="preserve">Tolkunov &amp; Khasabov, 1972</t>
  </si>
  <si>
    <t xml:space="preserve">Spatial and Temporal Arrangement of Recurrent Inhibition in the Primate Upper Limb</t>
  </si>
  <si>
    <t xml:space="preserve">Edgley et al., 2021</t>
  </si>
  <si>
    <t xml:space="preserve">Distinct population codes for attention in the absence and presence of visual stimulation</t>
  </si>
  <si>
    <t xml:space="preserve">Snyder et al., 2018</t>
  </si>
  <si>
    <t xml:space="preserve">Functional properties of monkey motor cortex neurones receiving afferent input from the hand and fingers</t>
  </si>
  <si>
    <t xml:space="preserve">Lemon, 1981</t>
  </si>
  <si>
    <t xml:space="preserve">recordings, nerve stimulation</t>
  </si>
  <si>
    <t xml:space="preserve">Focal electrical stimulation of human retinal ganglion cells for vision restoration</t>
  </si>
  <si>
    <t xml:space="preserve">Madugula et al., 2022</t>
  </si>
  <si>
    <t xml:space="preserve">Localization of orofacial representation in the corona radiata, internal capsule and cerebral peduncle in Macaca mulatta</t>
  </si>
  <si>
    <t xml:space="preserve">Morecraft et al., 2017</t>
  </si>
  <si>
    <t xml:space="preserve">The relationship between wavelength and color studied in single cells of monkey striate cortex</t>
  </si>
  <si>
    <t xml:space="preserve">Zeki, 1983</t>
  </si>
  <si>
    <t xml:space="preserve">book chapter</t>
  </si>
  <si>
    <t xml:space="preserve">HRP studies on thalamocortical neurons related to the cerebellocerebral projection in the monkey</t>
  </si>
  <si>
    <t xml:space="preserve">Miyata &amp; Sasaki, 1983</t>
  </si>
  <si>
    <t xml:space="preserve">Functional heterogeneity of the prefrontal cortex in the monkey: a review</t>
  </si>
  <si>
    <t xml:space="preserve">Rosenkilde, 1979</t>
  </si>
  <si>
    <t xml:space="preserve">Long-term surface stimulation of the cerebellum in the monkey. II. Electron microscopic and biochemical observations</t>
  </si>
  <si>
    <t xml:space="preserve">Tennyson et al., 1977</t>
  </si>
  <si>
    <t xml:space="preserve">Discovering spike patterns in neuronal responses</t>
  </si>
  <si>
    <t xml:space="preserve">Fellous et al., 2004</t>
  </si>
  <si>
    <t xml:space="preserve">Reinforcing properties of perphenazine, haloperidol and amitryptiline in rhesus monkeys</t>
  </si>
  <si>
    <t xml:space="preserve">Hoffmeister, 1977</t>
  </si>
  <si>
    <t xml:space="preserve">X and Y cells in the lateral geniculate nucleus of macaque monkeys</t>
  </si>
  <si>
    <t xml:space="preserve">Kaplan &amp; Shapley, 1982</t>
  </si>
  <si>
    <t xml:space="preserve">Multichannel vestibular prosthesis employing modulation of pulse rate and current with alignment precompensation elicits improved VOR performance in monkeys</t>
  </si>
  <si>
    <t xml:space="preserve">Davidovics et al., 2013</t>
  </si>
  <si>
    <t xml:space="preserve">Some functional characteristics of the superior colliculus of the rhesus monkey</t>
  </si>
  <si>
    <t xml:space="preserve">Schiller, 1972</t>
  </si>
  <si>
    <t xml:space="preserve">no access, and looks like recordings</t>
  </si>
  <si>
    <t xml:space="preserve">How multisensory neurons solve causal inference</t>
  </si>
  <si>
    <t xml:space="preserve">Rideaux et al., 2021</t>
  </si>
  <si>
    <t xml:space="preserve">MSTd</t>
  </si>
  <si>
    <t xml:space="preserve">Implantation and testing of WFMA stimulators in macaque</t>
  </si>
  <si>
    <t xml:space="preserve">Trovk et al., 2016</t>
  </si>
  <si>
    <t xml:space="preserve">Anatomical identification of extracellularly recorded cells in large-scale multielectrode recordings</t>
  </si>
  <si>
    <t xml:space="preserve">Li et al., 2015</t>
  </si>
  <si>
    <t xml:space="preserve">Inferring neural circuit properties from optogenetic stimulation</t>
  </si>
  <si>
    <t xml:space="preserve">Avery et al., 2018</t>
  </si>
  <si>
    <t xml:space="preserve">Acute activation and inactivation of macaque frontal eye field with GABA-related drugs</t>
  </si>
  <si>
    <t xml:space="preserve">Dias et al., 1995</t>
  </si>
  <si>
    <t xml:space="preserve">Lateral geniculate neurons in behaving primates. II. Encoding of visual information in the temporal shape of the response</t>
  </si>
  <si>
    <t xml:space="preserve">Representation of slowly and rapidly adapting cutaneous mechanoreceptors of the hand in Brodmann's areas 3 and 1 of Macaca mulatta</t>
  </si>
  <si>
    <t xml:space="preserve">Paul et al., 1972</t>
  </si>
  <si>
    <t xml:space="preserve">Application of the GABA antagonist bicuculline to the premotor cortex reduces the ability to withhold reaching movements by well-trained monkeys in visually guided reaching task</t>
  </si>
  <si>
    <t xml:space="preserve">Sawaguchi et al., 1996</t>
  </si>
  <si>
    <t xml:space="preserve">Flexible timing by temporal scaling of cortical responses</t>
  </si>
  <si>
    <t xml:space="preserve">Wang et al., 2018</t>
  </si>
  <si>
    <t xml:space="preserve">medial frontal cortex</t>
  </si>
  <si>
    <t xml:space="preserve">Stimulation strength and focality of electroconvulsive therapy with individualized current amplitude: a preclinical study</t>
  </si>
  <si>
    <t xml:space="preserve">Lee et al., 2012</t>
  </si>
  <si>
    <t xml:space="preserve">Electrical field stimulation of isolated primate sweat glands</t>
  </si>
  <si>
    <t xml:space="preserve">Vitale et al., 1986</t>
  </si>
  <si>
    <t xml:space="preserve">Central olfactory connections in the macaque monkey</t>
  </si>
  <si>
    <t xml:space="preserve">Carmichael et al., 1994</t>
  </si>
  <si>
    <t xml:space="preserve">Olfactory Bulb</t>
  </si>
  <si>
    <t xml:space="preserve">Neuronal responses related to long-term recognition memory processes in prefrontal cortex</t>
  </si>
  <si>
    <t xml:space="preserve">Xiang &amp; Brown, 2004</t>
  </si>
  <si>
    <t xml:space="preserve">Impairments in visual discrimination after perirhinal cortex lesions: testing 'declarative' vs. 'perceptual-mnemonic' views of perirhinal cortex function</t>
  </si>
  <si>
    <t xml:space="preserve">Bussey et al., 2003</t>
  </si>
  <si>
    <t xml:space="preserve">Sugammadex, a new reversal agent for neuromuscular block induced by rocuronium in the anaesthetized Rhesus monkey</t>
  </si>
  <si>
    <t xml:space="preserve">Balance of monosynaptic excitatory and disynaptic inhibitory responses of the globus pallidus induced after stimulation of the subthalamic nucleus in the monkey</t>
  </si>
  <si>
    <t xml:space="preserve">Kita et al., 2005</t>
  </si>
  <si>
    <t xml:space="preserve">Laboratory and clinical investigations of the region of the rostral brainstem in motor control</t>
  </si>
  <si>
    <t xml:space="preserve">Nandi et al., 2006</t>
  </si>
  <si>
    <t xml:space="preserve">Electroconvulsive therapy and animal models of depression</t>
  </si>
  <si>
    <t xml:space="preserve">McKinney, 1986</t>
  </si>
  <si>
    <t xml:space="preserve">ECT</t>
  </si>
  <si>
    <t xml:space="preserve">Cortico-striatal evoked potentials in the monkey (Macaca mulatta)</t>
  </si>
  <si>
    <t xml:space="preserve">Liles, 1975</t>
  </si>
  <si>
    <t xml:space="preserve">Comatose monkeys</t>
  </si>
  <si>
    <t xml:space="preserve">Biochemical changes on ventromedial hypothalamic stimulation in monkeys with streptozotocin diabetes</t>
  </si>
  <si>
    <t xml:space="preserve">Garg et al., 1980</t>
  </si>
  <si>
    <t xml:space="preserve">Drug injections as negative reinforcers</t>
  </si>
  <si>
    <t xml:space="preserve">Holz &amp; Gill, 1975</t>
  </si>
  <si>
    <t xml:space="preserve">Early monocular defocus disrupts the normal development of receptive-field structure in V2 neurons of macaque monkeys</t>
  </si>
  <si>
    <t xml:space="preserve">Tao et al., 2014</t>
  </si>
  <si>
    <t xml:space="preserve">V1, V2</t>
  </si>
  <si>
    <t xml:space="preserve">Responses of ventral posterior thalamus neurons to three-dimensional vestibular and optic flow stimulation</t>
  </si>
  <si>
    <t xml:space="preserve">Meng &amp; Angelaki, 2010</t>
  </si>
  <si>
    <t xml:space="preserve">Quantitative pharmacological analyses of the interaction between flumazenil and midazolam in monkeys discriminating midazolam: Determination of the functional half life of flumazenil</t>
  </si>
  <si>
    <t xml:space="preserve">Zanettini et al., 2014</t>
  </si>
  <si>
    <t xml:space="preserve">Effects of chronic cerebellar stimulation on chronic limbic seizures in monkeys</t>
  </si>
  <si>
    <t xml:space="preserve">Strain et al., 1979</t>
  </si>
  <si>
    <t xml:space="preserve">Epileptic animals</t>
  </si>
  <si>
    <t xml:space="preserve">Improved stereotactic procedure enhances the accuracy of deep brain stimulation electrode implantation in non-human primates</t>
  </si>
  <si>
    <t xml:space="preserve">Chen et al., 2015</t>
  </si>
  <si>
    <t xml:space="preserve">Tissue impedance and current flow in the implanted ear. Implications for the cochlear prosthesis</t>
  </si>
  <si>
    <t xml:space="preserve">Spelman et al., 1982</t>
  </si>
  <si>
    <t xml:space="preserve">The motor nerve supply of the velopharyngeal muscles</t>
  </si>
  <si>
    <t xml:space="preserve">Changes over time in thresholds for electrical stimulation of the cochlea</t>
  </si>
  <si>
    <t xml:space="preserve">Pfingst, 1990</t>
  </si>
  <si>
    <t xml:space="preserve">Pedunculopontine stimulation from primate to patient</t>
  </si>
  <si>
    <t xml:space="preserve">Pereira et al., 2011</t>
  </si>
  <si>
    <t xml:space="preserve">Static firing rates of premotor and primary motor cortical neurons associated with torque and joint position</t>
  </si>
  <si>
    <t xml:space="preserve">Werner et al., 1991</t>
  </si>
  <si>
    <t xml:space="preserve">Vascular effects of spinal cord stimulation in the monkey</t>
  </si>
  <si>
    <t xml:space="preserve">Myklebust et al., 1995</t>
  </si>
  <si>
    <t xml:space="preserve">Restoration of 3D vestibular sensation in rhesus monkeys using a multichannel vestibular prosthesis</t>
  </si>
  <si>
    <t xml:space="preserve">Focal electrical stimulation of major ganglion cell types in the primate retina for the design of visual prostheses</t>
  </si>
  <si>
    <t xml:space="preserve">Jepson et al., 2013</t>
  </si>
  <si>
    <t xml:space="preserve">Effects of cerebellar stimulation on unitary activity within a chronic epileptic focus in a primate</t>
  </si>
  <si>
    <t xml:space="preserve">Learning in rhesus monkeys after amygdalectomy in infancy or adulthood</t>
  </si>
  <si>
    <t xml:space="preserve">Thompson, 1981</t>
  </si>
  <si>
    <t xml:space="preserve">Anterior cingulate activity during pain-avoidance and reward tasks in monkeys</t>
  </si>
  <si>
    <t xml:space="preserve">Koyama et al., 2001</t>
  </si>
  <si>
    <t xml:space="preserve">Emergence of anti-conflict effects of zolpidem in rhesus monkeys following extended post-injection intervals</t>
  </si>
  <si>
    <t xml:space="preserve">Rowlett et al., 2011</t>
  </si>
  <si>
    <t xml:space="preserve">Disruption of component processes of spatial working memory by electroconvulsive shock but not magnetic seizure therapy</t>
  </si>
  <si>
    <t xml:space="preserve">McClintock et al., 2013</t>
  </si>
  <si>
    <t xml:space="preserve">[DBS therapy for Parkinson's disease - our approach]</t>
  </si>
  <si>
    <t xml:space="preserve">Sato et al., 2013</t>
  </si>
  <si>
    <t xml:space="preserve">review, in japanese</t>
  </si>
  <si>
    <t xml:space="preserve">Direct visualization of non-human primate subcortical nuclei with contrast-enhanced high field MRI</t>
  </si>
  <si>
    <t xml:space="preserve">Tani et al., 2011</t>
  </si>
  <si>
    <t xml:space="preserve">Hippocampus chronic deep brain stimulation induces reversible transcript changes in a macaque model of mesial temporal lobe epilepsy</t>
  </si>
  <si>
    <t xml:space="preserve">Chen et al., 2021</t>
  </si>
  <si>
    <t xml:space="preserve">Input organization of distal and proximal forelimb areas in the monkey primary motor cortex: a retrograde double labeling study</t>
  </si>
  <si>
    <t xml:space="preserve">Tokuno &amp; Tanji, 1993</t>
  </si>
  <si>
    <t xml:space="preserve">Surgical intervention and accommodative responses, II: forward ciliary body accommodative movement is facilitated by zonular attachments to the lens capsule</t>
  </si>
  <si>
    <t xml:space="preserve">Wasilewski et al., 2008</t>
  </si>
  <si>
    <t xml:space="preserve">ocular study</t>
  </si>
  <si>
    <t xml:space="preserve">Psychotropic drugs as negative reinforcers</t>
  </si>
  <si>
    <t xml:space="preserve">Hoffmeister &amp; Wuttke, 1975</t>
  </si>
  <si>
    <t xml:space="preserve">drug study</t>
  </si>
  <si>
    <t xml:space="preserve">Sympathetic regulation of cephalic blood flow</t>
  </si>
  <si>
    <t xml:space="preserve">Meyer et al., 1977</t>
  </si>
  <si>
    <t xml:space="preserve">vascular study</t>
  </si>
  <si>
    <t xml:space="preserve">Sensory and multisensory responses in the newborn monkey superior colliculus</t>
  </si>
  <si>
    <t xml:space="preserve">Wallace &amp; Stein, 2001</t>
  </si>
  <si>
    <t xml:space="preserve">Deep Brain Stimulation Using Animal Models of Parkinson's Disease</t>
  </si>
  <si>
    <t xml:space="preserve">Nakajima &amp; Shimo, 2021</t>
  </si>
  <si>
    <t xml:space="preserve">Neural population partitioning and a concurrent brain-machine interface for sequential motor function</t>
  </si>
  <si>
    <t xml:space="preserve">Shanechi et al., 2012</t>
  </si>
  <si>
    <t xml:space="preserve">Comparing frontal eye field and superior colliculus contributions to covert spatial attention</t>
  </si>
  <si>
    <t xml:space="preserve">Bollimunta et al.,  2018</t>
  </si>
  <si>
    <t xml:space="preserve">Only to confirm positioning</t>
  </si>
  <si>
    <t xml:space="preserve">Suppression of visual observing by rhesus monkeys produced by conditioned aversive visual stimuli</t>
  </si>
  <si>
    <t xml:space="preserve">Kremer et al., 1978</t>
  </si>
  <si>
    <t xml:space="preserve">Mixing of Chromatic and Luminance Retinal Signals in Primate Area V1</t>
  </si>
  <si>
    <t xml:space="preserve">V1, retina</t>
  </si>
  <si>
    <t xml:space="preserve">Abnormal tuning of saccade-related cells in pontine reticular formation of strabismic monkeys</t>
  </si>
  <si>
    <t xml:space="preserve">Walton &amp; Mustari, 2015</t>
  </si>
  <si>
    <t xml:space="preserve">Pontine structure</t>
  </si>
  <si>
    <t xml:space="preserve">The vestibular thalamus in the rhesus monkey</t>
  </si>
  <si>
    <t xml:space="preserve">Deecke et al., 1973</t>
  </si>
  <si>
    <t xml:space="preserve">Long-term gliosis around chronically implanted platinum electrodes in the Rhesus macaque motor cortex</t>
  </si>
  <si>
    <t xml:space="preserve">Griffith &amp; Humphrey, 2006</t>
  </si>
  <si>
    <t xml:space="preserve">gliosis study</t>
  </si>
  <si>
    <t xml:space="preserve">Brain2GAN: Feature-disentangled neural encoding and decoding of visual perception in the primate brain</t>
  </si>
  <si>
    <t xml:space="preserve">Dado et al., 2024</t>
  </si>
  <si>
    <t xml:space="preserve">V1, V4, IT</t>
  </si>
  <si>
    <t xml:space="preserve">Ciliary muscle muscarinic binding sites, choline acetyltransferase, and acetylcholinesterase in aging rhesus monkeys</t>
  </si>
  <si>
    <t xml:space="preserve">Gabelt et al., 1990</t>
  </si>
  <si>
    <t xml:space="preserve">histology, eye muscle</t>
  </si>
  <si>
    <t xml:space="preserve">Serotonin axons in the supra- and subependymal plexuses and in the leptomeninges; their roles in local alterations of cerebrospinal fluid and vasomotor activity</t>
  </si>
  <si>
    <t xml:space="preserve">Chan-Palay, 1976</t>
  </si>
  <si>
    <t xml:space="preserve">Analysis of between-trial and within-trial neural spiking dynamics</t>
  </si>
  <si>
    <t xml:space="preserve">Czanner et al., 2008</t>
  </si>
  <si>
    <t xml:space="preserve">Corticosubthalamic input zones from forelimb representations of the dorsal and ventral divisions of the premotor cortex in the macaque monkey: comparison with the input zones from the primary motor cortex and the supplementary motor area</t>
  </si>
  <si>
    <t xml:space="preserve">Nambu et al., 1997</t>
  </si>
  <si>
    <t xml:space="preserve">Enhanced activation of neurons in prelunate cortex before visually guided saccades of trained rhesus monkeys</t>
  </si>
  <si>
    <t xml:space="preserve">Fischer &amp; Boch, 1981</t>
  </si>
  <si>
    <t xml:space="preserve">prelunate cortex</t>
  </si>
  <si>
    <t xml:space="preserve">Responses of pallidal neurons to striatal stimulation in intact waking monkeys</t>
  </si>
  <si>
    <t xml:space="preserve">Tremblay &amp; Filion, 1989</t>
  </si>
  <si>
    <t xml:space="preserve">A device to simplify the rectal probe electro-ejaculation technic for rhesus monkeys</t>
  </si>
  <si>
    <t xml:space="preserve">Wagstaff, 1972</t>
  </si>
  <si>
    <t xml:space="preserve">Relationship of intrinsic connections to forelimb movement representations in monkey motor cortex: a correlative anatomic and physiological study</t>
  </si>
  <si>
    <t xml:space="preserve">Huntley &amp; Jones, 1991</t>
  </si>
  <si>
    <t xml:space="preserve">electrical, tractography</t>
  </si>
  <si>
    <t xml:space="preserve">High-density multielectrode array with independently maneuverable electrodes and silicone oil fluid isolation system for chronic recording from macaque monkey</t>
  </si>
  <si>
    <t xml:space="preserve">Miyakawa et al., 2012</t>
  </si>
  <si>
    <t xml:space="preserve">V1, IT</t>
  </si>
  <si>
    <t xml:space="preserve">Neural Mechanisms Mediating Motion Sensitivity in Parasol Ganglion Cells of the Primate Retina</t>
  </si>
  <si>
    <t xml:space="preserve">Manookin et al., 2018</t>
  </si>
  <si>
    <t xml:space="preserve">Spatiotemporal structure of cortical activity: properties and behavioral relevance</t>
  </si>
  <si>
    <t xml:space="preserve">Prut et al., 1998</t>
  </si>
  <si>
    <t xml:space="preserve">premotor cortex, prefrontal cortex</t>
  </si>
  <si>
    <t xml:space="preserve">Nonhuman primate vestibuloocular reflex responses to prosthetic vestibular stimulation are robust to pulse timing errors caused by temporal discretization</t>
  </si>
  <si>
    <t xml:space="preserve">Boutros et al., 2019</t>
  </si>
  <si>
    <t xml:space="preserve">Properties of ganglion cells with atypical receptive-field organization in retina of macaques</t>
  </si>
  <si>
    <t xml:space="preserve">De Monasterio, 1978</t>
  </si>
  <si>
    <t xml:space="preserve">Fast Recurrent Processing via Ventrolateral Prefrontal Cortex Is Needed by the Primate Ventral Stream for Robust Core Visual Object Recognition</t>
  </si>
  <si>
    <t xml:space="preserve">Kar et al., 2021</t>
  </si>
  <si>
    <t xml:space="preserve">pharmacological inactivation</t>
  </si>
  <si>
    <t xml:space="preserve">A comparison of corticospinal activation by magnetic coil and electrical stimulation of monkey motor cortex</t>
  </si>
  <si>
    <t xml:space="preserve">Amassian et al., 1990</t>
  </si>
  <si>
    <t xml:space="preserve">[Participation of the endogenous opioid system in the formation of the body's response to stress]</t>
  </si>
  <si>
    <t xml:space="preserve">Golanov et al., 1986</t>
  </si>
  <si>
    <t xml:space="preserve">Arousal threshold ranges. Threshold ranges as determined by electrical stimulation of the brain during stages of sleep in the monkey (Macaca mulatta)</t>
  </si>
  <si>
    <t xml:space="preserve">Pollak et al., 1967</t>
  </si>
  <si>
    <t xml:space="preserve">hippocampus, pons</t>
  </si>
  <si>
    <t xml:space="preserve">Animals asleep, more about conscious states</t>
  </si>
  <si>
    <t xml:space="preserve">Mapping of local cerebral functional activity by measurement of local cerebral glucose utilization with [14C]deoxyglucose</t>
  </si>
  <si>
    <t xml:space="preserve">Sokoloff, 1979</t>
  </si>
  <si>
    <t xml:space="preserve">Representations of the texture of food in the primate orbitofrontal cortex: neurons responding to viscosity, grittiness, and capsaicin</t>
  </si>
  <si>
    <t xml:space="preserve">Rolls et al., 2003</t>
  </si>
  <si>
    <t xml:space="preserve">Task-dependence of saccade-related activity in monkey superior solliculus: implications for models of the saccadic system</t>
  </si>
  <si>
    <t xml:space="preserve">Opstal &amp; Frens, 1996</t>
  </si>
  <si>
    <t xml:space="preserve">Visuomotor fields of the superior colliculus: a quantitative model</t>
  </si>
  <si>
    <t xml:space="preserve">Ottes et al., 1986</t>
  </si>
  <si>
    <t xml:space="preserve">Discrimination of complex electrical stimulation through a multichannel intracochlear implant</t>
  </si>
  <si>
    <t xml:space="preserve">Glass et al., 1991</t>
  </si>
  <si>
    <t xml:space="preserve">Reproducible stimulation of ciliary muscle contraction in the cynomolgus monkey via a permanent indwelling midbrain electrode</t>
  </si>
  <si>
    <t xml:space="preserve">Electrical stimulation of the auditory nerve: effects of pulse width on frequency discrimination</t>
  </si>
  <si>
    <t xml:space="preserve">Barretto &amp; Pfingst, 1992</t>
  </si>
  <si>
    <t xml:space="preserve">Minimum Electric Field Exposure for Seizure Induction with Electroconvulsive Therapy and Magnetic Seizure Therapy</t>
  </si>
  <si>
    <t xml:space="preserve">Comparison of activation of corticospinal neurons and spinal motor neurons by magnetic and electrical transcranial stimulation in the lumbosacral cord of the anaesthetized monkey</t>
  </si>
  <si>
    <t xml:space="preserve">Edgley et al., 1997</t>
  </si>
  <si>
    <t xml:space="preserve">Supplementary motor area encodes reward expectancy in eye-movement tasks</t>
  </si>
  <si>
    <t xml:space="preserve">Campos et al., 2005</t>
  </si>
  <si>
    <t xml:space="preserve">Rules ventral prefrontal cortical axons use to reach their targets: implications for diffusion tensor imaging tractography and deep brain stimulation for psychiatric illness</t>
  </si>
  <si>
    <t xml:space="preserve">Lehman et al., 2011</t>
  </si>
  <si>
    <t xml:space="preserve">[Electrophysiological analysis of facial reflex in monkeys: trigemino-naso-labial reflex]</t>
  </si>
  <si>
    <t xml:space="preserve">Willer &amp; Lamour, 1975</t>
  </si>
  <si>
    <t xml:space="preserve">Primate pupillary light reflex: receptive field characteristics of pretectal luminance neurons</t>
  </si>
  <si>
    <t xml:space="preserve">Clarke et al., 2003</t>
  </si>
  <si>
    <t xml:space="preserve">Responses during eye movements of brain stem neurons that receive monosynaptic inhibition from the flocculus and ventral paraflocculus in monkeys</t>
  </si>
  <si>
    <t xml:space="preserve">Cortical evoked responses to magnetic stimulation of macaque's abdominal wall in sleep-wake cycle</t>
  </si>
  <si>
    <t xml:space="preserve">Pigarev et al., 2008</t>
  </si>
  <si>
    <t xml:space="preserve">Convergence of heterotopic nociceptive information onto neurons of caudal medullary reticular formation in monkey (Macaca fascicularis)</t>
  </si>
  <si>
    <t xml:space="preserve">Villaneuva et al., 1990</t>
  </si>
  <si>
    <t xml:space="preserve">Extralenticular and lenticular aspects of accommodation and presbyopia in human versus monkey eyes</t>
  </si>
  <si>
    <t xml:space="preserve">Croft et al., 2013</t>
  </si>
  <si>
    <t xml:space="preserve">Tailoring light delivery for optogenetics by modal demultiplexing in tapered optical fibers</t>
  </si>
  <si>
    <t xml:space="preserve">Pisanello et al., 2018</t>
  </si>
  <si>
    <t xml:space="preserve">Stimulus-selective properties of inferior temporal neurons in the macaque</t>
  </si>
  <si>
    <t xml:space="preserve">Desimone et al., 1984</t>
  </si>
  <si>
    <t xml:space="preserve">Defensive movements evoked by air puff in monkeys</t>
  </si>
  <si>
    <t xml:space="preserve">Cooke &amp; Graziano, 2003</t>
  </si>
  <si>
    <t xml:space="preserve">airpuff study</t>
  </si>
  <si>
    <t xml:space="preserve">[Effects of direct and tele-stimulation of the amygdala and the hippocampus on feeding and social behavior in the monkey (Macacus rhesus)]</t>
  </si>
  <si>
    <t xml:space="preserve">Giammanco &amp; Delgado, 1972</t>
  </si>
  <si>
    <t xml:space="preserve">no access, looks interesting though</t>
  </si>
  <si>
    <t xml:space="preserve">Predicting the phase distribution during multi-channel transcranial alternating current stimulation in silico and in vivo</t>
  </si>
  <si>
    <t xml:space="preserve">Lee et al., 2023</t>
  </si>
  <si>
    <t xml:space="preserve">tACS</t>
  </si>
  <si>
    <t xml:space="preserve">Harnessing brain signals to move paralyzed limbs</t>
  </si>
  <si>
    <t xml:space="preserve">Cortical innervation of the facial nucleus in the non-human primate: a new interpretation of the effects of stroke and related subtotal brain trauma on the muscles of facial expression</t>
  </si>
  <si>
    <t xml:space="preserve">Morecraft et al., 2001</t>
  </si>
  <si>
    <t xml:space="preserve">[Comparison between responses of monkey prefrontal neurons to signal and to indifferent stimuli]</t>
  </si>
  <si>
    <t xml:space="preserve">Mei et al., 1990</t>
  </si>
  <si>
    <t xml:space="preserve">in chinese</t>
  </si>
  <si>
    <t xml:space="preserve">Nucleus ventroposterior inferior (VPI) as the ventibular thalamic relay in the rhesus monkey. I. Field potential investigation</t>
  </si>
  <si>
    <t xml:space="preserve">Deecke et al., 1974</t>
  </si>
  <si>
    <t xml:space="preserve">Cerebral cortical somatosensory evoked responses, multiple unit activity and current source-densities: their interrelationships and significance to somatic sensation as revealed by stimulation of the awake monkey's hand</t>
  </si>
  <si>
    <t xml:space="preserve">Kullics &amp; Cauler, 1986</t>
  </si>
  <si>
    <t xml:space="preserve">Dissociation of Self-Motion and Object Motion by Linear Population Decoding That Approximates Marginalization</t>
  </si>
  <si>
    <t xml:space="preserve">Sasaki et al., 2017</t>
  </si>
  <si>
    <t xml:space="preserve">Sensorimotor cortex injury effects on recovery of contralesional dexterous movements in Macaca mulatta</t>
  </si>
  <si>
    <t xml:space="preserve">Darling et al., 2016</t>
  </si>
  <si>
    <t xml:space="preserve">Different phase delays of peripheral input to primate motor cortex and spinal cord promote cancellation at physiological tremor frequencies</t>
  </si>
  <si>
    <t xml:space="preserve">Kozelj &amp; Baker, 2014</t>
  </si>
  <si>
    <t xml:space="preserve">Corticostriatal activity in primary motor cortex of the macaque</t>
  </si>
  <si>
    <t xml:space="preserve">Turner &amp; DeLong, 2000</t>
  </si>
  <si>
    <t xml:space="preserve">Electrophysiological studies on the cerebellocerebral projections in monkeys</t>
  </si>
  <si>
    <t xml:space="preserve">Sasaki et al., 1976</t>
  </si>
  <si>
    <t xml:space="preserve">Neuronal responses of medullary relay cells to controlled stretches of forearm muscles in the monkey</t>
  </si>
  <si>
    <t xml:space="preserve">Hummelsheim &amp; Wiesendanger, 1985</t>
  </si>
  <si>
    <t xml:space="preserve">Mechanisms of recovery of dexterity following unilateral lesion of the sensorimotor cortex in adult monkeys</t>
  </si>
  <si>
    <t xml:space="preserve">Liu &amp; Rouiller, 1999</t>
  </si>
  <si>
    <t xml:space="preserve">Coherence between the hippocampus and anterior thalamic nucleus as a tool to improve the effect of neurostimulation in temporal lobe epilepsy: An experimental study</t>
  </si>
  <si>
    <t xml:space="preserve">Sherdil et al., 2020</t>
  </si>
  <si>
    <t xml:space="preserve">Computer image analysis of ultrasound biomicroscopy of primate accommodation</t>
  </si>
  <si>
    <t xml:space="preserve">Schachar &amp; Kamangar, 2006</t>
  </si>
  <si>
    <t xml:space="preserve">Primate cardiovascular responses mediated by dopamine receptors: effects of N,N-di-n-propyldopamine and LY171555</t>
  </si>
  <si>
    <t xml:space="preserve">Hahn &amp; MacDonald, 1984</t>
  </si>
  <si>
    <t xml:space="preserve">Laminar microcircuitry of visual cortex producing attention-associated electric fields</t>
  </si>
  <si>
    <t xml:space="preserve">Westerberg et al., 2022</t>
  </si>
  <si>
    <t xml:space="preserve">Inference of nonlinear receptive field subunits with spike-triggered clustering</t>
  </si>
  <si>
    <t xml:space="preserve">Shah et al., 2020</t>
  </si>
  <si>
    <t xml:space="preserve">Spatial distribution of thalamic projections to the supplementary motor area and the primary motor cortex: a retrograde multiple labeling study in the macaque monkey</t>
  </si>
  <si>
    <t xml:space="preserve">Shindo et al., 1995</t>
  </si>
  <si>
    <t xml:space="preserve">The course of facial nerve innervation for the levator veli palatini muscle</t>
  </si>
  <si>
    <t xml:space="preserve">Ibuki et al., 1978</t>
  </si>
  <si>
    <t xml:space="preserve">A bimodal map of space: somatosensory receptive fields in the macaque putamen with corresponding visual receptive fields</t>
  </si>
  <si>
    <t xml:space="preserve">Graziano &amp; Gross, 1993</t>
  </si>
  <si>
    <t xml:space="preserve">Vagal afferent inhibition of primate thoracic spinothalamic neurons</t>
  </si>
  <si>
    <t xml:space="preserve">Ammons et al., 1983</t>
  </si>
  <si>
    <t xml:space="preserve">[Annual sperm concentration variation in semen collected by electroejaculation in the cynomolgus monkey (Macaca fascicularis)]</t>
  </si>
  <si>
    <t xml:space="preserve">Okamoto, 1994</t>
  </si>
  <si>
    <t xml:space="preserve">Loss of information concerning hair displacement and other somatic stimuli in the first somatic sensory cortex of unanesthetized Macaca mulatta monkeys following dorsal funiculus transections</t>
  </si>
  <si>
    <t xml:space="preserve">Schneider, 1990</t>
  </si>
  <si>
    <t xml:space="preserve">Effects of pharmacologically manipulated amplitude and starting point on edinger-westphal-stimulated accommodative dynamics in rhesus monkeys</t>
  </si>
  <si>
    <t xml:space="preserve">Projection of tooth pulp afferents in the brain stem of rhesus monkey</t>
  </si>
  <si>
    <t xml:space="preserve">Tamarova et al., 1973</t>
  </si>
  <si>
    <t xml:space="preserve">Learning divisive normalization in primary visual cortex</t>
  </si>
  <si>
    <t xml:space="preserve">Burg et al., 2021</t>
  </si>
  <si>
    <t xml:space="preserve">Disruption of information processing in the supplementary motor area of the MPTP-treated monkey: a clue to the pathophysiology of akinesia?</t>
  </si>
  <si>
    <t xml:space="preserve">Escola et al., 2003</t>
  </si>
  <si>
    <t xml:space="preserve">Primary motor cortex of the parkinsonian monkey: differential effects on the spontaneous activity of pyramidal tract-type neurons</t>
  </si>
  <si>
    <t xml:space="preserve">Pasquereau &amp; Turner, 2011</t>
  </si>
  <si>
    <t xml:space="preserve">Sensory response enhancement and suppression of monkey primary somatosensory cortical neurons</t>
  </si>
  <si>
    <t xml:space="preserve">Nelson et al., 1991</t>
  </si>
  <si>
    <t xml:space="preserve">Copula regression analysis of simultaneously recorded frontal eye field and inferotemporal spiking activity during object-based working memory</t>
  </si>
  <si>
    <t xml:space="preserve">Hu et al., 2015</t>
  </si>
  <si>
    <t xml:space="preserve">In vitro characterization of intrinsic properties and local synaptic inputs to pyramidal neurons in macaque primary motor cortex</t>
  </si>
  <si>
    <t xml:space="preserve">Xu &amp; Baker, 2018</t>
  </si>
  <si>
    <t xml:space="preserve">Frontal eye field efferents in the macaque monkey: II. Topography of terminal fields in midbrain and pons</t>
  </si>
  <si>
    <t xml:space="preserve">Accommodative movements of the lens/capsule and the strand that extends between the posterior vitreous zonule insertion zone &amp; the lens equator, in relation to the vitreous face and aging</t>
  </si>
  <si>
    <t xml:space="preserve">Croft et al., 2016</t>
  </si>
  <si>
    <t xml:space="preserve">Negative reinforcing properties of some psychotropic drugs in drug-naive rhesus monkeys</t>
  </si>
  <si>
    <t xml:space="preserve">Hoffmeister, 1975</t>
  </si>
  <si>
    <t xml:space="preserve">Visual response augmentation in cat (and macaque) LGN: potentiation by corticofugally mediated gain control in the temporal domain</t>
  </si>
  <si>
    <t xml:space="preserve">Cudeiro et al., 2000</t>
  </si>
  <si>
    <t xml:space="preserve">Histologic safety of transcranial focused ultrasound neuromodulation and magnetic resonance acoustic radiation force imaging in rhesus macaques and sheep</t>
  </si>
  <si>
    <t xml:space="preserve">Gaur et al., 2020</t>
  </si>
  <si>
    <t xml:space="preserve">FUS</t>
  </si>
  <si>
    <t xml:space="preserve">Effects of cochlear nuclei electrical stimulation with surface brain stem implants in nonhuman primates</t>
  </si>
  <si>
    <t xml:space="preserve">Manrique et al., 2008</t>
  </si>
  <si>
    <t xml:space="preserve">Localization of brainstem auditory evoked potentials in primates: a comparison of localization techniques applied to deep brain sources</t>
  </si>
  <si>
    <t xml:space="preserve">Fontanarosa et al., 2004</t>
  </si>
  <si>
    <t xml:space="preserve">A polyaxonal amacrine cell population in the primate retina</t>
  </si>
  <si>
    <t xml:space="preserve">Greschner et al., 2014</t>
  </si>
  <si>
    <t xml:space="preserve">Across-species comparisons of psychophysical detection thresholds for electrical stimulation of the cochlea: I. Sinusoidal stimuli</t>
  </si>
  <si>
    <t xml:space="preserve">Miller et al., 1999</t>
  </si>
  <si>
    <t xml:space="preserve">Mechanically insensitive afferents (MIAs) in cutaneous nerves of monkey</t>
  </si>
  <si>
    <t xml:space="preserve">Meyer et al., 1991</t>
  </si>
  <si>
    <t xml:space="preserve">Electric field dynamics in the brain during multi-electrode transcranial electric stimulation</t>
  </si>
  <si>
    <t xml:space="preserve">Alekseichuck et al., 2019</t>
  </si>
  <si>
    <t xml:space="preserve">Alcohol-induced pituitary adenolysis: how does it control intractable cancer pain?--An experimental study using tooth pulp-evoked potentials in rhesus monkeys</t>
  </si>
  <si>
    <t xml:space="preserve">Yanagida et al., 1979</t>
  </si>
  <si>
    <t xml:space="preserve">pain study</t>
  </si>
  <si>
    <t xml:space="preserve">Oculomotor areas of the primate frontal lobes: a transneuronal transfer of rabies virus and [14C]-2-deoxyglucose functional imaging study</t>
  </si>
  <si>
    <t xml:space="preserve">Moschovakis et al., 2004</t>
  </si>
  <si>
    <t xml:space="preserve">Ketamine-induced anesthesia: neural mechanisms in the Rhesus monkey</t>
  </si>
  <si>
    <t xml:space="preserve">Sparks et al., 1973</t>
  </si>
  <si>
    <t xml:space="preserve">Two subdivisions of macaque LIP process visual-oculomotor information differently</t>
  </si>
  <si>
    <t xml:space="preserve">Chen et al., 2016</t>
  </si>
  <si>
    <t xml:space="preserve">Accommodative movements of the vitreous membrane, choroid, and sclera in young and presbyopic human and nonhuman primate eyes</t>
  </si>
  <si>
    <t xml:space="preserve">Beta oscillations in the parkinsonian primate: Similar oscillations across different populations</t>
  </si>
  <si>
    <t xml:space="preserve">Matzner et al., 2016</t>
  </si>
  <si>
    <t xml:space="preserve">Generalized framework for stimulus artifact removal</t>
  </si>
  <si>
    <t xml:space="preserve">Erez et al., 2010</t>
  </si>
  <si>
    <t xml:space="preserve">Electrical stimulation of mammalian retinal ganglion cells with multielectrode arrays</t>
  </si>
  <si>
    <t xml:space="preserve">Sekirnjak et al., 2006</t>
  </si>
  <si>
    <t xml:space="preserve">Corticostriatal projections from the somatic motor areas of the frontal cortex in the macaque monkey: segregation versus overlap of input zones from the primary motor cortex, the supplementary motor area, and the premotor cortex</t>
  </si>
  <si>
    <t xml:space="preserve">Takada et al., 1998</t>
  </si>
  <si>
    <t xml:space="preserve">Terminal nerve branch entries (motor points) of forearm muscles: a comparative study between monkey and human</t>
  </si>
  <si>
    <t xml:space="preserve">Liu et al., 1996</t>
  </si>
  <si>
    <t xml:space="preserve">Minimax-optimal decoding of movement goals from local field potentials using complex spectral features</t>
  </si>
  <si>
    <t xml:space="preserve">Angjelichinoski et al., 2019</t>
  </si>
  <si>
    <t xml:space="preserve">The relationship of monkey frontal eye field activity to saccade dynamics</t>
  </si>
  <si>
    <t xml:space="preserve">Segraves &amp; Parks, 1993</t>
  </si>
  <si>
    <t xml:space="preserve">Neuroestradiol in the hypothalamus contributes to the regulation of gonadotropin releasing hormone release</t>
  </si>
  <si>
    <t xml:space="preserve">Kenealy et al., 2013</t>
  </si>
  <si>
    <t xml:space="preserve">Phase-amplitude coupling, an indication of bursting in parkinsonism, is masked by periodic pulses</t>
  </si>
  <si>
    <t xml:space="preserve">Sanders, 2016</t>
  </si>
  <si>
    <t xml:space="preserve">The anatomy and physiology of the vertebral nerve in relation to cervical migraine</t>
  </si>
  <si>
    <t xml:space="preserve">Bogduk et al., 1981</t>
  </si>
  <si>
    <t xml:space="preserve">GABA transporter GAT1 prevents spillover at proximal and distal GABA synapses onto primate prefrontal cortex neurons</t>
  </si>
  <si>
    <t xml:space="preserve">Gonzalez-Burgos et al., 2009</t>
  </si>
  <si>
    <t xml:space="preserve">Laminar patterns of local excitatory input to layer 5 neurons in macaque primary visual cortex</t>
  </si>
  <si>
    <t xml:space="preserve">Briggs &amp; Callaway, 2005</t>
  </si>
  <si>
    <t xml:space="preserve">Identification, classification and anatomical segregation of cells with X-like and Y-like properties in the lateral geniculate nucleus of old-world primates</t>
  </si>
  <si>
    <t xml:space="preserve">Dreher et al., 1976</t>
  </si>
  <si>
    <t xml:space="preserve">Facial muscle innervation in Cebid (New World) and Macaque (Old World) monkeys via a ramus communicating with the trigeminal nerve</t>
  </si>
  <si>
    <t xml:space="preserve">Sutton et al., 1977</t>
  </si>
  <si>
    <t xml:space="preserve">The pre-movement component of motor cortical local field potentials reflects the level of expectancy</t>
  </si>
  <si>
    <t xml:space="preserve">Roux et al., 2006</t>
  </si>
  <si>
    <t xml:space="preserve">Frontal eye field as defined by intracortical microstimulation in squirrel monkeys, owl monkeys, and macaque monkeys. II. Cortical connections</t>
  </si>
  <si>
    <t xml:space="preserve">Huerta et al., 1987</t>
  </si>
  <si>
    <t xml:space="preserve">Unusual Physiological Properties of Smooth Monostratified Ganglion Cell Types in Primate Retina</t>
  </si>
  <si>
    <t xml:space="preserve">Rhoades et al., 2019</t>
  </si>
  <si>
    <t xml:space="preserve">Evidence against direct connections to PPRF EBNs from SC in the monkey</t>
  </si>
  <si>
    <t xml:space="preserve">Distribution of activity in spinal pathways evoked by experimental dorsal column stimulation</t>
  </si>
  <si>
    <t xml:space="preserve">Bantli et al., 1975</t>
  </si>
  <si>
    <t xml:space="preserve">Frontal eye field as defined by intracortical microstimulation in squirrel monkeys, owl monkeys, and macaque monkeys: I. Subcortical connections</t>
  </si>
  <si>
    <t xml:space="preserve">Huerta et al., 1986</t>
  </si>
  <si>
    <t xml:space="preserve">Effects of mandibular distraction osteogenesis on the inferior alveolar nerve: an experimental study in monkeys</t>
  </si>
  <si>
    <t xml:space="preserve">Wang et al., 2002</t>
  </si>
  <si>
    <t xml:space="preserve">Somatosensory properties of neurons in the superior parietal cortex (area 5) of the rhesus monkey</t>
  </si>
  <si>
    <t xml:space="preserve">Sakata et al., 1973</t>
  </si>
  <si>
    <t xml:space="preserve">Area 5</t>
  </si>
  <si>
    <t xml:space="preserve">Age changes in rhesus monkey ciliary muscle: light and electron microscopy</t>
  </si>
  <si>
    <t xml:space="preserve">Lutjen-Drecoll et al., 1988</t>
  </si>
  <si>
    <t xml:space="preserve">How somatotopic is the motor cortex hand area?</t>
  </si>
  <si>
    <t xml:space="preserve">Schieber &amp; Hibbard, 1993</t>
  </si>
  <si>
    <t xml:space="preserve">Cerebello-thalamo-cortical projections to the posterior parietal cortex in the macaque monkey</t>
  </si>
  <si>
    <t xml:space="preserve">Amino et al., 2001</t>
  </si>
  <si>
    <t xml:space="preserve">tACS entrains neural activity while somatosensory input is blocked</t>
  </si>
  <si>
    <t xml:space="preserve">Vieira et al., 2020</t>
  </si>
  <si>
    <t xml:space="preserve">A radio-controlled constant current biphasic stimulator system for primate studies</t>
  </si>
  <si>
    <t xml:space="preserve">Maxim &amp; Spelman, 1975</t>
  </si>
  <si>
    <t xml:space="preserve">Effects of electrical stimulation of peripheral nerves to the hand and forearm on pyramidal tract neurones of the baboon and monkey</t>
  </si>
  <si>
    <t xml:space="preserve">Wiesendanger, 1972</t>
  </si>
  <si>
    <t xml:space="preserve">Macaque supplementary eye field neurons encode object-centered locations relative to both continuous and discontinuous objects</t>
  </si>
  <si>
    <t xml:space="preserve">Olson &amp; Tremblay, 2000</t>
  </si>
  <si>
    <t xml:space="preserve">Cerebral units activated by tactile stimuli via a ventral spinal pathway in monkeys</t>
  </si>
  <si>
    <t xml:space="preserve">Andersson et al., 1975</t>
  </si>
  <si>
    <t xml:space="preserve">peripheral stimulation, recordings</t>
  </si>
  <si>
    <t xml:space="preserve">Area 7</t>
  </si>
  <si>
    <t xml:space="preserve">Origin of thalamocortical projections to the presupplementary motor area (pre-SMA) in the macaque monkey</t>
  </si>
  <si>
    <t xml:space="preserve">Inase et al., 1996</t>
  </si>
  <si>
    <t xml:space="preserve">Multi-modal artificial dura for simultaneous large-scale optical access and large-scale electrophysiology in non-human primate cortex</t>
  </si>
  <si>
    <t xml:space="preserve">Griggs et al., 2021</t>
  </si>
  <si>
    <t xml:space="preserve">Inferring light responses of primate retinal ganglion cells using intrinsic electrical signatures</t>
  </si>
  <si>
    <t xml:space="preserve">Zaidi et al., 2023</t>
  </si>
  <si>
    <t xml:space="preserve">Effects of 60Co on electrical self-stimulation of the brain and blood pressure in monkeys</t>
  </si>
  <si>
    <t xml:space="preserve">Bruner, 1974</t>
  </si>
  <si>
    <t xml:space="preserve">radiation study</t>
  </si>
  <si>
    <t xml:space="preserve">Randomized controlled trial of the cognitive side-effects of magnetic seizure therapy (MST) and electroconvulsive shock (ECS)</t>
  </si>
  <si>
    <t xml:space="preserve">Moscrip et al., 2006</t>
  </si>
  <si>
    <t xml:space="preserve">Non-adrenergic, non-cholinergic innervation in monkey and human cerebral arteries</t>
  </si>
  <si>
    <t xml:space="preserve">Toda, 1981</t>
  </si>
  <si>
    <t xml:space="preserve">A cortical-spinal prosthesis for targeted limb movement in paralysed primate avatars</t>
  </si>
  <si>
    <t xml:space="preserve">Shanechi et al., 2014</t>
  </si>
  <si>
    <t xml:space="preserve">Across-species comparisons of psychophysical detection thresholds for electrical stimulation of the cochlea: II. Strength-duration functions for single, biphasic pulses</t>
  </si>
  <si>
    <t xml:space="preserve">Chromatic and Achromatic Spatial Resolution of Local Field Potentials in Awake Cortex</t>
  </si>
  <si>
    <t xml:space="preserve">Jansen et al., 2015</t>
  </si>
  <si>
    <t xml:space="preserve">Influences on masseter activity of stimuli applied to various sites in cats and macaque monkeys</t>
  </si>
  <si>
    <t xml:space="preserve">Gurza et al., 1976</t>
  </si>
  <si>
    <t xml:space="preserve">[Pharmacology of a new sleep inducer, 1H-1,2,4-triazolyl benzophenone derivative, 450191-S (II). Sleep-inducing activity and effect on the motor system]</t>
  </si>
  <si>
    <t xml:space="preserve">Yamamoto et al., 1984</t>
  </si>
  <si>
    <t xml:space="preserve">Localization of dipole by boundary element method in three dimensional reconstructed monkey brain</t>
  </si>
  <si>
    <t xml:space="preserve">Nishijo et al., 1994</t>
  </si>
  <si>
    <t xml:space="preserve">Viable spermatozoa in the bladder after electroejaculation of lion-tailed macaques (Macaca silenus)</t>
  </si>
  <si>
    <t xml:space="preserve">Schaffer et al., 1989</t>
  </si>
  <si>
    <t xml:space="preserve">Prediction of mild parkinsonism revealed by neural oscillatory changes and machine learning</t>
  </si>
  <si>
    <t xml:space="preserve">Chelangat Bore et al., 2020</t>
  </si>
  <si>
    <t xml:space="preserve">Directional plasticity rapidly improves 3D vestibulo-ocular reflex alignment in monkeys using a multichannel vestibular prosthesis</t>
  </si>
  <si>
    <t xml:space="preserve">Dai et al., 2013</t>
  </si>
  <si>
    <t xml:space="preserve">Psychophysical correlates of contralateral efferent suppression. I. The role of the medial olivocochlear system in "central masking" in nonhuman primates</t>
  </si>
  <si>
    <t xml:space="preserve">Smith et al., 2000</t>
  </si>
  <si>
    <t xml:space="preserve">The influence of attending on seizure activity in epileptic monkeys</t>
  </si>
  <si>
    <t xml:space="preserve">Lockard &amp; Wyler, 1979</t>
  </si>
  <si>
    <t xml:space="preserve">Epileptic</t>
  </si>
  <si>
    <t xml:space="preserve">Subject-specific modulation of local field potential spectral power during brain-machine interface control in primates</t>
  </si>
  <si>
    <t xml:space="preserve">So et al., 2014</t>
  </si>
  <si>
    <t xml:space="preserve">Stereotactic neurosurgical planning, recording, and visualization for deep brain stimulation in non-human primates</t>
  </si>
  <si>
    <t xml:space="preserve">Miocinovic et al., 2007</t>
  </si>
  <si>
    <t xml:space="preserve">Anti-conflict effects of benzodiazepines in rhesus monkeys: relationship with therapeutic doses in humans and role of GABAA receptors</t>
  </si>
  <si>
    <t xml:space="preserve">Rowlett et al., 2006</t>
  </si>
  <si>
    <t xml:space="preserve">Effect of electrical current on temperature and pH in cerebellum and spinal cord</t>
  </si>
  <si>
    <t xml:space="preserve">Swiontek et al., 1980</t>
  </si>
  <si>
    <t xml:space="preserve">Antidromic nerve stimulation in monkey does not sensitize unmyelinated nociceptors to heat</t>
  </si>
  <si>
    <t xml:space="preserve">Meyer et al., 1988</t>
  </si>
  <si>
    <t xml:space="preserve">Outflow facility and its response to pilocarpine decline in aging rhesus monkeys</t>
  </si>
  <si>
    <t xml:space="preserve">Gabelt et al., 1991</t>
  </si>
  <si>
    <t xml:space="preserve">Synaptic adaptations to chronic ethanol intake in male rhesus monkey dorsal striatum depend on age of drinking onset</t>
  </si>
  <si>
    <t xml:space="preserve">Carlson et al., 2018</t>
  </si>
  <si>
    <t xml:space="preserve">addiction study</t>
  </si>
  <si>
    <t xml:space="preserve">Role of the pedunculopontine nucleus in controlling gait and sleep in normal and parkinsonian monkeys</t>
  </si>
  <si>
    <t xml:space="preserve">Karachi &amp; Francois, 2018</t>
  </si>
  <si>
    <t xml:space="preserve">Reversible inactivation of macaque dorsomedial frontal cortex: effects on saccades and fixations</t>
  </si>
  <si>
    <t xml:space="preserve">Sommer &amp; Tehovnik, 1999</t>
  </si>
  <si>
    <t xml:space="preserve">The superior colliculus and the steering of saccades toward a moving visual target</t>
  </si>
  <si>
    <t xml:space="preserve">Goffart et al., 2017</t>
  </si>
  <si>
    <t xml:space="preserve">Vagal-evoked activity in the parafascicular nucleus of the primate thalamus</t>
  </si>
  <si>
    <t xml:space="preserve">Ito &amp; Craig, 2005</t>
  </si>
  <si>
    <t xml:space="preserve">Bladder electromyograms and function in monkeys after atropine</t>
  </si>
  <si>
    <t xml:space="preserve">Craggs &amp; Stephenson, 1985</t>
  </si>
  <si>
    <t xml:space="preserve">bladder study</t>
  </si>
  <si>
    <t xml:space="preserve">Effects of functional disruption of lateral pericentral cerebral cortex on primate swallowing</t>
  </si>
  <si>
    <t xml:space="preserve">Narita et al., 19999</t>
  </si>
  <si>
    <t xml:space="preserve">inactivation by temperature</t>
  </si>
  <si>
    <t xml:space="preserve">Dynamics of excitatory and inhibitory networks are differentially altered by selective attention</t>
  </si>
  <si>
    <t xml:space="preserve">Snyder et al., 2016</t>
  </si>
  <si>
    <t xml:space="preserve">Visual response properties of striate cortical neurons projecting to area MT in macaque monkeys</t>
  </si>
  <si>
    <t xml:space="preserve">Movshon &amp; Newsome, 1996</t>
  </si>
  <si>
    <t xml:space="preserve">Development of isometric tension in simian extraocular muscle</t>
  </si>
  <si>
    <t xml:space="preserve">Fuchs &amp; Luschei, 1971 </t>
  </si>
  <si>
    <t xml:space="preserve">[Study on the method of microelectrodes implantation of artificial facial nerve prosthesis in closed mouth of orbicularis oris muscle in monkeys with facial nerve paralysis]</t>
  </si>
  <si>
    <t xml:space="preserve">Yu et al., 2019</t>
  </si>
  <si>
    <t xml:space="preserve">Evidence for central innervation of intracerebral blood vessels: local cerebral blood flow measurements and histofluorescence analysis by the sucrose-phosphate-glyoxylic acid (SPG) method</t>
  </si>
  <si>
    <t xml:space="preserve">De la Torre, 1976</t>
  </si>
  <si>
    <t xml:space="preserve">Relationships between pre- and postsynaptic effects of A and C fiber inputs to dorsal horn of M. mulatta</t>
  </si>
  <si>
    <t xml:space="preserve">Price &amp; Wagman, 1973</t>
  </si>
  <si>
    <t xml:space="preserve">Organization of corticostriatal motor inputs in monkey putamen</t>
  </si>
  <si>
    <t xml:space="preserve">Nambu et al., 2002</t>
  </si>
  <si>
    <t xml:space="preserve">Smooth-pursuit eye-movement-related neuronal activity in macaque nucleus reticularis tegmenti pontis</t>
  </si>
  <si>
    <t xml:space="preserve">Suzuki et al., 2003</t>
  </si>
  <si>
    <t xml:space="preserve">The effects of prefrontal cortex inactivation on object responses of single neurons in the inferotemporal cortex during visual search</t>
  </si>
  <si>
    <t xml:space="preserve">Monosov et al., 2011</t>
  </si>
  <si>
    <t xml:space="preserve">In vitro and in vivo properties of 3-tert-butyl-7-(5-methylisoxazol-3-yl)-2-(1-methyl-1H-1,2,4-triazol-5-ylmethoxy)-pyrazolo[1,5-d]-[1,2,4]triazine (MRK-016), a GABAA receptor alpha5 subtype-selective inverse agonist</t>
  </si>
  <si>
    <t xml:space="preserve">Atack et al., 2009</t>
  </si>
  <si>
    <t xml:space="preserve">Neural Population Dynamics Underlying Motor Learning Transfer</t>
  </si>
  <si>
    <t xml:space="preserve">Vyas et al., 2018</t>
  </si>
  <si>
    <t xml:space="preserve">A dose ratio comparison of the interaction between morphine and cyclazocine with naloxone in rhesus monkeys on the shock titration task</t>
  </si>
  <si>
    <t xml:space="preserve">Yaksh &amp; Rudy, 1977</t>
  </si>
  <si>
    <t xml:space="preserve">Spinal cord implant studies</t>
  </si>
  <si>
    <t xml:space="preserve">Swiontek et al., 1976</t>
  </si>
  <si>
    <t xml:space="preserve">Inhibition of primate spinothalamic tract neurons by stimulation in periaqueductal gray or adjacent midbrain reticular formation</t>
  </si>
  <si>
    <t xml:space="preserve">Gerhart et al., 1984</t>
  </si>
  <si>
    <t xml:space="preserve">Shuttlebox avoidance in rhesus monkeys: effects on plasma cortisol and beta-endorphin</t>
  </si>
  <si>
    <t xml:space="preserve">Scallet et al., 1983</t>
  </si>
  <si>
    <t xml:space="preserve">Ginsenoside potentiates NO-mediated neurogenic vasodilatation of monkey cerebral arteries</t>
  </si>
  <si>
    <t xml:space="preserve">Toda et al., 2001</t>
  </si>
  <si>
    <t xml:space="preserve">Electric field characteristics of electroconvulsive therapy with individualized current amplitude: a preclinical study</t>
  </si>
  <si>
    <t xml:space="preserve">The pedunculopontine nucleus in Parkinson's disease: primate studies</t>
  </si>
  <si>
    <t xml:space="preserve">Nandi et al., 2008</t>
  </si>
  <si>
    <t xml:space="preserve">Effects of level on nonspectral frequency difference limens for electrical and acoustic stimuli</t>
  </si>
  <si>
    <t xml:space="preserve">Pfingst &amp; Rai, 1990</t>
  </si>
  <si>
    <t xml:space="preserve">Feedforward and feedback connections between areas V1 and V2 of the monkey have similar rapid conduction velocities</t>
  </si>
  <si>
    <t xml:space="preserve">Girard et al., 2001</t>
  </si>
  <si>
    <t xml:space="preserve">Head-mounted optical imaging and optogenetic stimulation system for use in behaving primates</t>
  </si>
  <si>
    <t xml:space="preserve">Zaraza et al., 2022</t>
  </si>
  <si>
    <t xml:space="preserve">Whole-cell K+ currents in fresh and cultured cells of the human and monkey retinal pigment epithelium</t>
  </si>
  <si>
    <t xml:space="preserve">Wen et al., 1993</t>
  </si>
  <si>
    <t xml:space="preserve">Phencyclidine-like behavioral effects of 2-methyl-3,3-diphenyl-3-propanolamine (2-MDP)</t>
  </si>
  <si>
    <t xml:space="preserve">Tang et al., 1984</t>
  </si>
  <si>
    <t xml:space="preserve">Long-term effect of motor cortical repetitive transcranial magnetic stimulation [correction]</t>
  </si>
  <si>
    <t xml:space="preserve">Hayashi et al., 2004</t>
  </si>
  <si>
    <t xml:space="preserve">The structure of multi-neuron firing patterns in primate retina</t>
  </si>
  <si>
    <t xml:space="preserve">Shlens et al., 2006</t>
  </si>
  <si>
    <t xml:space="preserve">A coil for magnetic stimulation of the macaque monkey brain</t>
  </si>
  <si>
    <t xml:space="preserve">Nonaka et al., 2003</t>
  </si>
  <si>
    <t xml:space="preserve">Pallidal stimulation that improves parkinsonian motor symptoms also modulates neuronal firing patterns in primary motor cortex in the MPTP-treated monkey</t>
  </si>
  <si>
    <t xml:space="preserve">Johnson et al., 2009</t>
  </si>
  <si>
    <t xml:space="preserve">Somatotopical projections from the supplementary motor area to the red nucleus in the macaque monkey</t>
  </si>
  <si>
    <t xml:space="preserve">Tokuno et al., 1995</t>
  </si>
  <si>
    <t xml:space="preserve">Responses from dorsal column nuclei (DCN) in the monkey to stimulation of upper and lower limbs and spinal cord</t>
  </si>
  <si>
    <t xml:space="preserve">Moller et al., 1989</t>
  </si>
  <si>
    <t xml:space="preserve">Unilateral nasal obstruction affects development of cortical orofacial motor representation in the cortical masticatory area of growing rats</t>
  </si>
  <si>
    <t xml:space="preserve">Fujita et al., 2022</t>
  </si>
  <si>
    <t xml:space="preserve">rodent study</t>
  </si>
  <si>
    <t xml:space="preserve">Integration of direction signals of image motion in the superior temporal sulcus of the macaque monkey</t>
  </si>
  <si>
    <t xml:space="preserve">Saito et al., 1986</t>
  </si>
  <si>
    <t xml:space="preserve">Work toward real-time control of a cortical neural prothesis</t>
  </si>
  <si>
    <t xml:space="preserve">Isaacs et al., 2000</t>
  </si>
  <si>
    <t xml:space="preserve">The mechanism of penile erection in the monkey</t>
  </si>
  <si>
    <t xml:space="preserve">Lue, 1986</t>
  </si>
  <si>
    <t xml:space="preserve">Prolonged changes in dopaminergic terminal excitability and short changes in dopaminergic neuron discharge rate after short peripheral stimulation in monkey</t>
  </si>
  <si>
    <t xml:space="preserve">Romo &amp; Schultz, 1985</t>
  </si>
  <si>
    <t xml:space="preserve">Consideration of the functional relationship between cortex and motor periphery improves offline decoding performance</t>
  </si>
  <si>
    <t xml:space="preserve">Best et al., 2014</t>
  </si>
  <si>
    <t xml:space="preserve">High-order coordination of cortical spiking activity modulates perceptual accuracy</t>
  </si>
  <si>
    <t xml:space="preserve">Shahidi et al., 2019</t>
  </si>
  <si>
    <t xml:space="preserve">Vestibular influence on the binocular control of vertical-torsional nystagmus after lesions in the interstitial nucleus of Cajal</t>
  </si>
  <si>
    <t xml:space="preserve">Rambold et al., 2000</t>
  </si>
  <si>
    <t xml:space="preserve">The Causal Role of Three Frontal Cortical Areas in Grasping</t>
  </si>
  <si>
    <t xml:space="preserve">Caprara &amp; Janssen, 2021</t>
  </si>
  <si>
    <t xml:space="preserve">Cholinergic mechanisms involved in cortical activation during arousal</t>
  </si>
  <si>
    <t xml:space="preserve">Montplaisir, 1975</t>
  </si>
  <si>
    <t xml:space="preserve">Effects of tactile and electrical stimuli upon release of vasoactive intestinal polypeptide in the mammalian penis</t>
  </si>
  <si>
    <t xml:space="preserve">Dixon et al., 1984</t>
  </si>
  <si>
    <t xml:space="preserve">An Implanted Vestibular Prosthesis Improves Spatial Orientation in Animals with Severe Vestibular Damage</t>
  </si>
  <si>
    <t xml:space="preserve">Karmali et al., 2021</t>
  </si>
  <si>
    <t xml:space="preserve">A guidance channel seeded with autologous Schwann cells for repair of cauda equina injury in a primate model</t>
  </si>
  <si>
    <t xml:space="preserve">Calancie et al., 2009</t>
  </si>
  <si>
    <t xml:space="preserve">Studies in the primate on the analgetic effects associated with intrathecal actions of opiates, alpha-adrenergic agonists and baclofen</t>
  </si>
  <si>
    <t xml:space="preserve">Yaksh &amp; Reddy, 1981</t>
  </si>
  <si>
    <t xml:space="preserve">Effect of psychosocial stimuli and limbic lesions on prolactin at rest and following stress</t>
  </si>
  <si>
    <t xml:space="preserve">Effects of vagal afferent stimulation on cervical spinothalamic tract neurons in monkeys</t>
  </si>
  <si>
    <t xml:space="preserve">Chandler et al., 1991</t>
  </si>
  <si>
    <t xml:space="preserve">Timing of the responses in the motor cortex of monkeys to an unexpected disturbance of finger position</t>
  </si>
  <si>
    <t xml:space="preserve">Porter &amp; Rack, 1976</t>
  </si>
  <si>
    <t xml:space="preserve">Replacing semicircular canal function with a vestibular implant</t>
  </si>
  <si>
    <t xml:space="preserve">Merfeld &amp; Lewis, 2012</t>
  </si>
  <si>
    <t xml:space="preserve">Neuronal activity in the second somatosensory cortex of monkeys (Macaca mulatta) during active touch of gratings</t>
  </si>
  <si>
    <t xml:space="preserve">Sinclair &amp; Burton, 1993</t>
  </si>
  <si>
    <t xml:space="preserve">Neurophysiological characterization of the anterolateral quadrant neurons subserving pain in M. mulatta</t>
  </si>
  <si>
    <t xml:space="preserve">Price &amp; Mayer, 1975</t>
  </si>
  <si>
    <t xml:space="preserve">Mononeuropathy multiplex in rhesus monkeys with chronic Lyme disease</t>
  </si>
  <si>
    <t xml:space="preserve">England et al., 1997</t>
  </si>
  <si>
    <t xml:space="preserve">[A study on relation between premotor cortex and forelimb movement: analysis of neuronal activity]</t>
  </si>
  <si>
    <t xml:space="preserve">Kurata, 1984</t>
  </si>
  <si>
    <t xml:space="preserve">Convergent Spinal Circuits Facilitating Human Wrist Flexors</t>
  </si>
  <si>
    <t xml:space="preserve">Aguiar &amp; Baker, 2018</t>
  </si>
  <si>
    <t xml:space="preserve">Bicuculline injections into the rostral and caudal motor thalamus of the monkey induce different types of dystonia</t>
  </si>
  <si>
    <t xml:space="preserve">Guehl et al., 2000</t>
  </si>
  <si>
    <t xml:space="preserve">Prediction of upper limb muscle activity from motor cortical discharge during reaching</t>
  </si>
  <si>
    <t xml:space="preserve">Pohlmeyer et al., 2007</t>
  </si>
  <si>
    <t xml:space="preserve">Investigation into non-monosynaptic corticospinal excitation of macaque upper limb single motor units</t>
  </si>
  <si>
    <t xml:space="preserve">Olivier et al., 2001</t>
  </si>
  <si>
    <t xml:space="preserve">Electrical responses of coronary artery smooth muscle associated with the cardiac muscle action potential in the monkey</t>
  </si>
  <si>
    <t xml:space="preserve">Mekata, 1991</t>
  </si>
  <si>
    <t xml:space="preserve">[Responses of thalamic cells to messages conducted by the neospinothalamic pathway in the monkey]</t>
  </si>
  <si>
    <t xml:space="preserve">Levante et al., 1976</t>
  </si>
  <si>
    <t xml:space="preserve">in french</t>
  </si>
  <si>
    <t xml:space="preserve">Pallidal stimulation suppresses pathological dysrhythmia in the parkinsonian motor cortex</t>
  </si>
  <si>
    <t xml:space="preserve">McCairn &amp; Turner, 2015</t>
  </si>
  <si>
    <t xml:space="preserve">Electro-acupuncture analgesia in monkeys: a behavioral and neurophysiological assessment</t>
  </si>
  <si>
    <t xml:space="preserve">Sandrew et al., 1978</t>
  </si>
  <si>
    <t xml:space="preserve">Magnetic coil stimulation of straight and bent amphibian and mammalian peripheral nerve in vitro: locus of excitation</t>
  </si>
  <si>
    <t xml:space="preserve">Maccabee et al., 1993</t>
  </si>
  <si>
    <t xml:space="preserve">The neuromuscular compartments of the flexor carpi ulnaris</t>
  </si>
  <si>
    <t xml:space="preserve">Lim et al., 1999</t>
  </si>
  <si>
    <t xml:space="preserve">Split flexor carpi radialis muscle</t>
  </si>
  <si>
    <t xml:space="preserve">Hua et al., 1999</t>
  </si>
  <si>
    <t xml:space="preserve">Coupling of action potential activity between unmyelinated fibers in the peripheral nerve of monkey</t>
  </si>
  <si>
    <t xml:space="preserve">Meyer et al., 1985</t>
  </si>
  <si>
    <t xml:space="preserve">Decoupling neuronal oscillations during subthalamic nucleus stimulation in the parkinsonian primate</t>
  </si>
  <si>
    <t xml:space="preserve">Moran et al., 2012</t>
  </si>
  <si>
    <t xml:space="preserve">Measurement of pain threshold by electrical stimulation of tooth pulp afferents in the monkey</t>
  </si>
  <si>
    <t xml:space="preserve">Ha et al., 1978</t>
  </si>
  <si>
    <t xml:space="preserve">Puberty in monkeys is triggered by chemical stimulation of the hypothalamus</t>
  </si>
  <si>
    <t xml:space="preserve">Plant et al., 1989</t>
  </si>
  <si>
    <t xml:space="preserve">Effect of multiple-stress procedures on monkey gastroduodenal mucosa, serum gastrin, and hydrogen ion kinetics</t>
  </si>
  <si>
    <t xml:space="preserve">Natelson et al., 1977</t>
  </si>
  <si>
    <t xml:space="preserve">intestinal study</t>
  </si>
  <si>
    <t xml:space="preserve">Position of spinothalamic tract axons in upper cervical spinal cord of monkeys</t>
  </si>
  <si>
    <t xml:space="preserve">Zhang et al., 2000</t>
  </si>
  <si>
    <t xml:space="preserve">spinal cord stimulatino</t>
  </si>
  <si>
    <t xml:space="preserve">Characterizing and dissociating multiple time-varying modulatory computations influencing neuronal activity</t>
  </si>
  <si>
    <t xml:space="preserve">Niknam et al., 2019</t>
  </si>
  <si>
    <t xml:space="preserve">Effects of canal plugging on the vestibuloocular reflex and vestibular nerve discharge during passive and active head rotations</t>
  </si>
  <si>
    <t xml:space="preserve">Sadeghi et al., 2009</t>
  </si>
  <si>
    <t xml:space="preserve">Dipole tracing of monkey somatosensory evoked potentials</t>
  </si>
  <si>
    <t xml:space="preserve">Hayashi et al., 1994</t>
  </si>
  <si>
    <t xml:space="preserve">Response of unmyelinated (C) polymodal nociceptors to thermal stimuli applied to monkey's face</t>
  </si>
  <si>
    <t xml:space="preserve">Beitel &amp; Dubner, 1976</t>
  </si>
  <si>
    <t xml:space="preserve">Reversal of rigidity and improvement in motor performance by subthalamic high-frequency stimulation in MPTP-treated monkeys</t>
  </si>
  <si>
    <t xml:space="preserve">Benazzouz et al., 1993</t>
  </si>
  <si>
    <t xml:space="preserve">Localization of arm representation in the corona radiata and internal capsule in the non-human primate</t>
  </si>
  <si>
    <t xml:space="preserve">Morecraft et al., 2002</t>
  </si>
  <si>
    <t xml:space="preserve">Sparse model-based estimation of functional dependence in high-dimensional field and spike multiscale networks</t>
  </si>
  <si>
    <t xml:space="preserve">Bighamian et al., 2019</t>
  </si>
  <si>
    <t xml:space="preserve">Modeling the impact of common noise inputs on the network activity of retinal ganglion cells</t>
  </si>
  <si>
    <t xml:space="preserve">Vidne et al., 2012</t>
  </si>
  <si>
    <t xml:space="preserve">A testbed for optimizing electrodes embedded in the skull or in artificial skull replacement pieces used after injury</t>
  </si>
  <si>
    <t xml:space="preserve">Jiang et al., 2017</t>
  </si>
  <si>
    <t xml:space="preserve">Trigeminal nociceptive neurons in the subnucleus reticularis ventralis. I. Response properties and afferent connections</t>
  </si>
  <si>
    <t xml:space="preserve">Yokota et al., 1991</t>
  </si>
  <si>
    <t xml:space="preserve">Long-term reproducibility of Edinger-Westphal stimulated accommodation in rhesus monkeys</t>
  </si>
  <si>
    <t xml:space="preserve">He et al., 2013</t>
  </si>
  <si>
    <t xml:space="preserve">Eye-head coordination during head-unrestrained gaze shifts in rhesus monkeys</t>
  </si>
  <si>
    <t xml:space="preserve">Reference frames for reach planning in macaque dorsal premotor cortex</t>
  </si>
  <si>
    <t xml:space="preserve">Batista et al., 2007</t>
  </si>
  <si>
    <t xml:space="preserve">[Neocortical and archicortical functional connections in the monkey hippocampus]</t>
  </si>
  <si>
    <t xml:space="preserve">Short-term effects of unilateral lesion of the primary motor cortex (M1) on ipsilesional hand dexterity in adult macaque monkeys</t>
  </si>
  <si>
    <t xml:space="preserve">Bashir et al., 2012</t>
  </si>
  <si>
    <t xml:space="preserve">Reinnervation of primate ciliary muscle following ciliary ganglionectomy</t>
  </si>
  <si>
    <t xml:space="preserve">Erickson-Lamy &amp; Kaufman, 1987</t>
  </si>
  <si>
    <t xml:space="preserve">Prefrontal cortical cells projecting to the supplementary eye field and presupplementary motor area in the monkey</t>
  </si>
  <si>
    <t xml:space="preserve">Wang et al., 2005</t>
  </si>
  <si>
    <t xml:space="preserve">Physiological identification of static beta axons in primate muscle</t>
  </si>
  <si>
    <t xml:space="preserve">Murthy, 1983</t>
  </si>
  <si>
    <t xml:space="preserve">Reversal of testicular function after prolonged suppression with an LHRH agonist in rhesus monkeys</t>
  </si>
  <si>
    <t xml:space="preserve">Sundaram et al., 1987</t>
  </si>
  <si>
    <t xml:space="preserve">Neuromodulation of sensory networks in monkey brain by focused ultrasound with MRI guidance and detection</t>
  </si>
  <si>
    <t xml:space="preserve">Yang et al., 2018</t>
  </si>
  <si>
    <t xml:space="preserve">Suppressive control of optokinetic and vestibular nystagmus by the primate frontal eye field</t>
  </si>
  <si>
    <t xml:space="preserve">Izawa &amp; Suzuski, 2020</t>
  </si>
  <si>
    <t xml:space="preserve">Relations between behavioral arousal and plasma cortisol levels in monkeys performing repeated free-operant avoidance sessions</t>
  </si>
  <si>
    <t xml:space="preserve">Natelson et al., 1976</t>
  </si>
  <si>
    <t xml:space="preserve">Innervation of crab-eating monkey trachealis muscle determined in vitro</t>
  </si>
  <si>
    <t xml:space="preserve">Olson et al., 1988</t>
  </si>
  <si>
    <t xml:space="preserve">Optogenetic restoration of retinal ganglion cell activity in the living primate</t>
  </si>
  <si>
    <t xml:space="preserve">McGregor et al., 2020</t>
  </si>
  <si>
    <t xml:space="preserve">Matching patterns of activity in primate prefrontal area 8a and parietal area 7ip neurons during a spatial working memory task</t>
  </si>
  <si>
    <t xml:space="preserve">Chafee &amp; Goldman-Rakic, 1998</t>
  </si>
  <si>
    <t xml:space="preserve">Area 8, Area 7</t>
  </si>
  <si>
    <t xml:space="preserve">Differential effects on the internal and external carotid circulation of the monkey evoked by locus coeruleus stimulation</t>
  </si>
  <si>
    <t xml:space="preserve">Goadsby et al., 1982</t>
  </si>
  <si>
    <t xml:space="preserve">Peripheral and transcortical loops activated by electrical stimulation of the tibial nerve in the monkey</t>
  </si>
  <si>
    <t xml:space="preserve">Ruegg &amp; Chofflon, 1983</t>
  </si>
  <si>
    <t xml:space="preserve">Organization of striate cortex of alert, trained monkeys (Macaca fascicularis): ongoing activity, stimulus selectivity, and widths of receptive field activating regions</t>
  </si>
  <si>
    <t xml:space="preserve">Snodderly &amp; Gur, 1995</t>
  </si>
  <si>
    <t xml:space="preserve">Designing stimulation patterns for an afferent BMI: representation of kinetics in somatosensory cortex</t>
  </si>
  <si>
    <t xml:space="preserve">London et al., 2011</t>
  </si>
  <si>
    <t xml:space="preserve">Differences in Seizure Expression Between Magnetic Seizure Therapy and Electroconvulsive Shock</t>
  </si>
  <si>
    <t xml:space="preserve">Cycowicz et al., 2018</t>
  </si>
  <si>
    <t xml:space="preserve">Effect of trigeminal tractotomy on behavioral response to dental pulp stimulation in the monkey</t>
  </si>
  <si>
    <t xml:space="preserve">Young et al., 1981</t>
  </si>
  <si>
    <t xml:space="preserve">Activity and distribution patterns of monkey pallidal neurons in response to peripheral nerve stimulation</t>
  </si>
  <si>
    <t xml:space="preserve">Akazawa et al., 2003</t>
  </si>
  <si>
    <t xml:space="preserve">Cerebral vasodilatation induced by stimulation of the pterygopalatine ganglion and greater petrosal nerve in anesthetized monkeys</t>
  </si>
  <si>
    <t xml:space="preserve">Toda et al., 2000</t>
  </si>
  <si>
    <t xml:space="preserve">Brainstem responses to electrical stimulation of cochlea</t>
  </si>
  <si>
    <t xml:space="preserve">Dobie &amp; Kimm, 1980</t>
  </si>
  <si>
    <t xml:space="preserve">Disturbance of delayed match-to-sample in macaques by tetanization of anterior commissure versus limbic system or basal ganglia</t>
  </si>
  <si>
    <t xml:space="preserve">Overman &amp; Doty, 1979</t>
  </si>
  <si>
    <t xml:space="preserve">Visual-auditory interactions modulate saccade-related activity in monkey superior colliculus</t>
  </si>
  <si>
    <t xml:space="preserve">Frens &amp; Van Opstal, 1998</t>
  </si>
  <si>
    <t xml:space="preserve">The globus pallidus pars interna in goal-oriented and routine behaviors: Resolving a long-standing paradox</t>
  </si>
  <si>
    <t xml:space="preserve">Piron et al., 2016</t>
  </si>
  <si>
    <t xml:space="preserve">Tissue response to an electric pulp tester</t>
  </si>
  <si>
    <t xml:space="preserve">McDaniel et al., 1973</t>
  </si>
  <si>
    <t xml:space="preserve">First Geoffrey Harris Memorial lecture. Some recent developments in brain-pituitary-ovarian physiology</t>
  </si>
  <si>
    <t xml:space="preserve">Sawyer, 1975</t>
  </si>
  <si>
    <t xml:space="preserve">Dissociation of visual and saccade-related responses in superior colliculus neurons</t>
  </si>
  <si>
    <t xml:space="preserve">Neuroplasticity in nucleus tractus solitarius neurons after episodic ozone exposure in infant primates</t>
  </si>
  <si>
    <t xml:space="preserve">Chen et al., 1985</t>
  </si>
  <si>
    <t xml:space="preserve">toxicity study</t>
  </si>
  <si>
    <t xml:space="preserve">Bremazocine: a potent, long-acting opiate kappa-agonist</t>
  </si>
  <si>
    <t xml:space="preserve">Romer et al., 1980</t>
  </si>
  <si>
    <t xml:space="preserve">Magnocellular neuroendocrine cells in the monkey hypothalamus</t>
  </si>
  <si>
    <t xml:space="preserve">Conduction properties distinguish unmyelinated sympathetic efferent fibers and unmyelinated primary afferent fibers in the monkey</t>
  </si>
  <si>
    <t xml:space="preserve">Ringkamp et al., 2010</t>
  </si>
  <si>
    <t xml:space="preserve">Striatal projections of the vagal-responsive region of the thalamic parafascicular nucleus in macaque monkeys</t>
  </si>
  <si>
    <t xml:space="preserve">Ito &amp; Craig, 2008</t>
  </si>
  <si>
    <t xml:space="preserve">Placental transfer of 14C labelled succinylcholine in near-term Macaca mulatta monkeys</t>
  </si>
  <si>
    <t xml:space="preserve">Drabkova et al., 1973</t>
  </si>
  <si>
    <t xml:space="preserve">Attentional fluctuations induce shared variability in macaque primary visual cortex</t>
  </si>
  <si>
    <t xml:space="preserve">Denfield et al., 2018</t>
  </si>
  <si>
    <t xml:space="preserve">Unit responses recorded from cervical spinal cord of awake monkey</t>
  </si>
  <si>
    <t xml:space="preserve">Courtney &amp; Fetz, 1973</t>
  </si>
  <si>
    <t xml:space="preserve">nerve recordings</t>
  </si>
  <si>
    <t xml:space="preserve">Augmenting intracortical brain-machine interface with neurally driven error detectors</t>
  </si>
  <si>
    <t xml:space="preserve">Even-Chen et al., 2017</t>
  </si>
  <si>
    <t xml:space="preserve">Age-related changes in responses to nerve stimulation and catecholamines in isolated monkey cerebral arteries</t>
  </si>
  <si>
    <t xml:space="preserve">Toda, 1991</t>
  </si>
  <si>
    <t xml:space="preserve">Single cell studies of the primate putamen. I. Functional organization</t>
  </si>
  <si>
    <t xml:space="preserve">Crutcher &amp; DeLong, 1984</t>
  </si>
  <si>
    <t xml:space="preserve">Electrophysiological effects of lumbar dorsal root stimulation</t>
  </si>
  <si>
    <t xml:space="preserve">Myklebust et al., 1984</t>
  </si>
  <si>
    <t xml:space="preserve">Implantation of the semicircular canals with preservation of hearing and rotational sensitivity: a vestibular neurostimulator suitable for clinical research</t>
  </si>
  <si>
    <t xml:space="preserve">Rubinstein et al., 2012</t>
  </si>
  <si>
    <t xml:space="preserve">Cardiac pacing and the law of initial value in rhesus monkeys</t>
  </si>
  <si>
    <t xml:space="preserve">Snapper et al., 1971</t>
  </si>
  <si>
    <t xml:space="preserve">Stimulation in the ventral posterior lateral nucleus of the primate thalamus leads to release of serotonin in the lumbar spinal cord</t>
  </si>
  <si>
    <t xml:space="preserve">Sorkin et al., 1992</t>
  </si>
  <si>
    <t xml:space="preserve">An assumption-free quantification of neural responses to electrical stimulations</t>
  </si>
  <si>
    <t xml:space="preserve">Ruach et al., 2015</t>
  </si>
  <si>
    <t xml:space="preserve">Encoding of movement fragments in the motor cortex</t>
  </si>
  <si>
    <t xml:space="preserve">Hatsopoulos et al., 2007</t>
  </si>
  <si>
    <t xml:space="preserve">Supplementary eye field as defined by intracortical microstimulation: connections in macaques</t>
  </si>
  <si>
    <t xml:space="preserve">Huerta &amp; Kaas, 1990</t>
  </si>
  <si>
    <t xml:space="preserve">Functional architecture of retinotopy in visual association cortex of behaving monkey</t>
  </si>
  <si>
    <t xml:space="preserve">Heider et al., 2005</t>
  </si>
  <si>
    <t xml:space="preserve">Area 7A</t>
  </si>
  <si>
    <t xml:space="preserve">Vestibular projection to the periarcuate cortex in the monkey</t>
  </si>
  <si>
    <t xml:space="preserve">Ebata et al., 2004</t>
  </si>
  <si>
    <t xml:space="preserve">Alleviation of experimental hemiparkinsonism by high-frequency stimulation of the subthalamic nucleus in primates: a comparison with L-Dopa treatment</t>
  </si>
  <si>
    <t xml:space="preserve">Benazzouz et al., 1996</t>
  </si>
  <si>
    <t xml:space="preserve">Strategic deployment of feature-based attentional gain in primate visual cortex</t>
  </si>
  <si>
    <t xml:space="preserve">Kozyrev et al., 2019</t>
  </si>
  <si>
    <t xml:space="preserve">Mini-coil for magnetic stimulation in the behaving primate</t>
  </si>
  <si>
    <t xml:space="preserve">Tischler et al., 2011</t>
  </si>
  <si>
    <t xml:space="preserve">TMS study</t>
  </si>
  <si>
    <t xml:space="preserve">Whole-scalp EEG mapping of somatosensory evoked potentials in macaque monkeys</t>
  </si>
  <si>
    <t xml:space="preserve">Gindrat et al., 2015</t>
  </si>
  <si>
    <t xml:space="preserve">Stimulation of the subthalamic nucleus changes the firing pattern of pallidal neurons</t>
  </si>
  <si>
    <t xml:space="preserve">Hashimoto et al., 2003</t>
  </si>
  <si>
    <t xml:space="preserve">Neurovascular supply of the gracilis muscle: a study in the monkey and human</t>
  </si>
  <si>
    <t xml:space="preserve">Kumar et al., 1998</t>
  </si>
  <si>
    <t xml:space="preserve">Gap-junctional coupling of mammalian rod photoreceptors and its effect on visual detection</t>
  </si>
  <si>
    <t xml:space="preserve">Li et al., 2012</t>
  </si>
  <si>
    <t xml:space="preserve">Distinct mechanisms of face representation by enhancive and suppressive neurons of the inferior temporal cortex</t>
  </si>
  <si>
    <t xml:space="preserve">Salehi et al., 2020</t>
  </si>
  <si>
    <t xml:space="preserve">Whole cell K and Cl currents in dissociated eccrine secretory coil cells during stimulation</t>
  </si>
  <si>
    <t xml:space="preserve">Sato et al., 1993</t>
  </si>
  <si>
    <t xml:space="preserve">Contrasting forms of synaptic plasticity in monkey inferotemporal and primary visual cortices</t>
  </si>
  <si>
    <t xml:space="preserve">Murayama et al., 1997</t>
  </si>
  <si>
    <t xml:space="preserve">Dynamic respiratory mechanics in monkeys measured by forced oscillations</t>
  </si>
  <si>
    <t xml:space="preserve">Wegner et al., 1984</t>
  </si>
  <si>
    <t xml:space="preserve">other organs</t>
  </si>
  <si>
    <t xml:space="preserve">Tactile discrimination in the monkey after section of the dorsal funiculus and lateral lemniscus</t>
  </si>
  <si>
    <t xml:space="preserve">Schwartz et al., 1972</t>
  </si>
  <si>
    <t xml:space="preserve">Corticocortical connections of anatomically and physiologically defined subdivisions within the inferior parietal lobule</t>
  </si>
  <si>
    <t xml:space="preserve">Andersen et al., 1990</t>
  </si>
  <si>
    <t xml:space="preserve">Layer-specificity in the effects of attention and working memory on activity in primary visual cortex</t>
  </si>
  <si>
    <t xml:space="preserve">Van Kerkoerle et al., 2017</t>
  </si>
  <si>
    <t xml:space="preserve">Transcranial Alternating Current Stimulation Attenuates Neuronal Adaptation</t>
  </si>
  <si>
    <t xml:space="preserve">Kar et al., 2017</t>
  </si>
  <si>
    <t xml:space="preserve">Phase-Locked Stimulation during Cortical Beta Oscillations Produces Bidirectional Synaptic Plasticity in Awake Monkeys</t>
  </si>
  <si>
    <t xml:space="preserve">Zanos et al., 2018</t>
  </si>
  <si>
    <t xml:space="preserve">Motor evoked potentials in a rhesus macaque model of neuro-AIDS</t>
  </si>
  <si>
    <t xml:space="preserve">Raymond et al., 1999</t>
  </si>
  <si>
    <t xml:space="preserve">Neuronal correlates of motor performance and motor learning in the primary motor cortex of monkeys adapting to an external force field</t>
  </si>
  <si>
    <t xml:space="preserve">Li et al., 2001</t>
  </si>
  <si>
    <t xml:space="preserve">Engagement of visual fixation suppresses sensory responsiveness and multisensory integration in the primate superior colliculus</t>
  </si>
  <si>
    <t xml:space="preserve">Bell et al., 2003</t>
  </si>
  <si>
    <t xml:space="preserve">The effects of maturation on spontaneous eye movements in the macaque monkey</t>
  </si>
  <si>
    <t xml:space="preserve">Lucchetti &amp; Cevolani, 1992</t>
  </si>
  <si>
    <t xml:space="preserve">Phrenic nerve inputs to upper cervical (C1-C3) spinothalamic tract neurons in monkeys</t>
  </si>
  <si>
    <t xml:space="preserve">spinal cord study</t>
  </si>
  <si>
    <t xml:space="preserve">Long-term dopamine neurochemical monitoring in primates</t>
  </si>
  <si>
    <t xml:space="preserve">Schwerdt et al., 2017</t>
  </si>
  <si>
    <t xml:space="preserve">Restricted ablative lesions in motor portions of GPi in primates produce extensive loss of motor-related neurons and degeneration of the lenticular fasciculus</t>
  </si>
  <si>
    <t xml:space="preserve">Baron et al., 2006</t>
  </si>
  <si>
    <t xml:space="preserve">Measurement of local glucose utilization and its use in localization of functional activity in the central nervous system of animals and man</t>
  </si>
  <si>
    <t xml:space="preserve">Sokoloff, 1983</t>
  </si>
  <si>
    <t xml:space="preserve">The forgotten era of brain chips</t>
  </si>
  <si>
    <t xml:space="preserve">Horgan, 2005</t>
  </si>
  <si>
    <t xml:space="preserve">The bobble-head doll syndrome: experimental study of anatomic basis</t>
  </si>
  <si>
    <t xml:space="preserve">Russo et al., 1974</t>
  </si>
  <si>
    <t xml:space="preserve">Thalamus Modulates Consciousness via Layer-Specific Control of Cortex</t>
  </si>
  <si>
    <t xml:space="preserve">Redinbaugh et al., 2020</t>
  </si>
  <si>
    <t xml:space="preserve">thalamus, cortex</t>
  </si>
  <si>
    <t xml:space="preserve">Functional columns in the primate prefrontal cortex revealed by optical imaging in vitro</t>
  </si>
  <si>
    <t xml:space="preserve">Hirata &amp; Sawaguchi, 2008</t>
  </si>
  <si>
    <t xml:space="preserve">Interpretation of high-resolution current source density profiles: a simulation of sublaminar contributions to the visual evoked potential</t>
  </si>
  <si>
    <t xml:space="preserve">Tenke et al., 1993</t>
  </si>
  <si>
    <t xml:space="preserve">Long-term optical imaging and spectroscopy reveal mechanisms underlying the intrinsic signal and stability of cortical maps in V1 of behaving monkeys</t>
  </si>
  <si>
    <t xml:space="preserve">Shtoyerman et al., 2000</t>
  </si>
  <si>
    <t xml:space="preserve">Short-latency excitatory postsynaptic potentials are evoked in primate spinothalamic tract neurons by corticospinal tract volleys</t>
  </si>
  <si>
    <t xml:space="preserve">[Antidromic stimulations and unitary recordings of neurons from the supraoptic nucleus in awake macaca]</t>
  </si>
  <si>
    <t xml:space="preserve">Arnauld et al., 1972</t>
  </si>
  <si>
    <t xml:space="preserve">Visual discrimination performance in the monkey: the activity of single cells in infero-termporal cortex</t>
  </si>
  <si>
    <t xml:space="preserve">Ridley &amp; Ettlinger, 1973</t>
  </si>
  <si>
    <t xml:space="preserve">Central control of sexual behavior</t>
  </si>
  <si>
    <t xml:space="preserve">Oomura et al., 1988</t>
  </si>
  <si>
    <t xml:space="preserve">Relative importance of the enzymic hydrolysis of sexamethonium in plasma and tissues: studies in Rhesus monkeys</t>
  </si>
  <si>
    <t xml:space="preserve">Peck, 1972</t>
  </si>
  <si>
    <t xml:space="preserve">[Background activity of monkey caudate nucleus neurons in a chronic experiment]</t>
  </si>
  <si>
    <t xml:space="preserve">Zhuravin, 1974</t>
  </si>
  <si>
    <t xml:space="preserve">Composition and topographic organization of signals sent from the frontal eye field to the superior colliculus</t>
  </si>
  <si>
    <t xml:space="preserve">Sommer &amp; Wurtz, 2000</t>
  </si>
  <si>
    <t xml:space="preserve">Frontotemporal coordination predicts working memory performance and its local neural signatures</t>
  </si>
  <si>
    <t xml:space="preserve">Rezayat et al., 2021</t>
  </si>
  <si>
    <t xml:space="preserve">IT, FEF</t>
  </si>
  <si>
    <t xml:space="preserve">Attempts to induce the rapid eye movement stage of sleep in Macaca mulatta by brain stem stimulation</t>
  </si>
  <si>
    <t xml:space="preserve">Kripke et al., 1965</t>
  </si>
  <si>
    <t xml:space="preserve">Monkeys are asleep and no effects were found</t>
  </si>
  <si>
    <t xml:space="preserve">Identifying human parieto-insular vestibular cortex using fMRI and cytoarchitectonic mapping</t>
  </si>
  <si>
    <t xml:space="preserve">Eickhoff et al., 2006</t>
  </si>
  <si>
    <t xml:space="preserve">Properties of excitatory synaptic responses in fast-spiking interneurons and pyramidal cells from monkey and rat prefrontal cortex</t>
  </si>
  <si>
    <t xml:space="preserve">Povysheva et al., 2006</t>
  </si>
  <si>
    <t xml:space="preserve">Percutaneous flexible bipolar epidural neuroelectrode for spinal cord stimulation. Technical note</t>
  </si>
  <si>
    <t xml:space="preserve">Kaschner et al., 1984</t>
  </si>
  <si>
    <t xml:space="preserve">Mechanism underlying the response to vasodilator nerve stimulation in isolated dog and monkey cerebral arteries</t>
  </si>
  <si>
    <t xml:space="preserve">Toda &amp; Okamura, 1990</t>
  </si>
  <si>
    <t xml:space="preserve">Signal detection analysis of stimulus discrimination in normal and split-brain monkeys</t>
  </si>
  <si>
    <t xml:space="preserve">Kulics et al., 1974</t>
  </si>
  <si>
    <t xml:space="preserve">Corticostriatal projections from distal and proximal forelimb representations of the monkey primary motor cortex</t>
  </si>
  <si>
    <t xml:space="preserve">Tokuno et al., 1999</t>
  </si>
  <si>
    <t xml:space="preserve">Gustatory neural coding in the monkey cortex: mixtures</t>
  </si>
  <si>
    <t xml:space="preserve">Plata-Salaman et al., 1996</t>
  </si>
  <si>
    <t xml:space="preserve">gustatory cortex</t>
  </si>
  <si>
    <t xml:space="preserve">Human striatal recordings reveal abnormal discharge of projection neurons in Parkinson's disease</t>
  </si>
  <si>
    <t xml:space="preserve">Singh et al., 2016</t>
  </si>
  <si>
    <t xml:space="preserve">Long-term motor cortical map changes following unilateral lesion of the hand representation in the motor cortex in macaque monkeys showing functional recovery of hand functions</t>
  </si>
  <si>
    <t xml:space="preserve">Wyss et al., 2013</t>
  </si>
  <si>
    <t xml:space="preserve">Deep brain stimulation reduces Tic-related neural activity via temporal locking with stimulus pulses</t>
  </si>
  <si>
    <t xml:space="preserve">McCairn et al., 2013</t>
  </si>
  <si>
    <t xml:space="preserve">Respiratory inhibition with sympathetic afferent stimulation in the canine and primate</t>
  </si>
  <si>
    <t xml:space="preserve">Kostreva et al., 1978</t>
  </si>
  <si>
    <t xml:space="preserve">Tension distribution to the five digits of the hand by neuromuscular compartments in the macaque flexor digitorum profundus</t>
  </si>
  <si>
    <t xml:space="preserve">Schieber et al., 2001</t>
  </si>
  <si>
    <t xml:space="preserve">Neural dynamics of reaching following incorrect or absent motor preparation</t>
  </si>
  <si>
    <t xml:space="preserve">Ames et al., 2014</t>
  </si>
  <si>
    <t xml:space="preserve">[Latent periods of evoked responses to stimulation of the hippocampus in Macacus rhesus monkeys and rabbits]</t>
  </si>
  <si>
    <t xml:space="preserve">Disynaptic pyramidal excitation in forelimb motoneurons mediated via C(3)-C(4) propriospinal neurons in the Macaca fuscata</t>
  </si>
  <si>
    <t xml:space="preserve">Alstermark et al., 1999</t>
  </si>
  <si>
    <t xml:space="preserve">Forelimb force direction and magnitude independently controlled by spinal modules in the macaque</t>
  </si>
  <si>
    <t xml:space="preserve">Yaron et al., 2020</t>
  </si>
  <si>
    <t xml:space="preserve">Motoneuron response to dorsal root stimulation in anesthetized monkeys after spinal cord transection</t>
  </si>
  <si>
    <t xml:space="preserve">Wolpaw &amp; Lee, 1987</t>
  </si>
  <si>
    <t xml:space="preserve">Apparent redundancy in the somatosensory system in monkeys</t>
  </si>
  <si>
    <t xml:space="preserve">Eidelberg &amp; Woodbury, 1972</t>
  </si>
  <si>
    <t xml:space="preserve">Electroejaculation and seminal parameters in bonnet monkeys (Macaca radiata)</t>
  </si>
  <si>
    <t xml:space="preserve">Ramesh et al., 1998</t>
  </si>
  <si>
    <t xml:space="preserve">Somatosensory input to dopamine neurones of the monkey midbrain: responses to pain pinch under anaesthesia and to active touch in behavioural context</t>
  </si>
  <si>
    <t xml:space="preserve">Romo &amp; Schultz, 1989</t>
  </si>
  <si>
    <t xml:space="preserve">Simultaneous transcranial magnetic stimulation and single-neuron recording in alert non-human primates</t>
  </si>
  <si>
    <t xml:space="preserve">Mueller et al., 2014</t>
  </si>
  <si>
    <t xml:space="preserve">Intracellular study of electrophysiological features of primate spinothalamic tract neurons and their responses to afferent inputs</t>
  </si>
  <si>
    <t xml:space="preserve">Somatosensory thresholds in monkeys exposed to acrylamide</t>
  </si>
  <si>
    <t xml:space="preserve">Maurissen et al., 1983</t>
  </si>
  <si>
    <t xml:space="preserve">[Evoked potentials in the caudate nucleus during stimulation of the ipsilateral hemispheric cortex in monkeys]</t>
  </si>
  <si>
    <t xml:space="preserve">Tolkunov, 1972</t>
  </si>
  <si>
    <t xml:space="preserve">Transcortical polarization: facilitation of delayed response performance by monkeys</t>
  </si>
  <si>
    <t xml:space="preserve">Rosen &amp; Stamm, 1972</t>
  </si>
  <si>
    <t xml:space="preserve">Comparison of the discharge characteristics of brain stem omnipause neurons and superior colliculus fixation neurons in monkey: implications for control of fixation and saccade behavior</t>
  </si>
  <si>
    <t xml:space="preserve">Everling et al., 1998</t>
  </si>
  <si>
    <t xml:space="preserve">The unilateral engram</t>
  </si>
  <si>
    <t xml:space="preserve">Doty et al., 1973</t>
  </si>
  <si>
    <t xml:space="preserve">An improved method with a long-shanked glass micropipette and ultrasonography for drug injection into deep brain structure of the monkey</t>
  </si>
  <si>
    <t xml:space="preserve">Tokuno et al., 2002</t>
  </si>
  <si>
    <t xml:space="preserve">Does postbrachial deafferentation modify the cortical responses to forelimb stimulation?</t>
  </si>
  <si>
    <t xml:space="preserve">Eidelberg &amp; Rick, 1976</t>
  </si>
  <si>
    <t xml:space="preserve">Closed-loop decoder adaptation shapes neural plasticity for skillful neuroprosthetic control</t>
  </si>
  <si>
    <t xml:space="preserve">Orsborn et al., 2014</t>
  </si>
  <si>
    <t xml:space="preserve">Fiber types contributing to dorsal root reflexes induced by joint inflammation in cats and monkeys</t>
  </si>
  <si>
    <t xml:space="preserve">Sluka et al., 1995</t>
  </si>
  <si>
    <t xml:space="preserve">Spinal pathways projecting to the cerebral first somatosensory area in the monkey</t>
  </si>
  <si>
    <t xml:space="preserve">Direct control of paralysed muscles by cortical neurons</t>
  </si>
  <si>
    <t xml:space="preserve">Moritz et al., 2008</t>
  </si>
  <si>
    <t xml:space="preserve">Selective Changes in Noise Correlations Contribute to an Enhanced Representation of Saccadic Targets in Prefrontal Neuronal Ensembles</t>
  </si>
  <si>
    <t xml:space="preserve">Dehaqani et al., 2018</t>
  </si>
  <si>
    <t xml:space="preserve">Local field potential in cortical area MT: stimulus tuning and behavioral correlations</t>
  </si>
  <si>
    <t xml:space="preserve">Liu &amp; Newsome, 2006</t>
  </si>
  <si>
    <t xml:space="preserve">Naloxone reversal of acupuncture analgesia in the monkey</t>
  </si>
  <si>
    <t xml:space="preserve">Ha et al., 1981</t>
  </si>
  <si>
    <t xml:space="preserve">Timing and distribution of flash-evoked activity in the lateral geniculate nucleus of the alert monkey</t>
  </si>
  <si>
    <t xml:space="preserve">Schroeder et al., 1989</t>
  </si>
  <si>
    <t xml:space="preserve">Stereoscopic vision: Which parts of the brain are involved?</t>
  </si>
  <si>
    <t xml:space="preserve">Freeman, 1999</t>
  </si>
  <si>
    <t xml:space="preserve">Cellular components necessary for mechanoelectrical transduction are conveyed to primary afferent terminals by fast axonal transport</t>
  </si>
  <si>
    <t xml:space="preserve">Koschorke et al., 1994</t>
  </si>
  <si>
    <t xml:space="preserve">Facilitation and restoration of cognitive function in primate prefrontal cortex by a neuroprosthesis that utilizes minicolumn-specific neural firing</t>
  </si>
  <si>
    <t xml:space="preserve">Hampson et al., 2012</t>
  </si>
  <si>
    <t xml:space="preserve">Cardiac and abdominal vagal afferent inhibition of primate T9-S1 spinothalamic cells</t>
  </si>
  <si>
    <t xml:space="preserve">Hobbs et al., 1989</t>
  </si>
  <si>
    <t xml:space="preserve">Cognitive spatial-motor processes. 7. The making of movements at an angle from a stimulus direction: studies of motor cortical activity at the single cell and population levels</t>
  </si>
  <si>
    <t xml:space="preserve">Lurito et al., 1991</t>
  </si>
  <si>
    <t xml:space="preserve">Deficits in vertical and torsional eye movements after uni- and bilateral muscimol inactivation of the interstitial nucleus of Cajal of the alert monkey</t>
  </si>
  <si>
    <t xml:space="preserve">Helmchen et al., 1998</t>
  </si>
  <si>
    <t xml:space="preserve">Analgetic activities of etoxadrol in the rhesus monkey and in mice</t>
  </si>
  <si>
    <t xml:space="preserve">Tang &amp; Kirch, 1973</t>
  </si>
  <si>
    <t xml:space="preserve">Early Emergence of Solid Shape Coding in Natural and Deep Network Vision</t>
  </si>
  <si>
    <t xml:space="preserve">Srinath et al., 2021</t>
  </si>
  <si>
    <t xml:space="preserve">Response of isolated monkey coronary arteries to catecholamines and to transmural electrical stimulation</t>
  </si>
  <si>
    <t xml:space="preserve">Supraspinal interactions resulting from experimental dorsal column stimulation</t>
  </si>
  <si>
    <t xml:space="preserve">Emptying the bladder by stimulating sacral ventral roots</t>
  </si>
  <si>
    <t xml:space="preserve">Brindley, 1974</t>
  </si>
  <si>
    <t xml:space="preserve">An autonomous implantable computer for neural recording and stimulation in unrestrained primates</t>
  </si>
  <si>
    <t xml:space="preserve">Mavoori et al., 2005</t>
  </si>
  <si>
    <t xml:space="preserve">[Ejaculation induced by electrical stimulation in monkeys (maccacus and baboon)]</t>
  </si>
  <si>
    <t xml:space="preserve">Arvis et al., 1970</t>
  </si>
  <si>
    <t xml:space="preserve">Origin of correlated activity between parasol retinal ganglion cells</t>
  </si>
  <si>
    <t xml:space="preserve">Trong &amp; Rieke, 2008</t>
  </si>
  <si>
    <t xml:space="preserve">Cortical seizures following cerebellar stimulation in primates</t>
  </si>
  <si>
    <t xml:space="preserve">Hablitz et al., 1975</t>
  </si>
  <si>
    <t xml:space="preserve">[Electrophysiological study of the blinking reflex of Macacus cynomolgus]</t>
  </si>
  <si>
    <t xml:space="preserve">Carbonic anhydrase-related protein VIII is expressed in rod bipolar cells and alters signaling at the rod bipolar to AII-amacrine cell synapse in the mammalian retina</t>
  </si>
  <si>
    <t xml:space="preserve">Puthussery et al., 2011</t>
  </si>
  <si>
    <t xml:space="preserve">Electroconvulsive shock decreases binding to 5-HT2 receptors in nonhuman primates: an in vivo positron emission tomography study with [18F]setoperone</t>
  </si>
  <si>
    <t xml:space="preserve">Strome et al., 2005</t>
  </si>
  <si>
    <t xml:space="preserve">Cardiovascular and respiratory effects of carotid body stimulation in the monkey</t>
  </si>
  <si>
    <t xml:space="preserve">De Burgh et al., 1978</t>
  </si>
  <si>
    <t xml:space="preserve">Trial-by-Trial Motor Cortical Correlates of a Rapidly Adapting Visuomotor Internal Model</t>
  </si>
  <si>
    <t xml:space="preserve">Stavisky et al., 2017</t>
  </si>
  <si>
    <t xml:space="preserve">Sequence regularity and geometry of orientation columns in the monkey striate cortex</t>
  </si>
  <si>
    <t xml:space="preserve">Hubel &amp; Wiesel, 1974</t>
  </si>
  <si>
    <t xml:space="preserve">Hormonal and social factors affecting evoked sexual behavior in Rhesus monkeys</t>
  </si>
  <si>
    <t xml:space="preserve">Perachio et al., 1973</t>
  </si>
  <si>
    <t xml:space="preserve">[Role of projection and association areas of the cerebral cortex in the organization of sensory input to the monkey caudate nuclei]</t>
  </si>
  <si>
    <t xml:space="preserve">Tolkunov, 1973</t>
  </si>
  <si>
    <t xml:space="preserve">Serum luteinizing hormone concentrations in male monkeys (Macaca fascicularis)</t>
  </si>
  <si>
    <t xml:space="preserve">Mori &amp; Hafez, 1973</t>
  </si>
  <si>
    <t xml:space="preserve">[Interaction of the associative responses in the parietal cortex to stimuli of different modalities in awake Macacus rhesus monkeys]</t>
  </si>
  <si>
    <t xml:space="preserve">Tairov &amp; Khasabova, 1974</t>
  </si>
  <si>
    <t xml:space="preserve">Responses of nigrostriatal dopamine neurons to high-intensity somatosensory stimulation in the anesthetized monkey</t>
  </si>
  <si>
    <t xml:space="preserve">Schultz &amp; Romo, 1987</t>
  </si>
  <si>
    <t xml:space="preserve">Spatial properties of superior colliculus cells projecting to the inferior pulvinar and parabigeminal nucleus of the monkey</t>
  </si>
  <si>
    <t xml:space="preserve">Marrocco et al., 1981</t>
  </si>
  <si>
    <t xml:space="preserve">Vagal, sympathetic and somatic sensory inputs to upper cervical (C1-C3) spinothalamic tract neurons in monkeys</t>
  </si>
  <si>
    <t xml:space="preserve">Chandler et al., 1996</t>
  </si>
  <si>
    <t xml:space="preserve">Cortico-basal ganglia circuits involved in different motivation disorders in non-human primates</t>
  </si>
  <si>
    <t xml:space="preserve">Sgambato-Faure et al., 2016</t>
  </si>
  <si>
    <t xml:space="preserve">Reevaluation of ipsilateral corticocortical inputs to the orofacial region of the primary motor cortex in the macaque monkey</t>
  </si>
  <si>
    <t xml:space="preserve">Tokuno et al., 1997</t>
  </si>
  <si>
    <t xml:space="preserve">[Dmt1]N/OFQ(1-13)-NH2: a potent nociceptin/orphanin FQ and opioid receptor universal agonist</t>
  </si>
  <si>
    <t xml:space="preserve">Molinari et al., 2013</t>
  </si>
  <si>
    <t xml:space="preserve">Capacitor electrode stimulates nerve or muscle without oxidation-reduction reactions</t>
  </si>
  <si>
    <t xml:space="preserve">Guyton &amp; Hambrecht, 1973</t>
  </si>
  <si>
    <t xml:space="preserve">Disruption of corticocortical information transfer during ketamine anesthesia in the primate brain</t>
  </si>
  <si>
    <t xml:space="preserve">Schroeder et al., 2016</t>
  </si>
  <si>
    <t xml:space="preserve">cortex</t>
  </si>
  <si>
    <t xml:space="preserve">Organization of somatic motor inputs from the frontal lobe to the pedunculopontine tegmental nucleus in the macaque monkey</t>
  </si>
  <si>
    <t xml:space="preserve">Matsumura et al., 2000</t>
  </si>
  <si>
    <t xml:space="preserve">[Vertical eye movements--physiology, pathology]</t>
  </si>
  <si>
    <t xml:space="preserve">Kompf, 1983</t>
  </si>
  <si>
    <t xml:space="preserve">in german</t>
  </si>
  <si>
    <t xml:space="preserve">[Comparative study of seizure activity in monkeys and rabbits]</t>
  </si>
  <si>
    <t xml:space="preserve">Khasabov, 1973</t>
  </si>
  <si>
    <t xml:space="preserve">Towards a primate model of Gilles de la Tourette syndrome: anatomo-behavioural correlation of disorders induced by striatal dysfunction</t>
  </si>
  <si>
    <t xml:space="preserve">Worbe et al., 2013</t>
  </si>
  <si>
    <t xml:space="preserve">pharmacological study, tractography</t>
  </si>
  <si>
    <t xml:space="preserve">[Effect of electric stimulation on the interrelation of subcortical structures in monkeys]</t>
  </si>
  <si>
    <t xml:space="preserve">Kudriavtseva, 1971</t>
  </si>
  <si>
    <t xml:space="preserve">Complex locking rather than complete cessation of neuronal activity in the globus pallidus of a 1-methyl-4-phenyl-1,2,3,6-tetrahydropyridine-treated primate in response to pallidal microstimulation</t>
  </si>
  <si>
    <t xml:space="preserve">Bar-Gad et al., 2004</t>
  </si>
  <si>
    <t xml:space="preserve">Recruitment of a head-turning synergy by low-frequency activity in the primate superior colliculus</t>
  </si>
  <si>
    <t xml:space="preserve">Rezvani &amp; Corneil, 2008</t>
  </si>
  <si>
    <t xml:space="preserve">[Organization of cortico-striatal relations in rats and monkeys]</t>
  </si>
  <si>
    <t xml:space="preserve">Karamian et al., 1972</t>
  </si>
  <si>
    <t xml:space="preserve">[Role of the cerebellum in vestibulocardiac reactions in lower monkeys exposed to a rocking motion]</t>
  </si>
  <si>
    <t xml:space="preserve">Markin, 1973</t>
  </si>
  <si>
    <t xml:space="preserve">Relationship between afferent input and motor output in sensorimotor cortex of the monkey</t>
  </si>
  <si>
    <t xml:space="preserve">Doetsch &amp; Gardner, 1972</t>
  </si>
  <si>
    <t xml:space="preserve">Steady potential shifts and facilitated learning of delayed response in monkeys</t>
  </si>
  <si>
    <t xml:space="preserve">Sandrew et al., 1977</t>
  </si>
  <si>
    <t xml:space="preserve">Crossmodal integration in the primate superior colliculus underlying the preparation and initiation of saccadic eye movements</t>
  </si>
  <si>
    <t xml:space="preserve">Bell et al., 2005</t>
  </si>
  <si>
    <t xml:space="preserve">Convergence of inhibitory neural inputs regulate motor activity in the murine and monkey stomach</t>
  </si>
  <si>
    <t xml:space="preserve">Shaylor et al., 2016</t>
  </si>
  <si>
    <t xml:space="preserve">Neuronal multipotentiality: evidence for network representation of physiological function</t>
  </si>
  <si>
    <t xml:space="preserve">Montgomery et al., 1992</t>
  </si>
  <si>
    <t xml:space="preserve">Monitoring spinal cord motor and somatosensory evoked potentials in anesthetized primates</t>
  </si>
  <si>
    <t xml:space="preserve">Ghaly et al., 1999</t>
  </si>
  <si>
    <t xml:space="preserve">Functional ultrasound imaging of deep visual cortex in awake nonhuman primates</t>
  </si>
  <si>
    <t xml:space="preserve">Blaize et al., 2020</t>
  </si>
  <si>
    <t xml:space="preserve">The Neurochip-2: an autonomous head-fixed computer for recording and stimulating in freely behaving monkeys</t>
  </si>
  <si>
    <t xml:space="preserve">Zanos et al., 2011</t>
  </si>
  <si>
    <t xml:space="preserve">Cerebello-cerebral projections onto the ventral part of the frontal cortex of the macaque monkey</t>
  </si>
  <si>
    <t xml:space="preserve">Kyuhou et al., 1997</t>
  </si>
  <si>
    <t xml:space="preserve">Physiologic specialization at esophagogastric junction in three species</t>
  </si>
  <si>
    <t xml:space="preserve">Christensen et al., 1973</t>
  </si>
  <si>
    <t xml:space="preserve">Electrical stimulation of the inner ear</t>
  </si>
  <si>
    <t xml:space="preserve">Walloch et al., 1973</t>
  </si>
  <si>
    <t xml:space="preserve">Impact of polypropylene prolapse mesh on vaginal smooth muscle in rhesus macaque</t>
  </si>
  <si>
    <t xml:space="preserve">Shaffer et al., 2019</t>
  </si>
  <si>
    <t xml:space="preserve">Segmental organization of visceral and somatic input onto C3-T6 spinothalamic tract cells of the monkey</t>
  </si>
  <si>
    <t xml:space="preserve">Hobbs et al., 1992</t>
  </si>
  <si>
    <t xml:space="preserve">Cross-correlation analysis of interneuronal connectivity in the motor cortex of the monkey</t>
  </si>
  <si>
    <t xml:space="preserve">Allum et al., 1982</t>
  </si>
  <si>
    <t xml:space="preserve">Pharmacology and neurochemistry of buspirone</t>
  </si>
  <si>
    <t xml:space="preserve">Riblet et al., 1982</t>
  </si>
  <si>
    <t xml:space="preserve">Characteristics of interhemispheric impulse conduction between prelunate gyri of the rhesus monkey</t>
  </si>
  <si>
    <t xml:space="preserve">corpus callosum</t>
  </si>
  <si>
    <t xml:space="preserve">Task-related striatal neurons shared by various stages of monkey behavior</t>
  </si>
  <si>
    <t xml:space="preserve">Tolkunov et al., 2002</t>
  </si>
  <si>
    <t xml:space="preserve">Working Memory Enhances Cortical Representations via Spatially Specific Coordination of Spike Times</t>
  </si>
  <si>
    <t xml:space="preserve">Bahmani et al., 2018</t>
  </si>
  <si>
    <t xml:space="preserve">Collaterals of primate spinothalamic tract neurons to the periaqueductal gray</t>
  </si>
  <si>
    <t xml:space="preserve">Zhang et al., 1990</t>
  </si>
  <si>
    <t xml:space="preserve">Multifunctional properties of ambiguous neurons identified electrophysiologically during vocalization in the awake monkey</t>
  </si>
  <si>
    <t xml:space="preserve">Yajima &amp; Larson, 1993</t>
  </si>
  <si>
    <t xml:space="preserve">Convergence of phrenic and cardiopulmonary spinal afferent information on cervical and thoracic spinothalamic tract neurons in the monkey: implications for referred pain from the diaphragm and heart</t>
  </si>
  <si>
    <t xml:space="preserve">Bolser et al., 1991</t>
  </si>
  <si>
    <t xml:space="preserve">Parallel processing of cutaneous information in the somatosensory system of the cat</t>
  </si>
  <si>
    <t xml:space="preserve">Dykes, 1982</t>
  </si>
  <si>
    <t xml:space="preserve">Large-scale intramuscular electrode system for chronic electromyography and functional electrical stimulation</t>
  </si>
  <si>
    <t xml:space="preserve">Holly et al., 2022</t>
  </si>
  <si>
    <t xml:space="preserve">Effects of stimulation of sensorimotor cortex on primate spinothalamic neurons</t>
  </si>
  <si>
    <t xml:space="preserve">Coulter et al., 1974</t>
  </si>
  <si>
    <t xml:space="preserve">Primate nucleus gracilis neurons: responses to innocuous and noxious stimuli</t>
  </si>
  <si>
    <t xml:space="preserve">Ferrington et al., 1988</t>
  </si>
  <si>
    <t xml:space="preserve">Sensorimotor transformation elicits systematic patterns of activity along the dorsoventral extent of the superior colliculus in the macaque monkey</t>
  </si>
  <si>
    <t xml:space="preserve">Massot et al., 2019</t>
  </si>
  <si>
    <t xml:space="preserve">[Cortico-cortical functional connections in Macaca rhesus, revealed by evoked responses]</t>
  </si>
  <si>
    <t xml:space="preserve">Khasabov &amp; Khasabova, 1972</t>
  </si>
  <si>
    <t xml:space="preserve">Effect of stimulation of nucleus raphe dorsalis on carotid blood flow. I. The monkey</t>
  </si>
  <si>
    <t xml:space="preserve">Goadsby et al., 1985</t>
  </si>
  <si>
    <t xml:space="preserve">dorsal raphne nucleus</t>
  </si>
  <si>
    <t xml:space="preserve">Mesencephalic control of lateral geniculate nucleus in primates. 3. Modifications with state of alertness</t>
  </si>
  <si>
    <t xml:space="preserve">Bartlett et al., 1973</t>
  </si>
  <si>
    <t xml:space="preserve">optic tract</t>
  </si>
  <si>
    <t xml:space="preserve">Classification of somatic evoked potentials through maximum entropy spectral analysis</t>
  </si>
  <si>
    <t xml:space="preserve">Lam et al., 1982</t>
  </si>
  <si>
    <t xml:space="preserve">Ordinal position and afferent input of neurons in monkey striate cortex</t>
  </si>
  <si>
    <t xml:space="preserve">Bullier &amp; Henry, 1980</t>
  </si>
  <si>
    <t xml:space="preserve">optic radiata</t>
  </si>
  <si>
    <t xml:space="preserve">Vestibular nucleus units in alert monkeys are also influenced by moving visual fields</t>
  </si>
  <si>
    <t xml:space="preserve">Henn et al., 1974</t>
  </si>
  <si>
    <t xml:space="preserve">Morphological characteristics and electrophysiological properties of CA1 pyramidal neurons in macaque monkeys</t>
  </si>
  <si>
    <t xml:space="preserve">Altemus et al., 2005</t>
  </si>
  <si>
    <t xml:space="preserve">Effects of selective prefrontal decortication on escape behavior in the monkey</t>
  </si>
  <si>
    <t xml:space="preserve">Tanaka, 1973</t>
  </si>
  <si>
    <t xml:space="preserve">Mesencephalic control of lateral geniculate nucleus in primates. I. Electrophysiology</t>
  </si>
  <si>
    <t xml:space="preserve">mesencephalon</t>
  </si>
  <si>
    <t xml:space="preserve">Three-dimensional eye-head coordination after injection of muscimol into the interstitial nucleus of Cajal (INC)</t>
  </si>
  <si>
    <t xml:space="preserve">Farshadmanesh et al., 2007</t>
  </si>
  <si>
    <t xml:space="preserve">Stimulus context alters neural representations of faces in inferotemporal cortex</t>
  </si>
  <si>
    <t xml:space="preserve">Noudoost et al., 2017</t>
  </si>
  <si>
    <t xml:space="preserve">Functional organization of motor cortex of adult macaque monkeys is altered by sensory loss in infancy</t>
  </si>
  <si>
    <t xml:space="preserve">Qi et al., 2010</t>
  </si>
  <si>
    <t xml:space="preserve">Monkey primary somatosensory cortical activity during the early reaction time period differs with cues that guide movements</t>
  </si>
  <si>
    <t xml:space="preserve">Liu et al., 2008</t>
  </si>
  <si>
    <t xml:space="preserve">Responses of primate spinothalamic neurons located in the sacral intermediomedial gray (Stilling's nucleus) to proprioceptive input from the tail</t>
  </si>
  <si>
    <t xml:space="preserve">Milne et al., 1982</t>
  </si>
  <si>
    <t xml:space="preserve">Investigation of the species selectivity of a nonpeptide CGRP receptor antagonist using a novel pharmacodynamic assay</t>
  </si>
  <si>
    <t xml:space="preserve">Hershey et al., 2005</t>
  </si>
  <si>
    <t xml:space="preserve">Effects of rearing experiences on development in rhesus monkey</t>
  </si>
  <si>
    <t xml:space="preserve">Sackett, 1970</t>
  </si>
  <si>
    <t xml:space="preserve">developmental study</t>
  </si>
  <si>
    <t xml:space="preserve">The distribution of the globus pallidus neurons with input from various cortical areas in the monkeys</t>
  </si>
  <si>
    <t xml:space="preserve">Yoshida et al., 1993</t>
  </si>
  <si>
    <t xml:space="preserve">Disynaptic inhibition of spinal motoneurones from the motor cortex in the monkey</t>
  </si>
  <si>
    <t xml:space="preserve">Jankowska et al., 1976</t>
  </si>
  <si>
    <t xml:space="preserve">Monkeys genetically modified to show autism symptoms</t>
  </si>
  <si>
    <t xml:space="preserve">Cyranoski, 2016</t>
  </si>
  <si>
    <t xml:space="preserve">Two forms of inhibition of spinothalamic tract neurons produced by stimulation of the periaqueductal gray and the cerebral cortex</t>
  </si>
  <si>
    <t xml:space="preserve">Multimodal integration in rostral fastigial nucleus provides an estimate of body movement</t>
  </si>
  <si>
    <t xml:space="preserve">Brooks &amp; Cullen, 2009</t>
  </si>
  <si>
    <t xml:space="preserve">Acute and chronic effects of the neuroactive steroid pregnanolone on schedule-controlled responding in rhesus monkeys</t>
  </si>
  <si>
    <t xml:space="preserve">McMahon &amp; France, 2002</t>
  </si>
  <si>
    <t xml:space="preserve">Sensitivity to painful and nonpainful electrocutaneous stimuli in monkeys: effects of anterolateral chordotomy</t>
  </si>
  <si>
    <t xml:space="preserve">Greenspan et al., 1986</t>
  </si>
  <si>
    <t xml:space="preserve">[The physiology of penile erection. II. Neurophysiology of penile erection]</t>
  </si>
  <si>
    <t xml:space="preserve">Junemann et al., 1987</t>
  </si>
  <si>
    <t xml:space="preserve">Coupling between unmyelinated peripheral nerve fibers does not involve sympathetic efferent fibers</t>
  </si>
  <si>
    <t xml:space="preserve">Meyer &amp; Campbell, 1987</t>
  </si>
  <si>
    <t xml:space="preserve">Excitatory neurotransmission in the mammalian bladder and the effects of suramin</t>
  </si>
  <si>
    <t xml:space="preserve">Creed et al., 1994</t>
  </si>
  <si>
    <t xml:space="preserve">Responses of pallidal neurons to striatal stimulation in monkeys with MPTP-induced parkinsonism</t>
  </si>
  <si>
    <t xml:space="preserve">Tremblay et al., 1989</t>
  </si>
  <si>
    <t xml:space="preserve">Hypotensive and antiarrhythmic effects of a new alkaloid, the 13-hydroxylupanine-2-pyrrolcarbonic acid ester, from the Madagascan plant Cadia ellisiana</t>
  </si>
  <si>
    <t xml:space="preserve">Lindner et al., 1976</t>
  </si>
  <si>
    <t xml:space="preserve">Recurrent inhibition and facilitation in the monkey, Macaca mulatta, in relation to spinal shock</t>
  </si>
  <si>
    <t xml:space="preserve">McCouch et al., 1970</t>
  </si>
  <si>
    <t xml:space="preserve">Response of flocculus Purkinje cells to adequate vestibular stimulation in the alert monkey: fixation vs. compensatory eye movements</t>
  </si>
  <si>
    <t xml:space="preserve">Lisberger &amp; Fuchs, 1974</t>
  </si>
  <si>
    <t xml:space="preserve">Long-term changes in purposive and reflexive responses to nociceptive stimulation following anterolateral chordotomy</t>
  </si>
  <si>
    <t xml:space="preserve">Vierck et al., 1990</t>
  </si>
  <si>
    <t xml:space="preserve">Hemodynamics of erection in the monkey</t>
  </si>
  <si>
    <t xml:space="preserve">Lue et al., 1983</t>
  </si>
  <si>
    <t xml:space="preserve">Dynamical and individualised approach of transcranial ultrasound neuromodulation effects in non-human primates</t>
  </si>
  <si>
    <t xml:space="preserve">Atkinson-Clement et al., 2024</t>
  </si>
  <si>
    <t xml:space="preserve">Effects of competitive cutaneous stimuli on pain thresholds in the monkey</t>
  </si>
  <si>
    <t xml:space="preserve">Barnes &amp; Conomy, 1977</t>
  </si>
  <si>
    <t xml:space="preserve">Daily treatment with diazepam differentially modifies sensitivity to the effects of gamma-aminobutyric acid(A) modulators on schedule-controlled responding in rhesus monkeys</t>
  </si>
  <si>
    <t xml:space="preserve">Very long-acting narcotic antagonists: the 14 beta-p-substituted cinnamoylaminomorphinones and their partial mu agonist codeinone relatives</t>
  </si>
  <si>
    <t xml:space="preserve">Aceto et al., 1989</t>
  </si>
  <si>
    <t xml:space="preserve">Neonatal treatment of male monkeys with a gonadotropin-releasing hormone agonist alters differentiation of central nervous system centers that regulate sexual and skeletal development</t>
  </si>
  <si>
    <t xml:space="preserve">Mann et al., 1993</t>
  </si>
  <si>
    <t xml:space="preserve">Transient responses to load perturbations of the forearm in a monkey with a chronic lesion in the internal capsule</t>
  </si>
  <si>
    <t xml:space="preserve">Lacquaniti et al., 1987 </t>
  </si>
  <si>
    <t xml:space="preserve">[Characteristics of the formation of conditioned defense reactions in monkeys in a primatological chair]</t>
  </si>
  <si>
    <t xml:space="preserve">Karamian et al., 1987</t>
  </si>
  <si>
    <t xml:space="preserve">Metabolic labeling associated with index finger stimulation in monkey SI: between animal variability</t>
  </si>
  <si>
    <t xml:space="preserve">Juliano &amp; Whitsel, 1985</t>
  </si>
  <si>
    <t xml:space="preserve">2-DG</t>
  </si>
  <si>
    <t xml:space="preserve">A systematic approach to selecting task relevant neurons</t>
  </si>
  <si>
    <t xml:space="preserve">Kahn et al., 2015</t>
  </si>
  <si>
    <t xml:space="preserve">Optical imaging of bipolar cortical stimulation</t>
  </si>
  <si>
    <t xml:space="preserve">Haglund et al., 1993</t>
  </si>
  <si>
    <t xml:space="preserve">Electrophysiological characteristics of primate spinothalamic neurons with renal and somatic inputs</t>
  </si>
  <si>
    <t xml:space="preserve">Ammons, 1989</t>
  </si>
  <si>
    <t xml:space="preserve">Low- and high-frequency transcutaneous electrical acupoint stimulation induces different effects on cerebral μ-opioid receptor availability in rhesus monkeys</t>
  </si>
  <si>
    <t xml:space="preserve">Xiang et al., 2014</t>
  </si>
  <si>
    <t xml:space="preserve">acupuncture study</t>
  </si>
  <si>
    <t xml:space="preserve">The discriminative stimulus effects of i.v. nicotine in rhesus monkeys: Pharmacokinetics and apparent pA2 analysis with dihydro-β-erythroidine</t>
  </si>
  <si>
    <t xml:space="preserve">Moerke et al., 2017</t>
  </si>
  <si>
    <t xml:space="preserve">Contribution of the nucleus of the optic tract to optokinetic nystagmus and optokinetic afternystagmus in the monkey: clinical implications</t>
  </si>
  <si>
    <t xml:space="preserve">Cohen et al., 1990</t>
  </si>
  <si>
    <t xml:space="preserve">Origin of spino-thalamic tract in monkeys</t>
  </si>
  <si>
    <t xml:space="preserve">Albe-Fessard et al., 1974</t>
  </si>
  <si>
    <t xml:space="preserve">Changes of plasma glucose and insulin during defense reactions in monkeys</t>
  </si>
  <si>
    <t xml:space="preserve">Natelson et al., 1973</t>
  </si>
  <si>
    <t xml:space="preserve">Submodality distribution in sensorimotor cortex of the unanesthetized monkey</t>
  </si>
  <si>
    <t xml:space="preserve">Tanji &amp; Wise, 1981</t>
  </si>
  <si>
    <t xml:space="preserve">Restoration of upper limb movement via artificial corticospinal and musculospinal connections in a monkey with spinal cord injury</t>
  </si>
  <si>
    <t xml:space="preserve">Nishimura et al., 2013</t>
  </si>
  <si>
    <t xml:space="preserve">Prolonged inhibition of primate spinothalamic tract cells by peripheral nerve stimulation</t>
  </si>
  <si>
    <t xml:space="preserve">Chung et al., 1984</t>
  </si>
  <si>
    <t xml:space="preserve">Smooth pursuit eye movements</t>
  </si>
  <si>
    <t xml:space="preserve">Eckmiller &amp; Bauswein, 1986</t>
  </si>
  <si>
    <t xml:space="preserve">IR thermal imaging of a monkey's head: local temperature changes in response to somatosensory stimulation</t>
  </si>
  <si>
    <t xml:space="preserve">George et al., 1993</t>
  </si>
  <si>
    <t xml:space="preserve">Frequency-dependent fatigue development during electrical stimulation in the masseter muscle of pigtail monkeys</t>
  </si>
  <si>
    <t xml:space="preserve">Strom et al., 1998</t>
  </si>
  <si>
    <t xml:space="preserve">Responses of trigeminal units in the monkey bulbar lateral reticular formation to noxious and non-noxious stimulation of the face: experimental and theoretical considerations</t>
  </si>
  <si>
    <t xml:space="preserve">Nord &amp; Ross, 1973</t>
  </si>
  <si>
    <t xml:space="preserve">Periventricular gray inhibition of thoracic spinothalamic cells projecting to medial and lateral thalamus</t>
  </si>
  <si>
    <t xml:space="preserve">Ammons et al., 1986</t>
  </si>
  <si>
    <t xml:space="preserve">Selective vagal postganglionic innervation of the sinoatrial and atrioventricular nodes in the non-human primate</t>
  </si>
  <si>
    <t xml:space="preserve">Billman et al., 1989</t>
  </si>
  <si>
    <t xml:space="preserve">The influence of target sex and dominance on evoked attack in Rhesus monkeys</t>
  </si>
  <si>
    <t xml:space="preserve">Alexander &amp; Perachio, 1973</t>
  </si>
  <si>
    <t xml:space="preserve">Non-invasive reversal of intraluminal vas deferens polymer injection-induced azoospermia--technology</t>
  </si>
  <si>
    <t xml:space="preserve">Guha, 1999</t>
  </si>
  <si>
    <t xml:space="preserve">Stereotaxic technique for stimulation and recording in nonanesthetized monkeys: application to the determination of connections between caudate nucleus and substantia nigra</t>
  </si>
  <si>
    <t xml:space="preserve">Feger et al., 1975</t>
  </si>
  <si>
    <t xml:space="preserve">Preparatory activity in premotor and motor cortex reflects the speed of the upcoming reach</t>
  </si>
  <si>
    <t xml:space="preserve">Churchland et al., 2006</t>
  </si>
  <si>
    <t xml:space="preserve">Short-latency peripheral inputs to thalamic neurones projecting to the motor cortex in the monkey</t>
  </si>
  <si>
    <t xml:space="preserve">Lemon &amp; Van der Burg, 1979</t>
  </si>
  <si>
    <t xml:space="preserve">Vagal afferent inhibition of spinothalamic cell responses to sympathetic afferents and bradykinin in the monkey</t>
  </si>
  <si>
    <t xml:space="preserve">Electrophysiological studies of the interaction between ventricular myocardium and coronary artery in monkeys</t>
  </si>
  <si>
    <t xml:space="preserve">Mekata, 1994</t>
  </si>
  <si>
    <t xml:space="preserve">Analysis of capacitive coupling within microelectrode array</t>
  </si>
  <si>
    <t xml:space="preserve">Hu et al., 2006</t>
  </si>
  <si>
    <t xml:space="preserve">Blood flow increase in the orofacial area of humans induced by painful stimulation</t>
  </si>
  <si>
    <t xml:space="preserve">Kemppainen et al., 1994</t>
  </si>
  <si>
    <t xml:space="preserve">Histological and functional studies on the nitroxidergic nerve innervating monkey cerebral, mesenteric and temporal arteries</t>
  </si>
  <si>
    <t xml:space="preserve">Yoshida et al., 1994</t>
  </si>
  <si>
    <t xml:space="preserve">Attentional stimulus selection through selective synchronization between monkey visual areas</t>
  </si>
  <si>
    <t xml:space="preserve">Bosman et al., 2012</t>
  </si>
  <si>
    <t xml:space="preserve">Dopaminergic cells in the periaqueductal grey matter of MPTP-treated monkeys and mice; patterns of survival and effect of deep brain stimulation and lesion of the subthalamic nucleus</t>
  </si>
  <si>
    <t xml:space="preserve">Shaw et al., 2010</t>
  </si>
  <si>
    <t xml:space="preserve">Excitation of primate spinothalamic neurons by cutaneous C-fiber volleys</t>
  </si>
  <si>
    <t xml:space="preserve">Chung et al., 1979</t>
  </si>
  <si>
    <t xml:space="preserve">The cortical representation of the hand in macaque and human area S-I: high resolution optical imaging</t>
  </si>
  <si>
    <t xml:space="preserve">Shoham &amp; Grinvald, 2001</t>
  </si>
  <si>
    <t xml:space="preserve">Generators of somatosensory evoked potentials investigated by dipole tracing in the monkey</t>
  </si>
  <si>
    <t xml:space="preserve">Hayashi et al., 1995</t>
  </si>
  <si>
    <t xml:space="preserve">Innervation pattern of dorsal roots and their effects on the specificity of dermatomal somatosensory evoked potentials</t>
  </si>
  <si>
    <t xml:space="preserve">Owen et al., 1976</t>
  </si>
  <si>
    <t xml:space="preserve">Beta adrenoceptor subtype in isolated human, monkey and dog epicardial coronary arteries</t>
  </si>
  <si>
    <t xml:space="preserve">Modelling magnetic coil excitation of human cerebral cortex with a peripheral nerve immersed in a brain-shaped volume conductor: the significance of fiber bending in excitation</t>
  </si>
  <si>
    <t xml:space="preserve">Amassian et al., 1992</t>
  </si>
  <si>
    <t xml:space="preserve">Parasympathetic denervation of the ciliary muscle following retinal photocoagulation</t>
  </si>
  <si>
    <t xml:space="preserve">Kaufman, 1990</t>
  </si>
  <si>
    <t xml:space="preserve">Representation of Afferent Signals from Forearm Muscle and Cutaneous Nerves in the Primary Somatosensory Cortex of the Macaque Monkey</t>
  </si>
  <si>
    <t xml:space="preserve">Yamada et al., 2016</t>
  </si>
  <si>
    <t xml:space="preserve">Spinal cord potentials evoked by cutaneous afferents in the monkey</t>
  </si>
  <si>
    <t xml:space="preserve">Beall et al., 1977</t>
  </si>
  <si>
    <t xml:space="preserve">Characteristics of uveal vasodilation produced by facial nerve stimulation in monkeys, cats and rabbits</t>
  </si>
  <si>
    <t xml:space="preserve">Nilsson et al., 1985</t>
  </si>
  <si>
    <t xml:space="preserve">The propagation of focal paroxysmal activity in the newborn macaca mulatta</t>
  </si>
  <si>
    <t xml:space="preserve">Caveness et al., 1970</t>
  </si>
  <si>
    <t xml:space="preserve">The Neural Basis for Biased Behavioral Responses Evoked by Galvanic Vestibular Stimulation in Primates</t>
  </si>
  <si>
    <t xml:space="preserve">Forbes et al., 2023</t>
  </si>
  <si>
    <t xml:space="preserve">Inhibitory effects of phrenic afferent fibers on primate lumbosacral spinothalamic tract neurons</t>
  </si>
  <si>
    <t xml:space="preserve">Gustatory neural coding in the cortex of the alert cynomolgus macaque: the quality of bitterness</t>
  </si>
  <si>
    <t xml:space="preserve">Scott et al., 1999</t>
  </si>
  <si>
    <t xml:space="preserve">Horizontal synaptic connections in monkey prefrontal cortex: an in vitro electrophysiological study</t>
  </si>
  <si>
    <t xml:space="preserve">Gonzalez-Burgos et al., 2000</t>
  </si>
  <si>
    <t xml:space="preserve">Negative feedback in adrenocortical response to limbic stimulation in Macaca mulatta</t>
  </si>
  <si>
    <t xml:space="preserve">McHugh &amp; Smith, 1967</t>
  </si>
  <si>
    <t xml:space="preserve">amygdala, hypothalamus</t>
  </si>
  <si>
    <t xml:space="preserve">No behaviour tested, hormone levels</t>
  </si>
  <si>
    <t xml:space="preserve">Inference of Electrical Stimulation Sensitivity from Recorded Activity of Primate Retinal Ganglion Cells</t>
  </si>
  <si>
    <t xml:space="preserve">Madugula et al., 2023</t>
  </si>
  <si>
    <t xml:space="preserve">Selective Recruitment of Arm Motoneurons in Nonhuman Primates Using Epidural Electrical Stimulation of the Cervical Spinal Cord</t>
  </si>
  <si>
    <t xml:space="preserve">Barra et al., 2018</t>
  </si>
  <si>
    <t xml:space="preserve">Electrophysiologic properties differ in the ventricular endocardium and epicardium of the Japanese monkey</t>
  </si>
  <si>
    <t xml:space="preserve">Imanishi &amp; Arita, 1987</t>
  </si>
  <si>
    <t xml:space="preserve">Activities of neurons in area 3a of the cerebral cortex during voluntary movements in the monkey</t>
  </si>
  <si>
    <t xml:space="preserve">Yumiya et al., 1974</t>
  </si>
  <si>
    <t xml:space="preserve">area 3A</t>
  </si>
  <si>
    <t xml:space="preserve">Mechanism of action of nicotine on crab-eating monkey isolated bronchial smooth muscle</t>
  </si>
  <si>
    <t xml:space="preserve">Kizawa &amp; Takayanagi, 1985</t>
  </si>
  <si>
    <t xml:space="preserve">Comparison of efficacy and toxicity between botulinum toxin subtypes A1 and A2 in cynomolgus macaques</t>
  </si>
  <si>
    <t xml:space="preserve">Torii et al., 2018</t>
  </si>
  <si>
    <t xml:space="preserve">Reappraisal of timing for exploration of civilian peripheral nerve injuries</t>
  </si>
  <si>
    <t xml:space="preserve">Kline &amp; Hackett, 1975</t>
  </si>
  <si>
    <t xml:space="preserve">[A study of the distribution of synaptic inputs on an analogous model of motor neurons]</t>
  </si>
  <si>
    <t xml:space="preserve">Kurchavyi et al., 1973</t>
  </si>
  <si>
    <t xml:space="preserve">Survival of midbrain dopaminergic cells after lesion or deep brain stimulation of the subthalamic nucleus in MPTP-treated monkeys</t>
  </si>
  <si>
    <t xml:space="preserve">Wallace et al., 2007</t>
  </si>
  <si>
    <t xml:space="preserve">Neuronal mechanism of the disynaptic inhibition evoked in primate spinal motoneurones from the corticospinal tract</t>
  </si>
  <si>
    <t xml:space="preserve">Jankowska &amp; Tanaka, 1974</t>
  </si>
  <si>
    <t xml:space="preserve">Responses of primate spinomesencephalic tract cells to intradermal capsaicin</t>
  </si>
  <si>
    <t xml:space="preserve">Dougherty et al., 1999</t>
  </si>
  <si>
    <t xml:space="preserve">Directional organization of sensorimotor oscillatory activity related to the electromyogram in the monkey</t>
  </si>
  <si>
    <t xml:space="preserve">Tsujimoto et al., 2009</t>
  </si>
  <si>
    <t xml:space="preserve">The effect of stimulation of the cervical sympathetic chain on regional cerebral blood flow in monkeys. A study with radioactively labelled microspheres</t>
  </si>
  <si>
    <t xml:space="preserve">Alm, 1975</t>
  </si>
  <si>
    <t xml:space="preserve">Cerebello- and pallido-thalamic pathways to areas 6 and 4 in the monkey</t>
  </si>
  <si>
    <t xml:space="preserve">Jinnai et al., 1993</t>
  </si>
  <si>
    <t xml:space="preserve">Animal pharmacology of Wy-16,225, a new analgesic agent</t>
  </si>
  <si>
    <t xml:space="preserve">Malis et al., 1975</t>
  </si>
  <si>
    <t xml:space="preserve">Three-dimensional localization of dipoles for potentials evoked by posterior tibial nerve stimulation in the monkey</t>
  </si>
  <si>
    <t xml:space="preserve">Hayashi et al., 1997</t>
  </si>
  <si>
    <t xml:space="preserve">Evidence that C1 and C2 propriospinal neurons mediate the inhibitory effects of viscerosomatic spinal afferent input on primate spinothalamic tract neurons</t>
  </si>
  <si>
    <t xml:space="preserve">Development of an optogenetic toolkit for neural circuit dissection in squirrel monkeys</t>
  </si>
  <si>
    <t xml:space="preserve">O'Shea et al., 2018</t>
  </si>
  <si>
    <t xml:space="preserve">Positive feedback of ovarian steroids in rats and monkeys</t>
  </si>
  <si>
    <t xml:space="preserve">Everett, 1972</t>
  </si>
  <si>
    <t xml:space="preserve">Electrophysiological response properties of spinoreticular neurons in the monkey</t>
  </si>
  <si>
    <t xml:space="preserve">Haber et al., 1982</t>
  </si>
  <si>
    <t xml:space="preserve">Divergent axon collaterals from fastigial oculomotor region to mesodiencephalic junction and paramedian pontine reticular formation in macaques</t>
  </si>
  <si>
    <t xml:space="preserve">Sato &amp; Noda, 1991</t>
  </si>
  <si>
    <t xml:space="preserve">Pyrroloquinolone PDE5 inhibitors with improved pharmaceutical profiles for clinical studies on erectile dysfunction</t>
  </si>
  <si>
    <t xml:space="preserve">Jiang et al., 2005</t>
  </si>
  <si>
    <t xml:space="preserve">Functional Localization of the Frontal Eye Fields in the Common Marmoset Using Microstimulation</t>
  </si>
  <si>
    <t xml:space="preserve">Selvanayagam et al., 2019</t>
  </si>
  <si>
    <t xml:space="preserve">marmoset monkey</t>
  </si>
  <si>
    <t xml:space="preserve">Electrophysiological studies of long-term electrical stimulation of the cerebellum in monkeys</t>
  </si>
  <si>
    <t xml:space="preserve">Babb et al., 1977</t>
  </si>
  <si>
    <t xml:space="preserve">Response characteristics of neurons in the ventral posterior lateral nucleus of the monkey thalamus</t>
  </si>
  <si>
    <t xml:space="preserve">Chung et al., 1986</t>
  </si>
  <si>
    <t xml:space="preserve">Cutaneous reflexes and pathways affecting them in the monkey, Macaca mulatta</t>
  </si>
  <si>
    <t xml:space="preserve">Chambers et al., 1970</t>
  </si>
  <si>
    <t xml:space="preserve">U-54,669F: a novel hypotensive agent</t>
  </si>
  <si>
    <t xml:space="preserve">Wendling et al., 1983</t>
  </si>
  <si>
    <t xml:space="preserve">Pathophysiology of rapid eye movements in the horizontal, vertical and torsional directions</t>
  </si>
  <si>
    <t xml:space="preserve">Henn, 1992</t>
  </si>
  <si>
    <t xml:space="preserve">Spinothalamic cell activity in the monkey during intense nociceptive stimulation: intra-arterial injection of bradykinin into the limbs</t>
  </si>
  <si>
    <t xml:space="preserve">Levante et al., 1975</t>
  </si>
  <si>
    <t xml:space="preserve">Visceral signals reach visual cortex during slow wave sleep: study in monkeys</t>
  </si>
  <si>
    <t xml:space="preserve">Pigarev et al., 2006</t>
  </si>
  <si>
    <t xml:space="preserve">visual cortex</t>
  </si>
  <si>
    <t xml:space="preserve">Viral infection induces dependence of neuronal M2 muscarinic receptors on cyclooxygenase in guinea pig lung</t>
  </si>
  <si>
    <t xml:space="preserve">Kahn et al., 1996</t>
  </si>
  <si>
    <t xml:space="preserve">Analytical theory for extracellular electrical stimulation of nerve with focal electrodes. I. Passive unmyelinated axon</t>
  </si>
  <si>
    <t xml:space="preserve">Rubinstein &amp; Spelman, 1988</t>
  </si>
  <si>
    <t xml:space="preserve">Reciprocal regulation by putatively nitroxidergic and adrenergic nerves of monkey and dog temporal arterial tone</t>
  </si>
  <si>
    <t xml:space="preserve">Toda &amp; Okamura, 1991</t>
  </si>
  <si>
    <t xml:space="preserve">Inhibitory processes and interneuronal apparatus in motor cortex during sleep and waking. I. Background firing and responsiveness of pyramidal tract neurons and interneurons</t>
  </si>
  <si>
    <t xml:space="preserve">Steriade et al., 1974</t>
  </si>
  <si>
    <t xml:space="preserve">pyramidal tract</t>
  </si>
  <si>
    <t xml:space="preserve">Neural discharge and local field potential oscillations in primate motor cortex during voluntary movements</t>
  </si>
  <si>
    <t xml:space="preserve">Donoghue et al., 1998</t>
  </si>
  <si>
    <t xml:space="preserve">Separate processing dynamics for texture elements, boundaries and surfaces in primary visual cortex of the macaque monkey</t>
  </si>
  <si>
    <t xml:space="preserve">Lamme et al., 1999</t>
  </si>
  <si>
    <t xml:space="preserve">[Changes in cellular activity in corpus Luysi after stimulation of monkey corpus striatum]</t>
  </si>
  <si>
    <t xml:space="preserve">Feger &amp; Ohye, 1975</t>
  </si>
  <si>
    <t xml:space="preserve">Visually induced signal-locked neuronal activity changes in precentral motor areas of the monkey: hierarchical progression of signal processing</t>
  </si>
  <si>
    <t xml:space="preserve">Riehle, 1991</t>
  </si>
  <si>
    <t xml:space="preserve">Brainstem influences on the cephalic circulation: experimental data from cat and monkey of relevance to the mechanism of migraine</t>
  </si>
  <si>
    <t xml:space="preserve">Lance et al., 1983</t>
  </si>
  <si>
    <t xml:space="preserve">Visual fixation as equilibrium: evidence from superior colliculus inactivation</t>
  </si>
  <si>
    <t xml:space="preserve">Goffart et al., 2012</t>
  </si>
  <si>
    <t xml:space="preserve">An animal model for investigating the clinical utility of somatosensory evoked potentials</t>
  </si>
  <si>
    <t xml:space="preserve">Simpson et al., 1982</t>
  </si>
  <si>
    <t xml:space="preserve">Patterns of spontaneous discharge in primate spinothalamic neurons</t>
  </si>
  <si>
    <t xml:space="preserve">Surmeier et al., 1989</t>
  </si>
  <si>
    <t xml:space="preserve">Interaction of tooth pulp and periodontal ligament receptors in the dog and monkey</t>
  </si>
  <si>
    <t xml:space="preserve">Mahan &amp; Anderson, 1970</t>
  </si>
  <si>
    <t xml:space="preserve">Spike-timing-dependent plasticity in primate corticospinal connections induced during free behavior</t>
  </si>
  <si>
    <t xml:space="preserve">Organization of somatic thalamus in monkeys with and without section of dorsal spinal tracts</t>
  </si>
  <si>
    <t xml:space="preserve">Pollin &amp; Albe-Fessard, 1979</t>
  </si>
  <si>
    <t xml:space="preserve">Human cerebral cortical responses to contralateral transcranial stimulation</t>
  </si>
  <si>
    <t xml:space="preserve">Amassian &amp; Cracco, 1987</t>
  </si>
  <si>
    <t xml:space="preserve">Frequency Shifts and Depth Dependence of Premotor Beta Band Activity during Perceptual Decision-Making</t>
  </si>
  <si>
    <t xml:space="preserve">Chandrasekaran et al., 2019</t>
  </si>
  <si>
    <t xml:space="preserve">Projection of the vestibular nerve to the SI arm field in the cerebral cortex of the cat</t>
  </si>
  <si>
    <t xml:space="preserve">Odvist et al., 1975</t>
  </si>
  <si>
    <t xml:space="preserve">Microstimulation reveals specialized subregions for different complex movements in posterior parietal cortex of prosimian galagos</t>
  </si>
  <si>
    <t xml:space="preserve">Stepniewska et al., 2005</t>
  </si>
  <si>
    <t xml:space="preserve">galago study</t>
  </si>
  <si>
    <t xml:space="preserve">Anatomical organization of the eye fields in the human and non-human primate frontal cortex</t>
  </si>
  <si>
    <t xml:space="preserve">Amiez &amp; Petrides, 2009</t>
  </si>
  <si>
    <t xml:space="preserve">Blockage of urine by intravesical ejaculate in cynomolgus monkeys</t>
  </si>
  <si>
    <t xml:space="preserve">Chandolia et al., 2007</t>
  </si>
  <si>
    <t xml:space="preserve">The afferents and projections of the ventroposterolateral thalamus in the monkey</t>
  </si>
  <si>
    <t xml:space="preserve">Horne &amp; Tracey, 1979</t>
  </si>
  <si>
    <t xml:space="preserve">peripheral stimulation, tractography</t>
  </si>
  <si>
    <t xml:space="preserve">Inhibition of primate spinothalamic tract cells by TENS</t>
  </si>
  <si>
    <t xml:space="preserve">Lee et al., 1985</t>
  </si>
  <si>
    <t xml:space="preserve">Jaw movement-related activity and reflexly induced changes in the lateral pterygoid muscle of the monkey Macaca fascicularis</t>
  </si>
  <si>
    <t xml:space="preserve">Sessle &amp; Gurza, 1982</t>
  </si>
  <si>
    <t xml:space="preserve">Modifications by superoxide-generating agent, neurotransmitters and neuromodulators of nitroxidergic nerve function in monkey cerebral arteries</t>
  </si>
  <si>
    <t xml:space="preserve">Okamura et al., 1998</t>
  </si>
  <si>
    <t xml:space="preserve">Disinhibition during waking in motor cortex neuronal chains in cat and monkey</t>
  </si>
  <si>
    <t xml:space="preserve">Steriade et al., 1971</t>
  </si>
  <si>
    <t xml:space="preserve">Physiological roles of A and C fiber inputs to the spinal dorsal horn of Macaca mulatta</t>
  </si>
  <si>
    <t xml:space="preserve">Price &amp; Wagman, 1970</t>
  </si>
  <si>
    <t xml:space="preserve">Nitrergic nerves derived from the pterygopalatine ganglion innervate arteries irrigating the cerebrum but not the cerebellum and brain stem in monkeys</t>
  </si>
  <si>
    <t xml:space="preserve">Ayajiki et al., 2012</t>
  </si>
  <si>
    <t xml:space="preserve">Correlation of receptive field properties of monkey LGN cells with the conduction velocity of retinal afferent input</t>
  </si>
  <si>
    <t xml:space="preserve">Marrocco &amp; Brown, 1975</t>
  </si>
  <si>
    <t xml:space="preserve">Time course of development of supersensitivity to topical acetylcholine in partially isolated cortex</t>
  </si>
  <si>
    <t xml:space="preserve">Echlin, 1975</t>
  </si>
  <si>
    <t xml:space="preserve">Tonically active neurons in the monkey striatum do not preferentially respond to appetitive stimuli</t>
  </si>
  <si>
    <t xml:space="preserve">Ravel et al., 1999</t>
  </si>
  <si>
    <t xml:space="preserve">Stimulation of the trigeminal ganglion increases flow in the extracerebral but not the cerebral circulation of the monkey</t>
  </si>
  <si>
    <t xml:space="preserve">Goadsby et al., 1986</t>
  </si>
  <si>
    <t xml:space="preserve">Intraretinal axons of ganglion cells in the Japanese monkey (Macaca fuscata): conduction velocity and diameter distribution</t>
  </si>
  <si>
    <t xml:space="preserve">Fukuda et al., 1988</t>
  </si>
  <si>
    <t xml:space="preserve">Ketamine enhances phase I and phase II neuromuscular block of succinylcholine</t>
  </si>
  <si>
    <t xml:space="preserve">Tsai et al., 1989</t>
  </si>
  <si>
    <t xml:space="preserve">Characterization of nitrergic function in monkey penile erection in vivo and in vitro</t>
  </si>
  <si>
    <t xml:space="preserve">Ayajiki et al., 2009</t>
  </si>
  <si>
    <t xml:space="preserve">Transitions between Multiband Oscillatory Patterns Characterize Memory-Guided Perceptual Decisions in Prefrontal Circuits</t>
  </si>
  <si>
    <t xml:space="preserve">Wimmer et al., 2016</t>
  </si>
  <si>
    <t xml:space="preserve">Tooth pulp-evoked potentials in the monkey: cortical surface and intracortical distribution</t>
  </si>
  <si>
    <t xml:space="preserve">Chudler et al., 1985</t>
  </si>
  <si>
    <t xml:space="preserve">Step-tracking movements of the wrist. IV. Muscle activity associated with movements in different directions</t>
  </si>
  <si>
    <t xml:space="preserve">Hoffman &amp; Strick, 1999</t>
  </si>
  <si>
    <t xml:space="preserve">Fatal intoxication of rabbits, sheep and monkeys by the venom of the sea wasp (Chironex fleckeri)</t>
  </si>
  <si>
    <t xml:space="preserve">Baxter et al., 1972</t>
  </si>
  <si>
    <t xml:space="preserve">Gating of sensory input at spinal and cortical levels during preparation and execution of voluntary movement</t>
  </si>
  <si>
    <t xml:space="preserve">Seki &amp; Fetz, 2012</t>
  </si>
  <si>
    <t xml:space="preserve">Postsynaptic inhibition of primate spinothalamic neurons by stimulation in nucleus raphe magnus</t>
  </si>
  <si>
    <t xml:space="preserve">Giesler et al., 1981</t>
  </si>
  <si>
    <t xml:space="preserve">Immunotoxin-mediated tract targeting in the primate brain: selective elimination of the cortico-subthalamic "hyperdirect" pathway</t>
  </si>
  <si>
    <t xml:space="preserve">Inoue et al., 2012</t>
  </si>
  <si>
    <t xml:space="preserve">Properties of the two neuromuscular compartments in a split bipennate muscle</t>
  </si>
  <si>
    <t xml:space="preserve">Pereira et al., 2004</t>
  </si>
  <si>
    <t xml:space="preserve">Spike sorting of synchronous spikes from local neuron ensembles</t>
  </si>
  <si>
    <t xml:space="preserve">Franke et al., 2015</t>
  </si>
  <si>
    <t xml:space="preserve">Electrical induction of vision</t>
  </si>
  <si>
    <t xml:space="preserve">Tehovnik &amp; Slocum, 2013</t>
  </si>
  <si>
    <t xml:space="preserve">Potentials evoked in human and monkey cerebral cortex by stimulation of the median nerve. A review of scalp and intracranial recordings</t>
  </si>
  <si>
    <t xml:space="preserve">Allison et al., 1991</t>
  </si>
  <si>
    <t xml:space="preserve">Cortical potentials evoked by tooth pulp stimulation in rhesus monkeys</t>
  </si>
  <si>
    <t xml:space="preserve">Van Hassel et al., 1972</t>
  </si>
  <si>
    <t xml:space="preserve">Convergence of trigeminal input with visceral and phrenic inputs on primate C1-C2 spinothalamic tract neurons</t>
  </si>
  <si>
    <t xml:space="preserve">Chandler et al., 1999</t>
  </si>
  <si>
    <t xml:space="preserve">Implication of Anterior Nucleus of the Thalamus in Mesial Temporal Lobe Seizures</t>
  </si>
  <si>
    <t xml:space="preserve">Sherdil et al., 2019</t>
  </si>
  <si>
    <t xml:space="preserve">Cortical interneurons during sleep and waking in freely moving primates</t>
  </si>
  <si>
    <t xml:space="preserve">Steriade &amp; Deschenes, 1973</t>
  </si>
  <si>
    <t xml:space="preserve">Cell and neuron densities in the primary motor cortex of primates</t>
  </si>
  <si>
    <t xml:space="preserve">Young et al., 2013</t>
  </si>
  <si>
    <t xml:space="preserve">Thalamo-cortical projections to the posterior parietal cortex in the monkey</t>
  </si>
  <si>
    <t xml:space="preserve">Matsuzaki et al., 2004</t>
  </si>
  <si>
    <t xml:space="preserve">Field potential change in the prefrontal cortex of the left hemisphere during learning processes of reaction time hand movement with complex tone in the monkey</t>
  </si>
  <si>
    <t xml:space="preserve">Gemba et al., 1995</t>
  </si>
  <si>
    <t xml:space="preserve">Effects of a dorsal column lesion on temporal processing within the somatosensory system of primates</t>
  </si>
  <si>
    <t xml:space="preserve">Makous et al., 1996</t>
  </si>
  <si>
    <t xml:space="preserve">Vocalizations as measures of pain in monkeys</t>
  </si>
  <si>
    <t xml:space="preserve">Cooper et al., 1986</t>
  </si>
  <si>
    <t xml:space="preserve">The native T-type calcium current in relay neurons of the primate thalamus</t>
  </si>
  <si>
    <t xml:space="preserve">Alexander et al., 2006</t>
  </si>
  <si>
    <t xml:space="preserve">Afferent inhibition in the cuneate nucleus of the rhesus monkey</t>
  </si>
  <si>
    <t xml:space="preserve">Biedenbach et al., 1971</t>
  </si>
  <si>
    <t xml:space="preserve">Cingulate cortical cells projecting to monkey frontal eye field and primary motor cortex</t>
  </si>
  <si>
    <t xml:space="preserve">Wang et al., 2004</t>
  </si>
  <si>
    <t xml:space="preserve">Differences in contractile responses to electrical stimulation and alpha-adrenergic binding sites in isolated cerebral arteries of humans, cows, dogs, and monkeys</t>
  </si>
  <si>
    <t xml:space="preserve">Usui et al., 1985</t>
  </si>
  <si>
    <t xml:space="preserve">Physiology and anatomy of the cortico-oculomotor mechanism</t>
  </si>
  <si>
    <t xml:space="preserve">Wagman &amp; Mehler, 1972</t>
  </si>
  <si>
    <t xml:space="preserve">Mandibular joint control of genioglossus muscle activity in the cat (Felis domesticus) and monkey (Macaca irus)</t>
  </si>
  <si>
    <t xml:space="preserve">Lowe, 1978</t>
  </si>
  <si>
    <t xml:space="preserve">Relatively selective neuronal nitric oxide synthase inhibition by 7-nitroindazole in monkey isolated cerebral arteries</t>
  </si>
  <si>
    <t xml:space="preserve">Ayajiki et al., 2001</t>
  </si>
  <si>
    <t xml:space="preserve">Does a unique type of CA3 pyramidal cell in primates bypass the dentate gate?</t>
  </si>
  <si>
    <t xml:space="preserve">Buckmaster, 2005</t>
  </si>
  <si>
    <t xml:space="preserve">Automatic Identification of Axon Bundle Activation for Epiretinal Prosthesis</t>
  </si>
  <si>
    <t xml:space="preserve">Tandon et al., 2021</t>
  </si>
  <si>
    <t xml:space="preserve">The meaning for motoneurones of the temporal pattern of natural activity in pyramidal tract neurones of conscious monkeys</t>
  </si>
  <si>
    <t xml:space="preserve">Porter &amp; Muir, 1971</t>
  </si>
  <si>
    <t xml:space="preserve">Serotonin modulates pallidal neuronal activity in the awake monkey</t>
  </si>
  <si>
    <t xml:space="preserve">Kita et al., 2007</t>
  </si>
  <si>
    <t xml:space="preserve">Prefrontal and agranular cingulate projections to the dorsal premotor areas F2 and F7 in the macaque monkey</t>
  </si>
  <si>
    <t xml:space="preserve">Luppino et al., 2003</t>
  </si>
  <si>
    <t xml:space="preserve">Sham TMS: intracerebral measurement of the induced electrical field and the induction of motor-evoked potentials</t>
  </si>
  <si>
    <t xml:space="preserve">Lisanby et al., 2001</t>
  </si>
  <si>
    <t xml:space="preserve">Effects of reversible inactivation by cooling of the primate face motor cortex on the performance of a trained tongue-protrusion task and a trained biting task</t>
  </si>
  <si>
    <t xml:space="preserve">Murray et al., 1991</t>
  </si>
  <si>
    <t xml:space="preserve">cooling</t>
  </si>
  <si>
    <t xml:space="preserve">Detection thresholds for stimuli in humans and monkeys: comparison with threshold events in mechanoreceptive afferent nerve fibers innervating the monkey hand</t>
  </si>
  <si>
    <t xml:space="preserve">Mountcastle et al., 1972</t>
  </si>
  <si>
    <t xml:space="preserve">Fos expression in the midbrain periaqueductal grey after trigeminovascular stimulation</t>
  </si>
  <si>
    <t xml:space="preserve">Hoskin et al., 2001</t>
  </si>
  <si>
    <t xml:space="preserve">Brainstem auditory pathway degeneration associated with chronic cochlear implants in the monkey</t>
  </si>
  <si>
    <t xml:space="preserve">Miller et al., 1986</t>
  </si>
  <si>
    <t xml:space="preserve">Neuronal responses in sensorimotor cortex to ramp displacements and maintained positions imposed on hindlimb of the unanesthetized monkey</t>
  </si>
  <si>
    <t xml:space="preserve">Raphe magnus inhibition of primate T1-T4 spinothalamic cells with cardiopulmonary visceral input</t>
  </si>
  <si>
    <t xml:space="preserve">Ammons et al., 1984</t>
  </si>
  <si>
    <t xml:space="preserve">The prefrontal cortico-oculomotor trajectories in the monkey</t>
  </si>
  <si>
    <t xml:space="preserve">Leichnetz, 1981</t>
  </si>
  <si>
    <t xml:space="preserve">Spatial frequency tuning of single units in macaque supragranular striate cortex</t>
  </si>
  <si>
    <t xml:space="preserve">Born &amp; Tootell, 1991</t>
  </si>
  <si>
    <t xml:space="preserve">Viral-Mediated Optogenetic Stimulation of Peripheral Motor Nerves in Non-human Primates</t>
  </si>
  <si>
    <t xml:space="preserve">Williams et al., 2019</t>
  </si>
  <si>
    <t xml:space="preserve">Vestibular nerve projection to the cerebral cortex of the rhesus monkey</t>
  </si>
  <si>
    <t xml:space="preserve">Frederickson et al., 1966</t>
  </si>
  <si>
    <t xml:space="preserve">Input-output organization of the rostral part of the dorsal premotor cortex, with special reference to its corticostriatal projection</t>
  </si>
  <si>
    <t xml:space="preserve">Tachibana et al., 2004</t>
  </si>
  <si>
    <t xml:space="preserve">Cardiovascular-respiratory reflex interactions between carotid bodies and upper-airways receptors in the monkey</t>
  </si>
  <si>
    <t xml:space="preserve">Daly et al., 1978</t>
  </si>
  <si>
    <t xml:space="preserve">Influence of the predicted time of stimuli eliciting movements on responses of tonically active neurons in the monkey striatum</t>
  </si>
  <si>
    <t xml:space="preserve">Sardo et al., 2000</t>
  </si>
  <si>
    <t xml:space="preserve">Focal electrically administered seizure therapy: a novel form of ECT illustrates the roles of current directionality, polarity, and electrode configuration in seizure induction</t>
  </si>
  <si>
    <t xml:space="preserve">Spellman et al., 2009</t>
  </si>
  <si>
    <t xml:space="preserve">Spatial extent of coherent sensory-evoked cortical activity</t>
  </si>
  <si>
    <t xml:space="preserve">Lu &amp; Williamson, 1991</t>
  </si>
  <si>
    <t xml:space="preserve">Communication among primates</t>
  </si>
  <si>
    <t xml:space="preserve">Peters &amp; Ploog, 1973</t>
  </si>
  <si>
    <t xml:space="preserve">Mossy fibre and climbing fibre responses produced in the cerebeller cortex by stimulation of the cerebral cortex in monkeys</t>
  </si>
  <si>
    <t xml:space="preserve">Sasaki et al., 1977</t>
  </si>
  <si>
    <t xml:space="preserve">Contribution of GABA(A) receptors containing α3 subunits to the therapeutic-related and side effects of benzodiazepine-type drugs in monkeys</t>
  </si>
  <si>
    <t xml:space="preserve">Fischer et al., 2011</t>
  </si>
  <si>
    <t xml:space="preserve">Reinforcing and discriminative stimulus effects of RTI 111, a 3-phenyltropane analog, in rhesus monkeys: interaction with methamphetamine</t>
  </si>
  <si>
    <t xml:space="preserve">Ranaldi et al., 2000</t>
  </si>
  <si>
    <t xml:space="preserve">[Analysis of a "movement epilepsy" bearing a rolandic focus in a monkey]</t>
  </si>
  <si>
    <t xml:space="preserve">Chauvel &amp; Lamarche, 1975</t>
  </si>
  <si>
    <t xml:space="preserve">Far-field potentials as a method of monitoring acute and chronic spinal cord injury</t>
  </si>
  <si>
    <t xml:space="preserve">Simpson et al., 1983</t>
  </si>
  <si>
    <t xml:space="preserve">Retrograde amnestic effects of inferotemporal and amygdaloid seizures upon conditioned suppression of lever-pressing in monkeys</t>
  </si>
  <si>
    <t xml:space="preserve">Levine et al., 1970</t>
  </si>
  <si>
    <t xml:space="preserve">IT, amygdala</t>
  </si>
  <si>
    <t xml:space="preserve">[Reticulospinal and vestibulospinal synaptic effects on monkey lumbar motor neurons]</t>
  </si>
  <si>
    <t xml:space="preserve">Shapovalov et al., 1971</t>
  </si>
  <si>
    <t xml:space="preserve">Structure and connections of the rhesus vestibular cortex</t>
  </si>
  <si>
    <t xml:space="preserve">Schwartz et al., 1973</t>
  </si>
  <si>
    <t xml:space="preserve">The oscillatory waves of the primate electroretinogram</t>
  </si>
  <si>
    <t xml:space="preserve">Ogden, 1973</t>
  </si>
  <si>
    <t xml:space="preserve">Phencyclidine action on neural mechanisms of somesthesis</t>
  </si>
  <si>
    <t xml:space="preserve">Roppolo et al., 1973</t>
  </si>
  <si>
    <t xml:space="preserve">Transcutaneous electrical stimulation of the recurrent laryngeal nerve in monkeys</t>
  </si>
  <si>
    <t xml:space="preserve">Sanders et al., 1987</t>
  </si>
  <si>
    <t xml:space="preserve">Mechanism of neurally induced monkey mesenteric artery relaxation and contraction</t>
  </si>
  <si>
    <t xml:space="preserve">Toda &amp; Okamura, 1992</t>
  </si>
  <si>
    <t xml:space="preserve">Removing the superior colliculus silences eye movements normally evoked from stimulation of the parietal and occipital eye fields</t>
  </si>
  <si>
    <t xml:space="preserve">Keating et al., 1983</t>
  </si>
  <si>
    <t xml:space="preserve">High-frequency SEP components generated in the somatosensory cortex of the monkey</t>
  </si>
  <si>
    <t xml:space="preserve">Shimazu et al., 2000</t>
  </si>
  <si>
    <t xml:space="preserve">Experimental acute balloon compression of the spinal cord. Factors affecting disappearance and return of the spinal evoked response</t>
  </si>
  <si>
    <t xml:space="preserve">Kobrine et al., 1979</t>
  </si>
  <si>
    <t xml:space="preserve">The primate amygdala mediates acute fear but not the behavioral and physiological components of anxious temperament</t>
  </si>
  <si>
    <t xml:space="preserve">Kalin et al., 2001</t>
  </si>
  <si>
    <t xml:space="preserve">Primary somatosensory cortical neuronal activity during monkey's detection of perceived change in tooth-pulp stimulus intensity</t>
  </si>
  <si>
    <t xml:space="preserve">Iwata et al., 1998</t>
  </si>
  <si>
    <t xml:space="preserve">Effects of stimulation in nucleus reticularis gigantocellularis on the activity of spinothalamic tract neurons in the monkey</t>
  </si>
  <si>
    <t xml:space="preserve">Haber et al., 1978</t>
  </si>
  <si>
    <t xml:space="preserve">Pathways in medulla oblongata of monkeys mediating splanchnic nerve activity. Electrophysiological and anatomical evidence</t>
  </si>
  <si>
    <t xml:space="preserve">Nathan, 1972</t>
  </si>
  <si>
    <t xml:space="preserve">Effects of motor training on the recovery of manual dexterity after primary motor cortex lesion in macaque monkeys</t>
  </si>
  <si>
    <t xml:space="preserve">Murata et al., 2008</t>
  </si>
  <si>
    <t xml:space="preserve">Beating neonatal rat cardiomyocytes as a model to study the role of xenoreactive natural antibodies in xenotransplantation</t>
  </si>
  <si>
    <t xml:space="preserve">Muller-Werdan et al., 1994</t>
  </si>
  <si>
    <t xml:space="preserve">Peripheral nerve fiber and spinal cord pathway contributions to the somatosensory evoked potential</t>
  </si>
  <si>
    <t xml:space="preserve">Simpson et al., 1981</t>
  </si>
  <si>
    <t xml:space="preserve">Cortical point-spread function and long-range lateral interactions revealed by real-time optical imaging of macaque monkey primary visual cortex</t>
  </si>
  <si>
    <t xml:space="preserve">Grinvald et al., 1994</t>
  </si>
  <si>
    <t xml:space="preserve">EEG correlates of impaired attention performance under secobarbital and chlorpromazine in the monkey</t>
  </si>
  <si>
    <t xml:space="preserve">Mirsky et al., 1975</t>
  </si>
  <si>
    <t xml:space="preserve">Neural Mechanisms Underlying High-Frequency Vestibulocollic Reflexes In Humans And Monkeys</t>
  </si>
  <si>
    <t xml:space="preserve">Forbes et al., 2020</t>
  </si>
  <si>
    <t xml:space="preserve">Prejunctional alpha adrenoceptor and angiotensin receptor function in isolated human, monkey and dog arteries</t>
  </si>
  <si>
    <t xml:space="preserve">Toda et al., 1988</t>
  </si>
  <si>
    <t xml:space="preserve">Subthalamic nucleus and globus pallidus interna influence firing of tonically active neurons in the primate striatum through different mechanisms</t>
  </si>
  <si>
    <t xml:space="preserve">Nakajima et al., 2017</t>
  </si>
  <si>
    <t xml:space="preserve">Anterior thalamic nuclei deep brain stimulation inhibits mossy fiber sprouting via 3',5'-cyclic adenosine monophosphate/protein kinase A signaling pathway in a chronic epileptic monkey model</t>
  </si>
  <si>
    <t xml:space="preserve">Spatial organization of the peripheral input to area 1 cell columns. I. The detection of 'segregates'</t>
  </si>
  <si>
    <t xml:space="preserve">Favorov &amp; Whitsel, 1988</t>
  </si>
  <si>
    <t xml:space="preserve">Design and application of a multimodality-compatible 1Tx/6Rx RF coil for monkey brain MRI at 7T</t>
  </si>
  <si>
    <t xml:space="preserve">Qu et al., 2023</t>
  </si>
  <si>
    <t xml:space="preserve">Cardiac responses to stimulation of thoracic afferents in the primate and canine</t>
  </si>
  <si>
    <t xml:space="preserve">Kostreva et al., 1976</t>
  </si>
  <si>
    <t xml:space="preserve">Forelimb movements and muscle responses evoked by microstimulation of cervical spinal cord in sedated monkeys</t>
  </si>
  <si>
    <t xml:space="preserve">Moritz et al., 2007</t>
  </si>
  <si>
    <t xml:space="preserve">Spinal cord evaluation by cortical evoked responses</t>
  </si>
  <si>
    <t xml:space="preserve">Cusick et al., 1979</t>
  </si>
  <si>
    <t xml:space="preserve">Comparative study of viscerosomatic input onto postsynaptic dorsal column and spinothalamic tract neurons in the primate</t>
  </si>
  <si>
    <t xml:space="preserve">Al-Chaer et al., 1999</t>
  </si>
  <si>
    <t xml:space="preserve">Responses to perivascular nerve stimulation of distal temporal arteries from dogs and monkeys</t>
  </si>
  <si>
    <t xml:space="preserve">Toda &amp; Okamura, 1993</t>
  </si>
  <si>
    <t xml:space="preserve">Task-dependent modulation of primary afferent depolarization in cervical spinal cord of monkeys performing an instructed delay task</t>
  </si>
  <si>
    <t xml:space="preserve">Seki et al., 2009</t>
  </si>
  <si>
    <t xml:space="preserve">Spatial organization of the peripheral input to area 1 cell columns. II. The forelimb representation achieved by a mosaic of segregates</t>
  </si>
  <si>
    <t xml:space="preserve">Modification in activity of medullary respiratory-related neurons for vocalization and swallowing</t>
  </si>
  <si>
    <t xml:space="preserve">Larson et al., 1994</t>
  </si>
  <si>
    <t xml:space="preserve">Discharge patterns of lingual spindle afferent fibers in the hypoglossal nerve of the rhesus monkey</t>
  </si>
  <si>
    <t xml:space="preserve">Bowman &amp; Combs, 1968</t>
  </si>
  <si>
    <t xml:space="preserve">The thalamic projection of hypoglossal afferents in the Rhesus monkey</t>
  </si>
  <si>
    <t xml:space="preserve">Bowman &amp; Combs, 1969</t>
  </si>
  <si>
    <t xml:space="preserve">Allergen and ozone exacerbate serotonin-induced increases in airway smooth muscle contraction in a model of childhood asthma</t>
  </si>
  <si>
    <t xml:space="preserve">Moore et al., 2012</t>
  </si>
  <si>
    <t xml:space="preserve">A comparative study of the cardiovascular and biochemical actions of the imidazo [4,5b] pyridine sulmazole and an imidazo [4,5c] pyridine analogue, BW A746C</t>
  </si>
  <si>
    <t xml:space="preserve">Allan et al., 1988</t>
  </si>
  <si>
    <t xml:space="preserve">The role of the posterior vermis of monkey cerebellum in smooth-pursuit eye movement control. I. Eye and head movement-related activity</t>
  </si>
  <si>
    <t xml:space="preserve">Suzuki &amp; Keller, 1988</t>
  </si>
  <si>
    <t xml:space="preserve">A CMOS Neural Interface for a Multichannel Vestibular Prosthesis</t>
  </si>
  <si>
    <t xml:space="preserve">Hageman et al., 2016</t>
  </si>
  <si>
    <t xml:space="preserve">Neuroprotective Effects of Electrical Stimulation Following Ischemic Stroke in Non-Human Primates</t>
  </si>
  <si>
    <t xml:space="preserve">Zhou et al., 2022</t>
  </si>
  <si>
    <t xml:space="preserve">Synaptic actions of cutaneous A delta and C fibers on primate hindlimb alpha-motoneurons</t>
  </si>
  <si>
    <t xml:space="preserve">Hori et al., 1986</t>
  </si>
  <si>
    <t xml:space="preserve">Neurobiology of primate audio-vocal behavior</t>
  </si>
  <si>
    <t xml:space="preserve">Ploog, 1981</t>
  </si>
  <si>
    <t xml:space="preserve">Interneuronal epileptic discharges related to spike-and-wave cortical seizures in behaving monkeys</t>
  </si>
  <si>
    <t xml:space="preserve">Steriade, 1974</t>
  </si>
  <si>
    <t xml:space="preserve">Depressor responses to stimulation of sympathetic afferents in monkeys and dogs</t>
  </si>
  <si>
    <t xml:space="preserve">Kostreva et al., 1981</t>
  </si>
  <si>
    <t xml:space="preserve">Reward-Induced Phasic Dopamine Release in the Monkey Ventral Striatum and Putamen</t>
  </si>
  <si>
    <t xml:space="preserve">Yoshimi et al., 2015</t>
  </si>
  <si>
    <t xml:space="preserve">Effects of unilateral motor cortex lesion on ipsilesional hand's reach and grasp performance in monkeys: relationship with recovery in the contralesional hand</t>
  </si>
  <si>
    <t xml:space="preserve">Kaeser et al., 2010</t>
  </si>
  <si>
    <t xml:space="preserve">Persistence of serotonergic enhancement of airway response in a model of childhood asthma</t>
  </si>
  <si>
    <t xml:space="preserve">Moore et al., 2014</t>
  </si>
  <si>
    <t xml:space="preserve">Autonomic control and vascular changes during penile erection in monkeys</t>
  </si>
  <si>
    <t xml:space="preserve">Creed et al., 1988</t>
  </si>
  <si>
    <t xml:space="preserve">[Observation on sensory evoked potentials and motor control in monkeys before and after the damage of the cerebral sensorimotor region]</t>
  </si>
  <si>
    <t xml:space="preserve">Mechanisms underlying contraction and relaxation induced by nerve stimulation in monkey uterine arteries</t>
  </si>
  <si>
    <t xml:space="preserve">Okamura et al., 2000</t>
  </si>
  <si>
    <t xml:space="preserve">Direct current stimulation of titanium interbody fusion devices in primates</t>
  </si>
  <si>
    <t xml:space="preserve">Cook et al., 2004</t>
  </si>
  <si>
    <t xml:space="preserve">Organization of inputs from cingulate motor areas to basal ganglia in macaque monkey</t>
  </si>
  <si>
    <t xml:space="preserve">Takada et al., 2001</t>
  </si>
  <si>
    <t xml:space="preserve">Antidromic and orthodromic activation of epileptic neurons in neocortex of awake monkey</t>
  </si>
  <si>
    <t xml:space="preserve">Wyler et al., 1974</t>
  </si>
  <si>
    <t xml:space="preserve">Experimental evaluation of the urethral response to section of the spinal cord or cauda equina and to the electrostimulation of the bladder in non-human primates</t>
  </si>
  <si>
    <t xml:space="preserve">Murnaghan et al., 1980</t>
  </si>
  <si>
    <t xml:space="preserve">Effect of indomethacin on atropine-resistant transmission in rabbit and monkey urinary bladder: evidence for involvement of prostaglandins in transmission</t>
  </si>
  <si>
    <t xml:space="preserve">Johns &amp; Paton, 1977</t>
  </si>
  <si>
    <t xml:space="preserve">[Functional characteristics of the hippocampus in lower monkeys]</t>
  </si>
  <si>
    <t xml:space="preserve">Urmancheeva, 1972</t>
  </si>
  <si>
    <t xml:space="preserve">Operantly conditioned firing patterns of epileptic neurons in the monkey motor cortex</t>
  </si>
  <si>
    <t xml:space="preserve">Fetz &amp; Wyler, 1973</t>
  </si>
  <si>
    <t xml:space="preserve">Vestibular cortical area in the periarcuate cortex: its afferent and efferent projections</t>
  </si>
  <si>
    <t xml:space="preserve">Sugiuchi et al., 2005</t>
  </si>
  <si>
    <t xml:space="preserve">Neurophysiological effects of dorsal column stimulation in man and monkey</t>
  </si>
  <si>
    <t xml:space="preserve">Larson et al., 1974</t>
  </si>
  <si>
    <t xml:space="preserve">Termination zones of functionally characterized spinothalamic tract neurons within the primate posterior thalamus</t>
  </si>
  <si>
    <t xml:space="preserve">Davidson et al., 2008</t>
  </si>
  <si>
    <t xml:space="preserve">A novel monoquaternary neuromuscular blocking agent</t>
  </si>
  <si>
    <t xml:space="preserve">Bamford et al., 1972</t>
  </si>
  <si>
    <t xml:space="preserve">Long term effects of spinal cord lesions on the configuration of somatosensory evoked potentials. Part 1: Alterations in waveform characteristics</t>
  </si>
  <si>
    <t xml:space="preserve">Development of a model of status epilepticus in pigtailed macaque infant monkeys</t>
  </si>
  <si>
    <t xml:space="preserve">Gunderson et al., 1999</t>
  </si>
  <si>
    <t xml:space="preserve">Behavioral correlates of action potentials recorded chronically inside the Cone Electrode</t>
  </si>
  <si>
    <t xml:space="preserve">Kennedy et al., 1992</t>
  </si>
  <si>
    <t xml:space="preserve">Evidence for a role of the reticulospinal system in recovery of skilled reaching after cortical stroke: initial results from a model of ischemic cortical injury</t>
  </si>
  <si>
    <t xml:space="preserve">Herbert et al., 2015</t>
  </si>
  <si>
    <t xml:space="preserve">Acute behavioral and EEG effects of NW-1015 on electrically-induced afterdischarge in conscious monkeys</t>
  </si>
  <si>
    <t xml:space="preserve">Fariello et al., 2000</t>
  </si>
  <si>
    <t xml:space="preserve">Cerebello-rubrospinal effects on hindlimb motoneurons in the monkey</t>
  </si>
  <si>
    <t xml:space="preserve">Shapovalov et al., 1972</t>
  </si>
  <si>
    <t xml:space="preserve">Thalamocortical and intracortical connections of monkey cingulate motor areas</t>
  </si>
  <si>
    <t xml:space="preserve">Hatanaka et al., 2003</t>
  </si>
  <si>
    <t xml:space="preserve">Summated cortical evoked response testing in the deafferented primate</t>
  </si>
  <si>
    <t xml:space="preserve">Cohn et al., 1972</t>
  </si>
  <si>
    <t xml:space="preserve">Reconfiguring Motor Circuits for a Joint Manual and BCI Task</t>
  </si>
  <si>
    <t xml:space="preserve">Lansdell et al., 2020</t>
  </si>
  <si>
    <t xml:space="preserve">Cerebellar stimulation for the control of seizures</t>
  </si>
  <si>
    <t xml:space="preserve">Grabow et al., 1974</t>
  </si>
  <si>
    <t xml:space="preserve">Effects of peripherally and centrally administered serotonin on primate spinothalamic neurons</t>
  </si>
  <si>
    <t xml:space="preserve">Willis, 1981</t>
  </si>
  <si>
    <t xml:space="preserve">Effect of intraventricularly administered prostaglandin E1 on the electrical activity of cerebral cortex and behavior in the unanesthetized monkey</t>
  </si>
  <si>
    <t xml:space="preserve">Spinal anesthesia and electroerection in dogs and monkeys</t>
  </si>
  <si>
    <t xml:space="preserve">Mueller et al., 1989</t>
  </si>
  <si>
    <t xml:space="preserve">Hypercapnia relaxes cerebral arteries and potentiates neurally-induced relaxation</t>
  </si>
  <si>
    <t xml:space="preserve">Toda et al., 1996</t>
  </si>
  <si>
    <t xml:space="preserve">Soft, Implantable Bioelectronic Interfaces for Translational Research</t>
  </si>
  <si>
    <t xml:space="preserve">Schiavone et al., 2020</t>
  </si>
  <si>
    <t xml:space="preserve">Coding of envelopes by correlated but not single-neuron activity requires neural variability</t>
  </si>
  <si>
    <t xml:space="preserve">Metzen et al., 2015</t>
  </si>
  <si>
    <t xml:space="preserve">Vagal influence on colonic motor activity in conscious nonhuman primates</t>
  </si>
  <si>
    <t xml:space="preserve">Dapoigny et al., 1992</t>
  </si>
  <si>
    <t xml:space="preserve">Cerebellar responsiveness to stimulation of the lingual spindle afferent fibers in the hypoglossal nerve of the rhesus monkey</t>
  </si>
  <si>
    <t xml:space="preserve">Electrical stimulation and substance abuse treatment</t>
  </si>
  <si>
    <t xml:space="preserve">Jarzembski, 1985</t>
  </si>
  <si>
    <t xml:space="preserve">Functionally defined smooth and saccadic eye movement subregions in the frontal eye field of Cebus monkeys</t>
  </si>
  <si>
    <t xml:space="preserve">Tian &amp; Lynch, 1996</t>
  </si>
  <si>
    <t xml:space="preserve">Cebus monkey</t>
  </si>
  <si>
    <t xml:space="preserve">Anatomical characterisation of three different psychosurgical targets in the subthalamic area: from the basal ganglia to the limbic system</t>
  </si>
  <si>
    <t xml:space="preserve">des Neiges Santin et al., 2023</t>
  </si>
  <si>
    <t xml:space="preserve">The role of the cerebral peduncle in movements</t>
  </si>
  <si>
    <t xml:space="preserve">Walker, 1970</t>
  </si>
  <si>
    <t xml:space="preserve">Neuronal activity in the chronic and acute epileptogenic focus</t>
  </si>
  <si>
    <t xml:space="preserve">Glotzner et al., 1974</t>
  </si>
  <si>
    <t xml:space="preserve">Inhibition of von Willebrand factor-mediated platelet activation and thrombosis by the anti-von Willebrand factor A1-domain aptamer ARC1779</t>
  </si>
  <si>
    <t xml:space="preserve">Diener et al., 2009</t>
  </si>
  <si>
    <t xml:space="preserve">The effect of a preceding stimulus on temporal facilitation at corticomotoneuronal synapses</t>
  </si>
  <si>
    <t xml:space="preserve">Muir &amp; Porter, 1973</t>
  </si>
  <si>
    <t xml:space="preserve">Motoneuron properties after operantly conditioned increase in primate H-reflex</t>
  </si>
  <si>
    <t xml:space="preserve">Carp &amp; Wolpaw, 1995</t>
  </si>
  <si>
    <t xml:space="preserve">Inhibitory processes and interneuronal apparatus in motor cortex during sleep and waking. II. Recurrent and afferent inhibition of pyramidal tract neurons</t>
  </si>
  <si>
    <t xml:space="preserve">Steriade &amp; Deschenes, 1974</t>
  </si>
  <si>
    <t xml:space="preserve">Synaptic efficacy during repetitive activation of excitatory inputs in primate dorsolateral prefrontal cortex</t>
  </si>
  <si>
    <t xml:space="preserve">Gonzalez-Burgos et al., 2004</t>
  </si>
  <si>
    <t xml:space="preserve">The effects of serotonin antagonists on the inhibition of primate spinothalamic tract cells produced by stimulation in nucleus raphe magnus or periaqueductal gray</t>
  </si>
  <si>
    <t xml:space="preserve">Yezierski et al., 1982</t>
  </si>
  <si>
    <t xml:space="preserve">Relaxant responses to transmural stimulation and nicotine of dog and monkey cerebral arteries</t>
  </si>
  <si>
    <t xml:space="preserve">Toda, 1982</t>
  </si>
  <si>
    <t xml:space="preserve">The predictive value for performance speed of preparatory changes in neuronal activity of the monkey motor and premotor cortex</t>
  </si>
  <si>
    <t xml:space="preserve">Riehle &amp; Requin, 1993</t>
  </si>
  <si>
    <t xml:space="preserve">[Neuroendocrin basis of the sex behavior]</t>
  </si>
  <si>
    <t xml:space="preserve">Livrea, 1973</t>
  </si>
  <si>
    <t xml:space="preserve">Functional localization in the trigeminal root</t>
  </si>
  <si>
    <t xml:space="preserve">Pelletier et al., 1974</t>
  </si>
  <si>
    <t xml:space="preserve">ex vivo study</t>
  </si>
  <si>
    <t xml:space="preserve">Local gustatory functions associated with segmental organization of the anterior portion of cat's tongue</t>
  </si>
  <si>
    <t xml:space="preserve">Ishiko, 1974</t>
  </si>
  <si>
    <t xml:space="preserve">cat study</t>
  </si>
  <si>
    <t xml:space="preserve">Inhibition of nociceptive and nonnociceptive responses of primate spinothalamic cells by stimulation in medial brain stem</t>
  </si>
  <si>
    <t xml:space="preserve">Gerhart et al., 1981</t>
  </si>
  <si>
    <t xml:space="preserve">Motivation-related neuronal activity in the object discrimination task in monkey septal nuclei</t>
  </si>
  <si>
    <t xml:space="preserve">Nishijo et al., 1997</t>
  </si>
  <si>
    <t xml:space="preserve">septal nuclei</t>
  </si>
  <si>
    <t xml:space="preserve">Role of the pretectal nucleus of the optic tract in short-latency ocular following responses in monkeys</t>
  </si>
  <si>
    <t xml:space="preserve">Inoue et al., 2000</t>
  </si>
  <si>
    <t xml:space="preserve">The cortical visual area V6: brain location and visual topography</t>
  </si>
  <si>
    <t xml:space="preserve">Galletti et al., 1999</t>
  </si>
  <si>
    <t xml:space="preserve">V6</t>
  </si>
  <si>
    <t xml:space="preserve">Effects of reversible inactivation of the primate mesencephalic reticular formation. II. Hypometric vertical saccades</t>
  </si>
  <si>
    <t xml:space="preserve">Waitzman et al., 2000</t>
  </si>
  <si>
    <t xml:space="preserve">Inhibition of nitroxidergic nerve function by neurogenic acetylcholine in monkey cerebral arteries</t>
  </si>
  <si>
    <t xml:space="preserve">Toda et al., 1997</t>
  </si>
  <si>
    <t xml:space="preserve">Diurnal variation of ileum motility in monkey during different feeding and avoidance-conditioning schedules</t>
  </si>
  <si>
    <t xml:space="preserve">Lockard et al., 1972</t>
  </si>
  <si>
    <t xml:space="preserve">Discharge properties of Purkinje cells in the oculomotor vermis during visually guided saccades in the macaque monkey</t>
  </si>
  <si>
    <t xml:space="preserve">Ohtsuka &amp; Noda, 1995</t>
  </si>
  <si>
    <t xml:space="preserve">Functional arterial changes in chronic cerebrovasospasm in monkeys: an in vitro assessment of the contribution to arterial narrowing</t>
  </si>
  <si>
    <t xml:space="preserve">Bevan et al., 1987</t>
  </si>
  <si>
    <t xml:space="preserve">vasculature study</t>
  </si>
  <si>
    <t xml:space="preserve">Collection of semen from Macaques by electroejaculation</t>
  </si>
  <si>
    <t xml:space="preserve">Valerio et al., 1969</t>
  </si>
  <si>
    <t xml:space="preserve">Somatotopically arranged inputs from putamen and subthalamic nucleus to primary motor cortex</t>
  </si>
  <si>
    <t xml:space="preserve">Miyachi et al., 2006</t>
  </si>
  <si>
    <t xml:space="preserve">[The evolution of neuronal systems for suprasegmentary motor control (review)]</t>
  </si>
  <si>
    <t xml:space="preserve">Shapovalov, 1972</t>
  </si>
  <si>
    <t xml:space="preserve">On the possible functional role of afferent pathways in skin sensation</t>
  </si>
  <si>
    <t xml:space="preserve">Eidelberg et al., 1975</t>
  </si>
  <si>
    <t xml:space="preserve">Striking differences in transmission of corticospinal excitation to upper limb motoneurons in two primate species</t>
  </si>
  <si>
    <t xml:space="preserve">Nakajima et al., 2000</t>
  </si>
  <si>
    <t xml:space="preserve">High-dose ketamine hydrochloride maintains somatosensory and magnetic motor evoked potentials in primates</t>
  </si>
  <si>
    <t xml:space="preserve">Ghaly et al., 2001</t>
  </si>
  <si>
    <t xml:space="preserve">Foveal Retinal Ganglion Cells Develop Altered Calcium Dynamics Weeks After Photoreceptor Ablation</t>
  </si>
  <si>
    <t xml:space="preserve">Xu et al., 2024</t>
  </si>
  <si>
    <t xml:space="preserve">Olfactory input to the lateral hypothalamus of the old world monkey</t>
  </si>
  <si>
    <t xml:space="preserve">Tazawa et al., 1987</t>
  </si>
  <si>
    <t xml:space="preserve">OB</t>
  </si>
  <si>
    <t xml:space="preserve">Cerebellothalamocortical and pallidothalamocortical projections to the primary and supplementary motor cortical areas: a multiple tracing study in macaque monkeys</t>
  </si>
  <si>
    <t xml:space="preserve">Rouiller et al., 1994</t>
  </si>
  <si>
    <t xml:space="preserve">Sensory afferent projections and area 3b somatotopy following median nerve cut and repair in macaque monkeys</t>
  </si>
  <si>
    <t xml:space="preserve">Florence et al., 1994</t>
  </si>
  <si>
    <t xml:space="preserve">Cerebro-cerebellar interactions in nonhuman primates examined by optogenetic functional magnetic resonance imaging</t>
  </si>
  <si>
    <t xml:space="preserve">Goda et al., 2022</t>
  </si>
  <si>
    <t xml:space="preserve">Effects of reversible inactivation of the primate mesencephalic reticular formation. I. Hypermetric goal-directed saccades</t>
  </si>
  <si>
    <t xml:space="preserve">Correlation between muscular and nerve signals responsible for hand grasping in non-human primates</t>
  </si>
  <si>
    <t xml:space="preserve">Sheshradi et al., 2014</t>
  </si>
  <si>
    <t xml:space="preserve">A versatile toolbox for studying cortical physiology in primates</t>
  </si>
  <si>
    <t xml:space="preserve">Khateeb et al., 2022</t>
  </si>
  <si>
    <t xml:space="preserve">Effects of developmental methylmercury exposure or lifetime lead exposure on vibration sensitivity function in monkeys</t>
  </si>
  <si>
    <t xml:space="preserve">Rice &amp; Gilbert, 1995</t>
  </si>
  <si>
    <t xml:space="preserve">Imaging of intrinsic optical signals in primate cortex during epileptiform activity</t>
  </si>
  <si>
    <t xml:space="preserve">Haglund &amp; Hochman, 2007</t>
  </si>
  <si>
    <t xml:space="preserve">The distribution of trigeminovascular afferents in the nonhuman primate brain Macaca nemestrina: a c-fos immunocytochemical study</t>
  </si>
  <si>
    <t xml:space="preserve">Goadsby &amp; Hoskin, 1997</t>
  </si>
  <si>
    <t xml:space="preserve">Implanted cochlear prosthesis analogue in primates</t>
  </si>
  <si>
    <t xml:space="preserve">Balkany et al., 1980</t>
  </si>
  <si>
    <t xml:space="preserve">Compartment models for the electrical stimulation of retinal bipolar cells</t>
  </si>
  <si>
    <t xml:space="preserve">Rattay et al., 2018</t>
  </si>
  <si>
    <t xml:space="preserve">Brain excitability and behavioral reactivity in monkeys under meprobamate</t>
  </si>
  <si>
    <t xml:space="preserve">Delgado et al., 1971</t>
  </si>
  <si>
    <t xml:space="preserve">Integration of temporal order and object information in the monkey lateral prefrontal cortex</t>
  </si>
  <si>
    <t xml:space="preserve">Ninokura et al., 2004</t>
  </si>
  <si>
    <t xml:space="preserve">lPFC</t>
  </si>
  <si>
    <t xml:space="preserve">Encoding of direction and combination of movements by primate putamen neurons</t>
  </si>
  <si>
    <t xml:space="preserve">Ueda &amp; Kimura, 2003</t>
  </si>
  <si>
    <t xml:space="preserve">Neurophysiological assessment of afferent and efferent conduction in the injured spinal cord of monkeys</t>
  </si>
  <si>
    <t xml:space="preserve">Deecke &amp; Tator, 1973</t>
  </si>
  <si>
    <t xml:space="preserve">Neuronal mechanisms of selectivity for object features revealed by blocking inhibition in inferotemporal cortex</t>
  </si>
  <si>
    <t xml:space="preserve">Wang et al., 2000</t>
  </si>
  <si>
    <t xml:space="preserve">Inhibitory receptive fields of primate spinothalamic tract cells</t>
  </si>
  <si>
    <t xml:space="preserve">The origin of thalamic inputs to the "hand" representation in the primary motor cortex</t>
  </si>
  <si>
    <t xml:space="preserve">Holsapple et al., 1991</t>
  </si>
  <si>
    <t xml:space="preserve">A possible role of midbrain dopamine neurons in short- and long-term adaptation of saccades to position-reward mapping</t>
  </si>
  <si>
    <t xml:space="preserve">Takikawa et al., 2004</t>
  </si>
  <si>
    <t xml:space="preserve">Role of the dorsolateral pontine nucleus in two components of optokinetic nystagmus (OKN)</t>
  </si>
  <si>
    <t xml:space="preserve">Kato et al., 1993</t>
  </si>
  <si>
    <t xml:space="preserve">The effect of cerebellar stimulation on focal seizure activity and spasticity in monkeys</t>
  </si>
  <si>
    <t xml:space="preserve">Hemmy et al., 1977</t>
  </si>
  <si>
    <t xml:space="preserve">Effect of intracranial stimulation of the oculomotor nerve on ocular blood flow in the monkey, cat, and rabbit</t>
  </si>
  <si>
    <t xml:space="preserve">Stjernschantz &amp; Bill, 1979</t>
  </si>
  <si>
    <t xml:space="preserve">Evidence for somatosensory evoked responses in human temporal lobe</t>
  </si>
  <si>
    <t xml:space="preserve">Tesche, 2000</t>
  </si>
  <si>
    <t xml:space="preserve">Properties of LTP induction in the CA3 region of the primate hippocampus</t>
  </si>
  <si>
    <t xml:space="preserve">Urban et al., 1996</t>
  </si>
  <si>
    <t xml:space="preserve">Classification of primate spinothalamic and somatosensory thalamic neurons based on cluster analysis</t>
  </si>
  <si>
    <t xml:space="preserve">Activity of pars reticulata neurons of monkey substantia nigra in relation to motor, sensory, and complex events</t>
  </si>
  <si>
    <t xml:space="preserve">Schultz, 1986</t>
  </si>
  <si>
    <t xml:space="preserve">The in vitro chronotropic and inotropic effects of vasoactive intestinal peptide (VIP) on the atria and ventricular papillary muscle from Cynomolgus monkey heart</t>
  </si>
  <si>
    <t xml:space="preserve">De Neef et al., 1984</t>
  </si>
  <si>
    <t xml:space="preserve">Contrasting properties of monkey somatosensory and motor cortex neurons activated during the control of force in precision grip</t>
  </si>
  <si>
    <t xml:space="preserve">Wannier et al., 1991</t>
  </si>
  <si>
    <t xml:space="preserve">Neuronal activity in the monkey motor thalamus during bicuculline-induced dystonia</t>
  </si>
  <si>
    <t xml:space="preserve">Macia et al., 2002</t>
  </si>
  <si>
    <t xml:space="preserve">Excretion of nicotine and its metabolites in dog and monkey saliva</t>
  </si>
  <si>
    <t xml:space="preserve">Tsujimoto et al., 1972</t>
  </si>
  <si>
    <t xml:space="preserve">Spinothalamic tract neurons that project to medial and/or lateral thalamic nuclei: evidence for a physiologically novel population of spinal cord neurons</t>
  </si>
  <si>
    <t xml:space="preserve">The alleged dopamine D1 receptor agonist SKF 83959 is a dopamine D1 receptor antagonist in primate cells and interacts with other receptors</t>
  </si>
  <si>
    <t xml:space="preserve">Andringa et al., 1999</t>
  </si>
  <si>
    <t xml:space="preserve">The role of NMDA and non-NMDA excitatory amino acid receptors in the excitation of primate spinothalamic tract neurons by mechanical, chemical, thermal, and electrical stimuli</t>
  </si>
  <si>
    <t xml:space="preserve">Dougherty et al., 1992</t>
  </si>
  <si>
    <t xml:space="preserve">Reduced cortical innervation of the subthalamic nucleus in MPTP-treated parkinsonian monkeys</t>
  </si>
  <si>
    <t xml:space="preserve">Mathai et al., 2015</t>
  </si>
  <si>
    <t xml:space="preserve">Operant conditioning of the primate H-reflex: factors affecting the magnitude of change</t>
  </si>
  <si>
    <t xml:space="preserve">Wolpaw et al., 1993</t>
  </si>
  <si>
    <t xml:space="preserve">Tizanidine-induced depression of polysynaptic cutaneous reflexes in nonanesthetized monkeys is mediated by an alpha 2-adrenergic mechanism</t>
  </si>
  <si>
    <t xml:space="preserve">Corboz et al., 1991</t>
  </si>
  <si>
    <t xml:space="preserve">Monkey central retinal artery is innervated by nitroxidergic vasodilator nerves</t>
  </si>
  <si>
    <t xml:space="preserve">Discriminative stimulus effects of 1-(2,5-dimethoxy-4-methylphenyl)-2-aminopropane in rhesus monkeys: antagonism and apparent pA2 analyses</t>
  </si>
  <si>
    <t xml:space="preserve">Li et al., 2009</t>
  </si>
  <si>
    <t xml:space="preserve">Effects of a pre-aversive stimulus upon oddity performance in monkeys</t>
  </si>
  <si>
    <t xml:space="preserve">Kruper, 1968</t>
  </si>
  <si>
    <t xml:space="preserve">[Development of a minimally invasive retinal implant system]</t>
  </si>
  <si>
    <t xml:space="preserve">Gerding, 2008</t>
  </si>
  <si>
    <t xml:space="preserve">Role of ionotropic glutamatergic and GABAergic inputs on the firing activity of neurons in the external pallidum in awake monkeys</t>
  </si>
  <si>
    <t xml:space="preserve">Kita et al., 2004</t>
  </si>
  <si>
    <t xml:space="preserve">Ascending projections of the cerebellar fastigial nucleus to the hippocampus, amygdala, and other temporal lobe sites: evoked potential and histological studies in monkeys and cats</t>
  </si>
  <si>
    <t xml:space="preserve">Heath &amp; Harper, 1974</t>
  </si>
  <si>
    <t xml:space="preserve">Inhibition of primate spinothalamic tract neurons by stimulation in ventral posterior lateral (VPLc) thalamic nucleus: possible mechanisms</t>
  </si>
  <si>
    <t xml:space="preserve">Gerhart et al., 1983</t>
  </si>
  <si>
    <t xml:space="preserve">Recurrent excitation of granule cells with basal dendrites and low interneuron density and inhibitory postsynaptic current frequency in the dentate gyrus of macaque monkeys</t>
  </si>
  <si>
    <t xml:space="preserve">Austin &amp; Buckmaster, 2004</t>
  </si>
  <si>
    <t xml:space="preserve">Neuronal activity in the primate supplementary motor area and the primary motor cortex in relation to spatio-temporal bimanual coordination</t>
  </si>
  <si>
    <t xml:space="preserve">Kermadi et al., 1998</t>
  </si>
  <si>
    <t xml:space="preserve">Natural groupings of primate spinothalamic neurons based on cutaneous stimulation. Physiological and anatomical features</t>
  </si>
  <si>
    <t xml:space="preserve">Surmeier et al., 1988</t>
  </si>
  <si>
    <t xml:space="preserve">MRI Compatible, Customizable, and 3D-Printable Microdrive for Neuroscience Research</t>
  </si>
  <si>
    <t xml:space="preserve">Baeg et al., 2021</t>
  </si>
  <si>
    <t xml:space="preserve">Attenuation of the early anterior negativity of median nerve somatosensory evoked potential in the MPTP-treated monkey</t>
  </si>
  <si>
    <t xml:space="preserve">Onofrj et al., 1990</t>
  </si>
  <si>
    <t xml:space="preserve">Extent of the ipsilateral representation in the ventral posterior medial nucleus of the monkey thalamus</t>
  </si>
  <si>
    <t xml:space="preserve">Jones et al., 1986</t>
  </si>
  <si>
    <t xml:space="preserve">Organization of the posterior parietal cortex in galagos: I. Functional zones identified by microstimulation</t>
  </si>
  <si>
    <t xml:space="preserve">Stepniewska et al., 2009</t>
  </si>
  <si>
    <t xml:space="preserve">[Comparative study of afferences and efferences in the somatic and motor cortex of waking macaques]</t>
  </si>
  <si>
    <t xml:space="preserve">Albe-Fessard et al., 1968</t>
  </si>
  <si>
    <t xml:space="preserve">Responses of primate spinothalamic tract neurons to renal pelvic distension</t>
  </si>
  <si>
    <t xml:space="preserve">Cooling-specific spinothalamic neurons in the monkey</t>
  </si>
  <si>
    <t xml:space="preserve">Dostrovsky &amp; Craig, 1996</t>
  </si>
  <si>
    <t xml:space="preserve">Factors influencing peripheral nerve stimulation produced inhibition of primate spinothalamic tract cells</t>
  </si>
  <si>
    <t xml:space="preserve">Increased concentrations of acidic metabolites of dopamine in the superior cervical ganglion following preganglionic stimulation in vivo</t>
  </si>
  <si>
    <t xml:space="preserve">Pearson &amp; Sharman, 1974</t>
  </si>
  <si>
    <t xml:space="preserve">Avoidance responding as a function of stimulus duration and relation to free shock</t>
  </si>
  <si>
    <t xml:space="preserve">Shimoff, 1972</t>
  </si>
  <si>
    <t xml:space="preserve">Functional organization of primate visual cortex revealed by high resolution optical imaging</t>
  </si>
  <si>
    <t xml:space="preserve">Ts'o et al., 1990</t>
  </si>
  <si>
    <t xml:space="preserve">Punishment of oral-genital self-stimulation in young rhesus monkeys</t>
  </si>
  <si>
    <t xml:space="preserve">Stoffer et al., 1973</t>
  </si>
  <si>
    <t xml:space="preserve">A Fine-Scale and Minimally Invasive Marking Method for Use with Conventional Tungsten Microelectrodes</t>
  </si>
  <si>
    <t xml:space="preserve">Oikawa et al., 2023</t>
  </si>
  <si>
    <t xml:space="preserve">A mechanism of cardiac pain suppression by spinal cord stimulation: implications for patients with angina pectoris</t>
  </si>
  <si>
    <t xml:space="preserve">Chandler et al., 1993</t>
  </si>
  <si>
    <t xml:space="preserve">Development of a novel gripping test for the evaluation of the finger fine motor ability in MPTP-treated monkeys</t>
  </si>
  <si>
    <t xml:space="preserve">Kobayashi et al., 2020</t>
  </si>
  <si>
    <t xml:space="preserve">Temporal-frequency selectivity in monkey visual cortex</t>
  </si>
  <si>
    <t xml:space="preserve">Hawken et al., 1996</t>
  </si>
  <si>
    <t xml:space="preserve">V1, LGN</t>
  </si>
  <si>
    <t xml:space="preserve">Signal frequency and shock probability as determinants of prolonged vigilance performance in rhesus monkeys</t>
  </si>
  <si>
    <t xml:space="preserve">Krasnegor &amp; Brady, 1972</t>
  </si>
  <si>
    <t xml:space="preserve">Nitric oxide-mediated neurogenic vasodilatation in isolated monkey lingual arteries</t>
  </si>
  <si>
    <t xml:space="preserve">Stability of rapidly adapting afferent entrainment vs responsivity</t>
  </si>
  <si>
    <t xml:space="preserve">Whitsel et al., 2000</t>
  </si>
  <si>
    <t xml:space="preserve">Neural changes in acute arthritis in monkeys. I. Parallel enhancement of responses of spinothalamic tract neurons to mechanical stimulation and excitatory amino acids</t>
  </si>
  <si>
    <t xml:space="preserve">The organization of prefrontal-subthalamic inputs in primates provides an anatomical substrate for both functional specificity and integration: implications for Basal Ganglia models and deep brain stimulation</t>
  </si>
  <si>
    <t xml:space="preserve">Haynes &amp; Haber, 2013</t>
  </si>
  <si>
    <t xml:space="preserve">Balance of increases and decreases in firing rate of the spontaneous activity of basal ganglia high-frequency discharge neurons</t>
  </si>
  <si>
    <t xml:space="preserve">Elias et al., 2008</t>
  </si>
  <si>
    <t xml:space="preserve">Etomidate dose-response on somatosensory and transcranial magnetic induced spinal motor evoked potentials in primates</t>
  </si>
  <si>
    <t xml:space="preserve">Vagal afferent modulation of nociception</t>
  </si>
  <si>
    <t xml:space="preserve">Randich &amp; Gebhart, 1992</t>
  </si>
  <si>
    <t xml:space="preserve">Stimulation of the middle meningeal artery leads to Fos expression in the trigeminocervical nucleus: a comparative study of monkey and cat</t>
  </si>
  <si>
    <t xml:space="preserve">Hoskin et al., 1999</t>
  </si>
  <si>
    <t xml:space="preserve">Inhibition by calmodulin antagonists of the neurogenic relaxation in cerebral arteries</t>
  </si>
  <si>
    <t xml:space="preserve">Okamura &amp; Toda, 1994</t>
  </si>
  <si>
    <t xml:space="preserve">Task-related variation in corticospinal output evoked by transcranial magnetic stimulation in the macaque monkey</t>
  </si>
  <si>
    <t xml:space="preserve">Baker et al., 1995</t>
  </si>
  <si>
    <t xml:space="preserve">A Novel Retrograde AAV Variant for Functional Manipulation of Cortical Projection Neurons in Mice and Monkeys</t>
  </si>
  <si>
    <t xml:space="preserve">Chen et al., 2024</t>
  </si>
  <si>
    <t xml:space="preserve">Corticocortical connections predict patches of stimulus-evoked metabolic activity in monkey somatosensory cortex</t>
  </si>
  <si>
    <t xml:space="preserve">Juliano et al., 1990</t>
  </si>
  <si>
    <t xml:space="preserve">Functional interactions between the macaque dorsal and ventral visual pathways during three-dimensional object vision</t>
  </si>
  <si>
    <t xml:space="preserve">Janssen et al., 2018</t>
  </si>
  <si>
    <t xml:space="preserve">Excitatory cortical inputs to pallidal neurons via the subthalamic nucleus in the monkey</t>
  </si>
  <si>
    <t xml:space="preserve">Nambu et al., 2000</t>
  </si>
  <si>
    <t xml:space="preserve">Influence of renal sympathetic nerve stimulation on renal function in the primate</t>
  </si>
  <si>
    <t xml:space="preserve">Echtenkamp &amp; Dandridge, 1989</t>
  </si>
  <si>
    <t xml:space="preserve">Comparative modeling of transcranial magnetic and electric stimulation in mouse, monkey, and human</t>
  </si>
  <si>
    <t xml:space="preserve">P300-like potentials in the normal monkey using classical conditioning and an auditory 'oddball' paradigm</t>
  </si>
  <si>
    <t xml:space="preserve">Glover et al., 1986</t>
  </si>
  <si>
    <t xml:space="preserve">recordings (EEG)</t>
  </si>
  <si>
    <t xml:space="preserve">Effects of sympathetic nerves on collateral vessels in the limb of atherosclerotic primates</t>
  </si>
  <si>
    <t xml:space="preserve">Lopez et al., 1991</t>
  </si>
  <si>
    <t xml:space="preserve">Shock thresholds of low- and high-protein-reared rhesus monkeys</t>
  </si>
  <si>
    <t xml:space="preserve">Wise &amp; Zimermann, 1973</t>
  </si>
  <si>
    <t xml:space="preserve">Operating ranges for cochlear implants</t>
  </si>
  <si>
    <t xml:space="preserve">Pfingst et al., 1980</t>
  </si>
  <si>
    <t xml:space="preserve">Optical imaging reveals functional domains in primate sensorimotor cortex</t>
  </si>
  <si>
    <t xml:space="preserve">Friedman et al., 2020</t>
  </si>
  <si>
    <t xml:space="preserve">Monkey hippocampal neuron responses to complex sensory stimulation during object discrimination</t>
  </si>
  <si>
    <t xml:space="preserve">Tamura et al., 1992</t>
  </si>
  <si>
    <t xml:space="preserve">amygdala, hippocampus</t>
  </si>
  <si>
    <t xml:space="preserve">A comparative analysis of enflurane anesthesia on primate motor and somatosensory evoked potentials</t>
  </si>
  <si>
    <t xml:space="preserve">Stone et al., 1992</t>
  </si>
  <si>
    <t xml:space="preserve">Electrophysiological monitoring of experimental allergic neuritis and experimental allergic encephalomyelitis</t>
  </si>
  <si>
    <t xml:space="preserve">Kraft &amp; Slimp, 1984</t>
  </si>
  <si>
    <t xml:space="preserve">Corticomotoneuronal contribution to the fractionation of muscle activity during precision grip in the monkey</t>
  </si>
  <si>
    <t xml:space="preserve">Bennett &amp; Lemon, 1996</t>
  </si>
  <si>
    <t xml:space="preserve">Release of glucagon, induced by stress</t>
  </si>
  <si>
    <t xml:space="preserve">Bloom et al., 1973</t>
  </si>
  <si>
    <t xml:space="preserve">Foveal RGCs develop altered calcium dynamics weeks after photoreceptor ablation</t>
  </si>
  <si>
    <t xml:space="preserve">Opponent-color responses in macaque extrageniculate visual pathways: the lateral pulvinar</t>
  </si>
  <si>
    <t xml:space="preserve">Felsten et al., 1983</t>
  </si>
  <si>
    <t xml:space="preserve">Relationship between internal resistance, stimulation voltage, and electroejaculation in the pigtail monkey (Macaca nemestrina): a preliminary report</t>
  </si>
  <si>
    <t xml:space="preserve">Gilman, 1969</t>
  </si>
  <si>
    <t xml:space="preserve">Central nervous system stimulation and cardiac ischemic changes in monkeys</t>
  </si>
  <si>
    <t xml:space="preserve">Melville et al., 1969</t>
  </si>
  <si>
    <t xml:space="preserve">Cone photoreceptor contributions to noise and correlations in the retinal output</t>
  </si>
  <si>
    <t xml:space="preserve">Ala-Laurila et al., 2011</t>
  </si>
  <si>
    <t xml:space="preserve">Representation of reaching and grasping in the monkey postcentral gyrus</t>
  </si>
  <si>
    <t xml:space="preserve">Iwamura &amp; Tanaka, 1996</t>
  </si>
  <si>
    <t xml:space="preserve">Hind limb somatosensory evoked potentials in the monkey: the effects of distal axonopathy</t>
  </si>
  <si>
    <t xml:space="preserve">Arezzo et al., 1982</t>
  </si>
  <si>
    <t xml:space="preserve">Alteration of classically conditioned heart rate by operant reinforcement in monkeys</t>
  </si>
  <si>
    <t xml:space="preserve">Ainslie &amp; Engel, 1974</t>
  </si>
  <si>
    <t xml:space="preserve">A further examination of effects of cortical stimulation on primate spinothalamic tract cells</t>
  </si>
  <si>
    <t xml:space="preserve">Yezierski et al., 1983</t>
  </si>
  <si>
    <t xml:space="preserve">A spatially embedded cortical connectome reveals complex transformations</t>
  </si>
  <si>
    <t xml:space="preserve">Hayashi et al., 2020</t>
  </si>
  <si>
    <t xml:space="preserve">Informative features of local field potential signals in primary visual cortex during natural image stimulation</t>
  </si>
  <si>
    <t xml:space="preserve">Seyedhosseini et al., 2015</t>
  </si>
  <si>
    <t xml:space="preserve">Drift in centrality of different brain regions in an anatomical neural network with Parkinson's disease: A view from complex network analysis</t>
  </si>
  <si>
    <t xml:space="preserve">Lei et al.,, 2015</t>
  </si>
  <si>
    <t xml:space="preserve">Reactions by differentially raised rhesus monkeys to noxious stimulation</t>
  </si>
  <si>
    <t xml:space="preserve">Lichstein &amp; Sackett, 1971</t>
  </si>
  <si>
    <t xml:space="preserve">Contrast-dependent phase sensitivity in V1 but not V2 of macaque visual cortex</t>
  </si>
  <si>
    <t xml:space="preserve">Cloherty &amp; Ibbotson, 2015</t>
  </si>
  <si>
    <t xml:space="preserve">Avoidance learning in phenylketonuric monkeys</t>
  </si>
  <si>
    <t xml:space="preserve">Chamowe &amp; Harlow, 1973</t>
  </si>
  <si>
    <t xml:space="preserve">Drinking as an avoidance response by the pigtail monkey (Macaca nemestrina)</t>
  </si>
  <si>
    <t xml:space="preserve">Kamback, 1973</t>
  </si>
  <si>
    <t xml:space="preserve">Use of tools by wild macaque monkeys in Singapore</t>
  </si>
  <si>
    <t xml:space="preserve">Delius, 1967</t>
  </si>
  <si>
    <t xml:space="preserve">primatology</t>
  </si>
  <si>
    <t xml:space="preserve">Microendoscopic calcium imaging of the primary visual cortex of behaving macaques</t>
  </si>
  <si>
    <t xml:space="preserve">Oguchi et al., 2021</t>
  </si>
  <si>
    <t xml:space="preserve">The effects of protein deprivation on dominance measured by shock avoidance competition and food competition</t>
  </si>
  <si>
    <t xml:space="preserve">Wise &amp; Zimmermann, 1973</t>
  </si>
  <si>
    <t xml:space="preserve">[Comparison of characteristics of currents exciting the pre-rolandic and post-rolandic cortex in macacos]</t>
  </si>
  <si>
    <t xml:space="preserve">Donaldson &amp; Albe-Fessard, 1970</t>
  </si>
  <si>
    <t xml:space="preserve">Central nervous system actions of some synthetic tetrahydrocannabinol derivatives</t>
  </si>
  <si>
    <t xml:space="preserve">Domino et al., 1971</t>
  </si>
  <si>
    <t xml:space="preserve">Blood pressure responses to long-term avoidance schedules in the restrained rhesus monkey</t>
  </si>
  <si>
    <t xml:space="preserve">Forsyth, 1969</t>
  </si>
  <si>
    <t xml:space="preserve">Encephalogenic cardiomyopathy after stimulation of the brain stem in monkeys</t>
  </si>
  <si>
    <t xml:space="preserve">Chen et al., 1974</t>
  </si>
  <si>
    <t xml:space="preserve">Similarity of cardiac CR forms in the rhesus monkey during several experimental procedures</t>
  </si>
  <si>
    <t xml:space="preserve">Snapper et al., 1969</t>
  </si>
  <si>
    <t xml:space="preserve">Corticocortical input to the smooth and saccadic eye movement subregions of the frontal eye field in Cebus monkeys</t>
  </si>
  <si>
    <t xml:space="preserve">cebus monkey</t>
  </si>
  <si>
    <t xml:space="preserve">Perseveration of cardiac-rate effects in the rhesus monkey following Pavlovian conditioning</t>
  </si>
  <si>
    <t xml:space="preserve">Pommerleau et al., 1969</t>
  </si>
  <si>
    <t xml:space="preserve">[Transcortical reflexes of proprioceptive origin and motor epilepsy (author's transl)]</t>
  </si>
  <si>
    <t xml:space="preserve">Gioanni et al., 1981</t>
  </si>
  <si>
    <t xml:space="preserve">The development of discriminated autonomic and instrumental responses during avoidance conditioning in the rhesus monkey</t>
  </si>
  <si>
    <t xml:space="preserve">Banks et al., 1966</t>
  </si>
  <si>
    <t xml:space="preserve">Effects of buspirone on conflict behavior of laboratory rats and monkeys</t>
  </si>
  <si>
    <t xml:space="preserve">Hartmann &amp; Geller, 1981</t>
  </si>
  <si>
    <t xml:space="preserve">Resuscitation of the monkey brain after 1 h complete ischemia. I. Physiological and morphological observations</t>
  </si>
  <si>
    <t xml:space="preserve">Hossmann &amp; Zimmermann, 1974</t>
  </si>
  <si>
    <t xml:space="preserve">Receptive field structure of H1 horizontal cells in macaque monkey retina</t>
  </si>
  <si>
    <t xml:space="preserve">Packer &amp; Dacey, 2002</t>
  </si>
  <si>
    <t xml:space="preserve">Distribution of calcitonin gene-related peptide in vertebrate neuromuscular junctions: relationship to the acetylcholine receptor</t>
  </si>
  <si>
    <t xml:space="preserve">Csillik et al., 1993</t>
  </si>
  <si>
    <t xml:space="preserve">Differential effect of halothane on motor evoked potentials elicited by transcranial electric or magnetic stimulation in the monkey</t>
  </si>
  <si>
    <t xml:space="preserve">Sloan &amp; Rogers, 2009</t>
  </si>
  <si>
    <t xml:space="preserve">Self-punishment for responding by monkeys during extinction of discriminated avoidance: effects of previous stimulus change reinforcement</t>
  </si>
  <si>
    <t xml:space="preserve">McGovern &amp; Haude, 1971</t>
  </si>
  <si>
    <t xml:space="preserve">The primate frontal eye field and the generation of saccadic eye movements: comparison of lesion and acute inactivation/activation studies</t>
  </si>
  <si>
    <t xml:space="preserve">Dias &amp; Segraves, 1996</t>
  </si>
  <si>
    <t xml:space="preserve">Red-shifted channelrhodopsin stimulation restores light responses in blind mice, macaque retina, and human retina</t>
  </si>
  <si>
    <t xml:space="preserve">Sengupta et al., 2016</t>
  </si>
  <si>
    <t xml:space="preserve">Retrograde analyses of spinothalamic projections in the macaque monkey: input to the ventral lateral nucleus</t>
  </si>
  <si>
    <t xml:space="preserve">Bud Graig, 2008</t>
  </si>
  <si>
    <t xml:space="preserve">Facial neurorrhaphy with autologous sural nerve graft using the CO2 laser in a primate model</t>
  </si>
  <si>
    <t xml:space="preserve">Lal et al., 1993</t>
  </si>
  <si>
    <t xml:space="preserve">Ratio of inhibited-to-activated pallidal neurons decreases dramatically during passive limb movement in the MPTP-treated monkey</t>
  </si>
  <si>
    <t xml:space="preserve">Boraud et al., 2000</t>
  </si>
  <si>
    <t xml:space="preserve">Glycine and GABAA antagonists reduce the inhibition of primate spinothalamic tract neurons produced by stimulation in periaqueductal gray</t>
  </si>
  <si>
    <t xml:space="preserve">Lin et al., 1994</t>
  </si>
  <si>
    <t xml:space="preserve">Involvement of nitroxidergic and noradrenergic nerves in the relaxation of dog and monkey temporal veins</t>
  </si>
  <si>
    <t xml:space="preserve">Toda et al., 1995</t>
  </si>
  <si>
    <t xml:space="preserve">The effect of electroconvulsive shock on a conditioned emotional response in the rhesus monkey</t>
  </si>
  <si>
    <t xml:space="preserve">Willi, 1969</t>
  </si>
  <si>
    <t xml:space="preserve">Injections of GABA and glutamate into the amygdalae of awake monkeys</t>
  </si>
  <si>
    <t xml:space="preserve">Observations on semen collection and quality in Macaques</t>
  </si>
  <si>
    <t xml:space="preserve">Van Pelt &amp; Keyser, 1970</t>
  </si>
  <si>
    <t xml:space="preserve">Decoding Pixel-Level Image Features From Two-Photon Calcium Signals of Macaque Visual Cortex</t>
  </si>
  <si>
    <t xml:space="preserve">Zhang et al., 2022</t>
  </si>
  <si>
    <t xml:space="preserve">Organization of somatic sensory mechanisms in the macaque cerebral cortex</t>
  </si>
  <si>
    <t xml:space="preserve">Eidelberg &amp; Jenkins, 1966</t>
  </si>
  <si>
    <t xml:space="preserve">Pathways for orofacial pain sensation in the trigeminal brain-stem nuclear complex of the Macaque monkey</t>
  </si>
  <si>
    <t xml:space="preserve">Young &amp; Perryman, 1984</t>
  </si>
  <si>
    <t xml:space="preserve">Visuo-frontal interactions during social learning in freely moving macaques</t>
  </si>
  <si>
    <t xml:space="preserve">Franch et al., 2024</t>
  </si>
  <si>
    <t xml:space="preserve">PFC, V1</t>
  </si>
  <si>
    <t xml:space="preserve">The nucleus for accommodation in the midbrain of the macaque</t>
  </si>
  <si>
    <t xml:space="preserve">Jampel &amp; Mindel, 1967</t>
  </si>
  <si>
    <t xml:space="preserve">Projections from the superior colliculus to a region of the central mesencephalic reticular formation (cMRF) associated with horizontal saccadic eye movements</t>
  </si>
  <si>
    <t xml:space="preserve">Cohen &amp; Buttner-Ennever, 1984</t>
  </si>
  <si>
    <t xml:space="preserve">Effects of biogenic amines on raphe-spinal tract cells</t>
  </si>
  <si>
    <t xml:space="preserve">Willcockson et al., 1983</t>
  </si>
  <si>
    <t xml:space="preserve">Self administration: positive and negative reinforcing properties of morphine antagonists in rhesus monkeys</t>
  </si>
  <si>
    <t xml:space="preserve">Hoffmeister &amp; Wuttke, 1973</t>
  </si>
  <si>
    <t xml:space="preserve">A thalamic nucleus specific for pain and temperature sensation</t>
  </si>
  <si>
    <t xml:space="preserve">Craig et al., 1994</t>
  </si>
  <si>
    <t xml:space="preserve">Dialytrode for long term intracerebral perfusion in awake monkeys</t>
  </si>
  <si>
    <t xml:space="preserve">Delgado et al., 1972</t>
  </si>
  <si>
    <t xml:space="preserve">The influence of single monkey cortico-motoneuronal cells at different levels of activity in target muscles</t>
  </si>
  <si>
    <t xml:space="preserve">Bennett &amp; Lemon, 1994</t>
  </si>
  <si>
    <t xml:space="preserve">Decoding and perturbing decision states in real time</t>
  </si>
  <si>
    <t xml:space="preserve">Peixoto et al., 2021</t>
  </si>
  <si>
    <t xml:space="preserve">Local field potential responses associated with perceptual filling-in at blind spot in macaque primary visual cortex</t>
  </si>
  <si>
    <t xml:space="preserve">Saito et al., 2023</t>
  </si>
  <si>
    <t xml:space="preserve">Cerebellar implant studies</t>
  </si>
  <si>
    <t xml:space="preserve">Larson et al., 1976</t>
  </si>
  <si>
    <t xml:space="preserve">Spatially patterned bi-electrode epiretinal stimulation for axon avoidance at cellular resolution</t>
  </si>
  <si>
    <t xml:space="preserve">Vilkhu et al., 2021</t>
  </si>
  <si>
    <t xml:space="preserve">Effects of modified chromophores on the spectral sensitivity of salamander, squirrel and macaque cones</t>
  </si>
  <si>
    <t xml:space="preserve">Malkino et al., 1990</t>
  </si>
  <si>
    <t xml:space="preserve">Role of monkey precentral cortex in control of voluntary jaw movements</t>
  </si>
  <si>
    <t xml:space="preserve">Luschei &amp; Goodwin, 1975</t>
  </si>
  <si>
    <t xml:space="preserve">A comparison between anterior and posterior spinal implant systems</t>
  </si>
  <si>
    <t xml:space="preserve">Larson et al., 1975</t>
  </si>
  <si>
    <t xml:space="preserve">The food reaching test: a sensitive test of behavioral improvements by deep brain stimulation in MPTP-treated monkey</t>
  </si>
  <si>
    <t xml:space="preserve">Asakawa et al., 2012</t>
  </si>
  <si>
    <t xml:space="preserve">Reorganization of primary afferent nerve terminals in the spinal dorsal horn of the primate caudal to anterolateral chordotomy</t>
  </si>
  <si>
    <t xml:space="preserve">Bullitt et al., 1988</t>
  </si>
  <si>
    <t xml:space="preserve">Dissociation of LFP Power and Tuning in the Frontal Cortex during Memory</t>
  </si>
  <si>
    <t xml:space="preserve">Holmes et al., 2018</t>
  </si>
  <si>
    <t xml:space="preserve">Top down attentional deficits in macaques with lesions of lateral prefrontal cortex</t>
  </si>
  <si>
    <t xml:space="preserve">Rossi et al., 2007</t>
  </si>
  <si>
    <t xml:space="preserve">A distinct population of heterogeneously color-tuned neurons in macaque visual cortex</t>
  </si>
  <si>
    <t xml:space="preserve">Nigam et al., 2021</t>
  </si>
  <si>
    <t xml:space="preserve">The function of the dream: a reappraisal</t>
  </si>
  <si>
    <t xml:space="preserve">Giora, 1972</t>
  </si>
  <si>
    <t xml:space="preserve">Neuroscience. Drums keep pounding a rhythm in the brain</t>
  </si>
  <si>
    <t xml:space="preserve">Stryker, 2001</t>
  </si>
  <si>
    <t xml:space="preserve">Nitric oxide-mediated spinal disinhibition contributes to the sensitization of primate spinothalamic tract neurons</t>
  </si>
  <si>
    <t xml:space="preserve">Lin et al., 1999</t>
  </si>
  <si>
    <t xml:space="preserve">Convolutional neural network models of V1 responses to complex patterns</t>
  </si>
  <si>
    <t xml:space="preserve">Zhang et al., 2019</t>
  </si>
  <si>
    <t xml:space="preserve">P3-like brain waves in normal monkeys and in monkeys with medial temporal lesions</t>
  </si>
  <si>
    <t xml:space="preserve">Paller et al., 1988</t>
  </si>
  <si>
    <t xml:space="preserve">SI neuron response variability is stimulus tuned and NMDA receptor dependent</t>
  </si>
  <si>
    <t xml:space="preserve">Whitsel et al., 1999</t>
  </si>
  <si>
    <t xml:space="preserve">Monkey corpus cavernosum relaxation mediated by NO and other relaxing factor derived from nerves</t>
  </si>
  <si>
    <t xml:space="preserve">Monkey median nerve repaired by nerve graft or collagen nerve guide tube</t>
  </si>
  <si>
    <t xml:space="preserve">Archibald et al., 1995</t>
  </si>
  <si>
    <t xml:space="preserve">Selective reduction by dopamine of excitatory synaptic inputs to pyramidal neurons in primate prefrontal cortex</t>
  </si>
  <si>
    <t xml:space="preserve">Urban et al., 2002</t>
  </si>
  <si>
    <t xml:space="preserve">View-Tolerant Face Recognition and Hebbian Learning Imply Mirror-Symmetric Neural Tuning to Head Orientation</t>
  </si>
  <si>
    <t xml:space="preserve">Leibo et al., 2017</t>
  </si>
  <si>
    <t xml:space="preserve">Premotor cortex and instrumental behavior in monkeys</t>
  </si>
  <si>
    <t xml:space="preserve">Delacour et al., 1972</t>
  </si>
  <si>
    <t xml:space="preserve">Laminar dependence of neuronal correlations in visual cortex</t>
  </si>
  <si>
    <t xml:space="preserve">Smith et al., 2013</t>
  </si>
  <si>
    <t xml:space="preserve">Manipulation of Subcortical and Deep Cortical Activity in the Primate Brain Using Transcranial Focused Ultrasound Stimulation</t>
  </si>
  <si>
    <t xml:space="preserve">Folloni et al., 2019</t>
  </si>
  <si>
    <t xml:space="preserve">Memory traces in primate spinal cord produced by operant conditioning of H-reflex</t>
  </si>
  <si>
    <t xml:space="preserve">Wolpaw &amp; Lee, 1989</t>
  </si>
  <si>
    <t xml:space="preserve">Cortical stimulation of the epileptogenic zone for the treatment of focal motor seizures: an experimental study in the nonhuman primate</t>
  </si>
  <si>
    <t xml:space="preserve">Blauwblomme et al., 2011</t>
  </si>
  <si>
    <t xml:space="preserve">Representations of the body surface in postcentral parietal cortex of Macaca fascicularis</t>
  </si>
  <si>
    <t xml:space="preserve">Nelson et al., 1980</t>
  </si>
  <si>
    <t xml:space="preserve">Does a C3-C4 propriospinal system transmit corticospinal excitation in the primate? An investigation in the macaque monkey</t>
  </si>
  <si>
    <t xml:space="preserve">Maier et al., 1998</t>
  </si>
  <si>
    <t xml:space="preserve">Effects of drug manipulations on anterior components of somatosensory evoked potentials in a parkinsonian animal model</t>
  </si>
  <si>
    <t xml:space="preserve">Onofrj et al., 1994</t>
  </si>
  <si>
    <t xml:space="preserve">Neuronal correlate of visual associative long-term memory in the primate temporal cortex</t>
  </si>
  <si>
    <t xml:space="preserve">Myashita, 1988</t>
  </si>
  <si>
    <t xml:space="preserve">Neural signature of the perceptual decision in the neural population responses of the inferior temporal cortex</t>
  </si>
  <si>
    <t xml:space="preserve">Dehaqani et al., 2022</t>
  </si>
  <si>
    <t xml:space="preserve">Blood pressure and avoidance conditioning. A study of 15-day trials in the Rhesus monkey</t>
  </si>
  <si>
    <t xml:space="preserve">Forsyth, 1968</t>
  </si>
  <si>
    <t xml:space="preserve">The microcircuitry of primate subthalamic nucleus</t>
  </si>
  <si>
    <t xml:space="preserve">Parent &amp; Parent, 2007</t>
  </si>
  <si>
    <t xml:space="preserve">Greater splanchnic excitation of primate T1-T5 spinothalamic neurons</t>
  </si>
  <si>
    <t xml:space="preserve">Quaternary derivatives of granatanol diesters: potent, ultrashort acting non-depolarizing neuromuscular relaxants</t>
  </si>
  <si>
    <t xml:space="preserve">Gyermek et al., 2006</t>
  </si>
  <si>
    <t xml:space="preserve">Pop-out search instigates beta-gated feature selectivity enhancement across V4 layers</t>
  </si>
  <si>
    <t xml:space="preserve">Westerberg et al., 2021</t>
  </si>
  <si>
    <t xml:space="preserve">Involvement of single unit activity in inferotemporal and perirhinal cortices in recognition memory of visual objects in the macaque</t>
  </si>
  <si>
    <t xml:space="preserve">Sobotka, 2000</t>
  </si>
  <si>
    <t xml:space="preserve">Laser-evoked potentials are graded and somatotopically organized anteroposteriorly in the operculoinsular cortex of anesthetized monkeys</t>
  </si>
  <si>
    <t xml:space="preserve">Baumgartner et al., 2006</t>
  </si>
  <si>
    <t xml:space="preserve">laser stimulation</t>
  </si>
  <si>
    <t xml:space="preserve">Antidepressant-induced neurogenesis in the hippocampus of adult nonhuman primates</t>
  </si>
  <si>
    <t xml:space="preserve">Perera et al., 2007</t>
  </si>
  <si>
    <t xml:space="preserve">Failure to find homology in rat, cat, and monkey for functions of a subcortical structure in avoidance conditioning</t>
  </si>
  <si>
    <t xml:space="preserve">Delacour &amp; Borst, 1972</t>
  </si>
  <si>
    <t xml:space="preserve">Dopamine increases excitability of pyramidal neurons in primate prefrontal cortex</t>
  </si>
  <si>
    <t xml:space="preserve">Henze et al., 2000</t>
  </si>
  <si>
    <t xml:space="preserve">Learning a Model of Shape Selectivity in V4 Cells Reveals Shape Encoding Mechanisms in the Brain</t>
  </si>
  <si>
    <t xml:space="preserve">Mehrani &amp; Tsotsos, 2023</t>
  </si>
  <si>
    <t xml:space="preserve">Attention Decreases Phase-Amplitude Coupling, Enhancing Stimulus Discriminability in Cortical Area MT</t>
  </si>
  <si>
    <t xml:space="preserve">Esghaei et al., 2015</t>
  </si>
  <si>
    <t xml:space="preserve">Individual variability of neural computations in the primate retina</t>
  </si>
  <si>
    <t xml:space="preserve">Shah et al., 2022</t>
  </si>
  <si>
    <t xml:space="preserve">Dynamic response of the adult monkey maxilla to occlusal forces</t>
  </si>
  <si>
    <t xml:space="preserve">Saijo &amp; Sugimura, 1993</t>
  </si>
  <si>
    <t xml:space="preserve">The effect on reaction to painful stimuli of lesions in the centromedian nucleus in the thalamus of the monkey</t>
  </si>
  <si>
    <t xml:space="preserve">Marburg, 1973</t>
  </si>
  <si>
    <t xml:space="preserve">Effects of psychoactive drugs on nonverbal communication and group social behavior of monkeys</t>
  </si>
  <si>
    <t xml:space="preserve">Miller et al., 1973</t>
  </si>
  <si>
    <t xml:space="preserve">Top-down signal from prefrontal cortex in executive control of memory retrieval</t>
  </si>
  <si>
    <t xml:space="preserve">Tomita et al., 1999</t>
  </si>
  <si>
    <t xml:space="preserve">IT, PFC</t>
  </si>
  <si>
    <t xml:space="preserve">Efficient production of cynomolgus monkeys with a toolbox of enhanced assisted reproductive technologies</t>
  </si>
  <si>
    <t xml:space="preserve">Ma et al., 2016</t>
  </si>
  <si>
    <t xml:space="preserve">reproduction, fertility study</t>
  </si>
  <si>
    <t xml:space="preserve">Effect of low-level, low-frequency electric fields on EEG and behavior in Macaca nemestrina</t>
  </si>
  <si>
    <t xml:space="preserve">Gavalas et al., 1970</t>
  </si>
  <si>
    <t xml:space="preserve">Neuronal correlate of pictorial short-term memory in the primate temporal cortex</t>
  </si>
  <si>
    <t xml:space="preserve">Miyashita &amp; Chang, 1988</t>
  </si>
  <si>
    <t xml:space="preserve">State-specific Regulation of Electrical Stimulation in the Intralaminar Thalamus of Macaque Monkeys: Network and Transcriptional Insights into Arousal</t>
  </si>
  <si>
    <t xml:space="preserve">Zhang et al., 2024</t>
  </si>
  <si>
    <t xml:space="preserve">Peripheral nerve regeneration through allografts compared with autografts in FK506-treated monkeys</t>
  </si>
  <si>
    <t xml:space="preserve">Auba et al., 2006</t>
  </si>
  <si>
    <t xml:space="preserve">A role for nociceptive, myelinated nerve fibers in itch sensation</t>
  </si>
  <si>
    <t xml:space="preserve">Ringkamp et al., 2011</t>
  </si>
  <si>
    <t xml:space="preserve">Intrafascicular stimulation of monkey arm nerves evokes coordinated grasp and sensory responses</t>
  </si>
  <si>
    <t xml:space="preserve">Ledbetter et al., 2013</t>
  </si>
  <si>
    <t xml:space="preserve">Intrinsic threshold plasticity: cholinergic activation and role in the neuronal recognition of incomplete input patterns</t>
  </si>
  <si>
    <t xml:space="preserve">Pham &amp; Hansel, 2023</t>
  </si>
  <si>
    <t xml:space="preserve">High-frequency stimulation of the subthalamic nucleus suppresses experimental resting tremor in the monkey</t>
  </si>
  <si>
    <t xml:space="preserve">Gao et al., 1999</t>
  </si>
  <si>
    <t xml:space="preserve">Utah optrode array customization using stereotactic brain atlases and 3-D CAD modeling for optogenetic neocortical interrogation in small rodents and nonhuman primates</t>
  </si>
  <si>
    <t xml:space="preserve">Boutte et al., 2017</t>
  </si>
  <si>
    <t xml:space="preserve">Gamma-Rhythmic Gain Modulation</t>
  </si>
  <si>
    <t xml:space="preserve">Ni et al., 2016</t>
  </si>
  <si>
    <t xml:space="preserve">A transcortical loop demonstrated by stimulation of low-threshold muscle afferents in the awake monkey</t>
  </si>
  <si>
    <t xml:space="preserve">Chofflon et al., 1982</t>
  </si>
  <si>
    <t xml:space="preserve">Cortico-cortical connections and cytoarchitectonics of the primate vestibular cortex: a study in squirrel monkeys (Saimiri sciureus)</t>
  </si>
  <si>
    <t xml:space="preserve">Guldin et al., 1992</t>
  </si>
  <si>
    <t xml:space="preserve">squirrel monkey</t>
  </si>
  <si>
    <t xml:space="preserve">Urinary bladder and hindlimb afferent input inhibits activity of primate T2-T5 spinothalamic tract neurons</t>
  </si>
  <si>
    <t xml:space="preserve">Brennan et al., 1989</t>
  </si>
  <si>
    <t xml:space="preserve">[General intubation anesthesia in primates for experimental otoneurologic surgery]</t>
  </si>
  <si>
    <t xml:space="preserve">Panadero et al., 2000</t>
  </si>
  <si>
    <t xml:space="preserve">in spanish</t>
  </si>
  <si>
    <t xml:space="preserve">Enhanced synchrony among primary motor cortex neurons in the 1-methyl-4-phenyl-1,2,3,6-tetrahydropyridine primate model of Parkinson's disease</t>
  </si>
  <si>
    <t xml:space="preserve">Goldberg et al., 2002</t>
  </si>
  <si>
    <t xml:space="preserve">Cortical stimulation and epileptic seizure: a study of the potential risk in primates</t>
  </si>
  <si>
    <t xml:space="preserve">Bezard et al., 1999</t>
  </si>
  <si>
    <t xml:space="preserve">Validation and Safety of Visual Restoration by Ectopic Expression of Human Melanopsin in Retinal Ganglion Cells</t>
  </si>
  <si>
    <t xml:space="preserve">Liu et al., 2019</t>
  </si>
  <si>
    <t xml:space="preserve">Attention strengthens across-trial pre-stimulus phase coherence in visual cortex, enhancing stimulus processing</t>
  </si>
  <si>
    <t xml:space="preserve">Zareian et al., 2020</t>
  </si>
  <si>
    <t xml:space="preserve">Striate cortical contribution to the surface-recorded pattern-reversal VEP in the alert monkey</t>
  </si>
  <si>
    <t xml:space="preserve">Schroeder et al., 1991</t>
  </si>
  <si>
    <t xml:space="preserve">Animal learning. Visceral and autonomic conditioning</t>
  </si>
  <si>
    <t xml:space="preserve">Harris &amp; Brady, 1974</t>
  </si>
  <si>
    <t xml:space="preserve">Urinary 17-OHCS response of high- and low-aggressive rhesus monkeys to shock avoidance</t>
  </si>
  <si>
    <t xml:space="preserve">Behavioral effects of cochlear prosthesis on deafened monkeys</t>
  </si>
  <si>
    <t xml:space="preserve">Balkany et al., 1986</t>
  </si>
  <si>
    <t xml:space="preserve">Auditory brainstem implantation in primates: lessons for human surgery and application</t>
  </si>
  <si>
    <t xml:space="preserve">Manrique et al., 2000</t>
  </si>
  <si>
    <t xml:space="preserve">An integrated system for synchronous detection of neuron spikes and dopamine activities in the striatum of Parkinson monkey brain</t>
  </si>
  <si>
    <t xml:space="preserve">Xu et al., 2018</t>
  </si>
  <si>
    <t xml:space="preserve">[Effects of intravenous morphine on responses of the spinal cord wide dynamic range (WDR) neurons to heat and tactile stimuli]</t>
  </si>
  <si>
    <t xml:space="preserve">Tsubaki, 1984</t>
  </si>
  <si>
    <t xml:space="preserve">Development of cochlear-wall implants for electrical stimulation of the auditory nerve</t>
  </si>
  <si>
    <t xml:space="preserve">Pfingst et al., 1989</t>
  </si>
  <si>
    <t xml:space="preserve">The distribution of neurons in the substantia nigra pars reticulata with input from the motor, premotor and prefrontal areas of the cerebral cortex in monkeys</t>
  </si>
  <si>
    <t xml:space="preserve">Kitano et al., 1998</t>
  </si>
  <si>
    <t xml:space="preserve">The Dynamics of Prosthetically Elicited Vestibulo-Ocular Reflex Function Across Frequency and Context in the Rhesus Monkey</t>
  </si>
  <si>
    <t xml:space="preserve">Phillips et al., 2018</t>
  </si>
  <si>
    <t xml:space="preserve">[Spinal locomotor generators in humans: problems in assessing effectiveness of stimulations]</t>
  </si>
  <si>
    <t xml:space="preserve">Shapkov &amp; Shapkova, 1998</t>
  </si>
  <si>
    <t xml:space="preserve">Neuronal mechanisms and attentional modulation of corticothalamic α oscillations</t>
  </si>
  <si>
    <t xml:space="preserve">Bollimunta et al., 2011</t>
  </si>
  <si>
    <t xml:space="preserve">The effect of fasciculus cuneatus lesions on finger positioning and long-latency reflexes in monkeys</t>
  </si>
  <si>
    <t xml:space="preserve">Glendinning et al., 1993</t>
  </si>
  <si>
    <t xml:space="preserve">Center surround receptive field structure of cone bipolar cells in primate retina</t>
  </si>
  <si>
    <t xml:space="preserve">Dacey et al., 2000</t>
  </si>
  <si>
    <t xml:space="preserve">Histopathology of the auditory nerve and cochlear nucleus following intracochlear electrical stimulation</t>
  </si>
  <si>
    <t xml:space="preserve">Larsen et al., 1983</t>
  </si>
  <si>
    <t xml:space="preserve">The primate spinocervicothalamic pathway: responses of cells of the lateral cervical nucleus and spinocervical tract to innocuous and noxious stimuli</t>
  </si>
  <si>
    <t xml:space="preserve">Downie et al., 1988</t>
  </si>
  <si>
    <t xml:space="preserve">β-nicotinamide adenine dinucleotide is an enteric inhibitory neurotransmitter in human and nonhuman primate colons</t>
  </si>
  <si>
    <t xml:space="preserve">Hwang et al., 2011</t>
  </si>
  <si>
    <t xml:space="preserve">Priming of motion direction and area V5/MT: a test of perceptual memory</t>
  </si>
  <si>
    <t xml:space="preserve">Campana et al., 2002</t>
  </si>
  <si>
    <t xml:space="preserve">Two-state membrane potential transitions of striatal spiny neurons as evidenced by numerical simulations and electrophysiological recordings in awake monkeys</t>
  </si>
  <si>
    <t xml:space="preserve">Kitano et al., 2002</t>
  </si>
  <si>
    <t xml:space="preserve">Effects of buspirone on operant behavior of laboratory rats and cynomolgus monkeys</t>
  </si>
  <si>
    <t xml:space="preserve">Geller &amp; Hartmann, 1982</t>
  </si>
  <si>
    <t xml:space="preserve">The pallidofugal motor fiber system in primates</t>
  </si>
  <si>
    <t xml:space="preserve">Parent &amp; Parent, 2004</t>
  </si>
  <si>
    <t xml:space="preserve">Evaluation of the neural function of nonhuman primates with spinal cord injury using an evoked potential-based scoring system</t>
  </si>
  <si>
    <t xml:space="preserve">Ye et al., 2016</t>
  </si>
  <si>
    <t xml:space="preserve">Pharmacologic Modulation of Noxious Stimulus-evoked Brain Activation in Cynomolgus Macaques Observed with Functional Neuroimaging</t>
  </si>
  <si>
    <t xml:space="preserve">Shirai et al., 2020</t>
  </si>
  <si>
    <t xml:space="preserve">Contrast-dependence of surround suppression in Macaque V1: experimental testing of a recurrent network model</t>
  </si>
  <si>
    <t xml:space="preserve">Schwabe et al., 2010</t>
  </si>
  <si>
    <t xml:space="preserve">The role of early life stress in development of the anterior limb of the internal capsule in nonhuman primates</t>
  </si>
  <si>
    <t xml:space="preserve">Coplan et al., 2010</t>
  </si>
  <si>
    <t xml:space="preserve">The dorsomedial frontal cortex: eye and forelimb fields</t>
  </si>
  <si>
    <t xml:space="preserve">Tehovnik, 1995</t>
  </si>
  <si>
    <t xml:space="preserve">[Diurnal variation in glucose utilization in the pineal body of the monkey]</t>
  </si>
  <si>
    <t xml:space="preserve">Ito &amp; Miyaoka, 1988</t>
  </si>
  <si>
    <t xml:space="preserve">Behavioral effects of narcotic analgesics administered alone or in combination with narcotic antagonists</t>
  </si>
  <si>
    <t xml:space="preserve">Hartmann &amp; Geller, 1976</t>
  </si>
  <si>
    <t xml:space="preserve">Cortical areas activated by bilateral galvanic vestibular stimulation</t>
  </si>
  <si>
    <t xml:space="preserve">Lobel et al., 1999</t>
  </si>
  <si>
    <t xml:space="preserve">Inhibition and excitation of primate spinothalamic tract neurons by stimulation in region of nucleus reticularis gigantocellularis</t>
  </si>
  <si>
    <t xml:space="preserve">Haber et al., 1980</t>
  </si>
  <si>
    <t xml:space="preserve">Characterization of prediction in the primate visual smooth pursuit system</t>
  </si>
  <si>
    <t xml:space="preserve">Deno et al., 1995</t>
  </si>
  <si>
    <t xml:space="preserve">Dynamic linear model analysis of optical imaging data acquired from the human neocortex</t>
  </si>
  <si>
    <t xml:space="preserve">Lavine et al., 2011</t>
  </si>
  <si>
    <t xml:space="preserve">Dopaminergic modulation of short-term synaptic plasticity in fast-spiking interneurons of primate dorsolateral prefrontal cortex</t>
  </si>
  <si>
    <t xml:space="preserve">Gonzalez-Burgos et al., 2005</t>
  </si>
  <si>
    <t xml:space="preserve">Shock titration in the rhesus monkey: effects of opiate and nonopiate analgesics</t>
  </si>
  <si>
    <t xml:space="preserve">Bloss &amp; Hammond, 1985</t>
  </si>
  <si>
    <t xml:space="preserve">Spike discharge characteristic of the caudal mesencephalic reticular formation and pedunculopontine nucleus in MPTP-induced primate model of Parkinson disease</t>
  </si>
  <si>
    <t xml:space="preserve">Goetz et al., 2019</t>
  </si>
  <si>
    <t xml:space="preserve">Functional Segmentation of the Anterior Limb of the Internal Capsule: Linking White Matter Abnormalities to Specific Connections</t>
  </si>
  <si>
    <t xml:space="preserve">Safadi et al., 2018</t>
  </si>
  <si>
    <t xml:space="preserve">A neural model of smooth pursuit control and motion perception by cortical area MST</t>
  </si>
  <si>
    <t xml:space="preserve">Pack et al., 2001</t>
  </si>
  <si>
    <t xml:space="preserve">Field potentials and excitation of primate spinothalamic neurones in response to volleys in muscle afferents</t>
  </si>
  <si>
    <t xml:space="preserve">Foreman et al., 1979</t>
  </si>
  <si>
    <t xml:space="preserve">Lack of collateral thalamocortical projections to fields of the first somatic sensory cortex in monkeys</t>
  </si>
  <si>
    <t xml:space="preserve">Jones, 1983</t>
  </si>
  <si>
    <t xml:space="preserve">Adrenergic nerves and receptors in the liver</t>
  </si>
  <si>
    <t xml:space="preserve">Moghimzadeh et al., 1982</t>
  </si>
  <si>
    <t xml:space="preserve">The discharges during movement of cells in the ventrolateral thalamus of the conscious monkey</t>
  </si>
  <si>
    <t xml:space="preserve">Horne &amp; Porter, 1980</t>
  </si>
  <si>
    <t xml:space="preserve">Fully implantable neural recording and stimulation interfaces: Peripheral nerve interface applications</t>
  </si>
  <si>
    <t xml:space="preserve">Deshmukh et al., 2019</t>
  </si>
  <si>
    <t xml:space="preserve">Progressive improvement in discriminative abilities in adult owl monkeys performing a tactile frequency discrimination task</t>
  </si>
  <si>
    <t xml:space="preserve">Recanzone et al., 1992</t>
  </si>
  <si>
    <t xml:space="preserve">owl monkey</t>
  </si>
  <si>
    <t xml:space="preserve">Transcranial Focused Ultrasound Remotely Modulates Extrastriate Visual Cortex with Subregion Specificity</t>
  </si>
  <si>
    <t xml:space="preserve">Yu et al., 2024</t>
  </si>
  <si>
    <t xml:space="preserve">Neuromuscular pharmacology of TAAC3, a new nondepolarizing muscle relaxant with rapid onset and ultrashort duration of action</t>
  </si>
  <si>
    <t xml:space="preserve">Gyermek et al., 2002</t>
  </si>
  <si>
    <t xml:space="preserve">Alterations in event-related potentials (ERPs) of MPTP-treated monkeys</t>
  </si>
  <si>
    <t xml:space="preserve">Glover et al., 1988</t>
  </si>
  <si>
    <t xml:space="preserve">Groups II and III metabotropic glutamate receptors differentially modulate brief and prolonged nociception in primate STT cells</t>
  </si>
  <si>
    <t xml:space="preserve">Neugebauer et al., 2000</t>
  </si>
  <si>
    <t xml:space="preserve">Cochlear implant effects on the spiral ganglion</t>
  </si>
  <si>
    <t xml:space="preserve">Sutton &amp; Miller, 1983</t>
  </si>
  <si>
    <t xml:space="preserve">A neural correlate of visual feature binding in primate lateral prefrontal cortex</t>
  </si>
  <si>
    <t xml:space="preserve">Dezfouli et al., 2021</t>
  </si>
  <si>
    <t xml:space="preserve">A case of polymicrogyria in macaque monkey: impact on anatomy and function of the motor system</t>
  </si>
  <si>
    <t xml:space="preserve">Schmidlin et al., 2009</t>
  </si>
  <si>
    <t xml:space="preserve">Impact of chronic subthalamic high-frequency stimulation on metabolic basal ganglia activity: a 2-deoxyglucose uptake and cytochrome oxidase mRNA study in a macaque model of Parkinson's disease</t>
  </si>
  <si>
    <t xml:space="preserve">Meissner et al., 2007</t>
  </si>
  <si>
    <t xml:space="preserve">Measurement of pain and morphine hypalgesia in monkeys</t>
  </si>
  <si>
    <t xml:space="preserve">Cooper &amp; Vierck, 1986</t>
  </si>
  <si>
    <t xml:space="preserve">Short-term depression of synaptic transmission during stimulation in the globus pallidus of 1-methyl-4-phenyl-1,2,3,6-tetrahydropyridine-treated primates</t>
  </si>
  <si>
    <t xml:space="preserve">Erez et al., 2009</t>
  </si>
  <si>
    <t xml:space="preserve">The feedback circuit connecting the superior colliculus and central mesencephalic reticular formation: a direct morphological demonstration</t>
  </si>
  <si>
    <t xml:space="preserve">Chen &amp; May, 2000</t>
  </si>
  <si>
    <t xml:space="preserve">Intrasulcal electrocorticography in macaque monkeys with minimally invasive neurosurgical protocols</t>
  </si>
  <si>
    <t xml:space="preserve">Matsuo et al., 2011</t>
  </si>
  <si>
    <t xml:space="preserve">ECoG</t>
  </si>
  <si>
    <t xml:space="preserve">The role of human extra-striate visual areas V5/MT and V2/V3 in the perception of the direction of global motion: a transcranial magnetic stimulation study</t>
  </si>
  <si>
    <t xml:space="preserve">Cowey et al., 2006</t>
  </si>
  <si>
    <t xml:space="preserve">Ultrastructure of chemically defined neuron systems in the dorsal horn of the monkey. III. Serotonin immunoreactivity</t>
  </si>
  <si>
    <t xml:space="preserve">LaMotte &amp; Lanerolle, 1983</t>
  </si>
  <si>
    <t xml:space="preserve">Temporal dynamics of visual category representation in the macaque inferior temporal cortex</t>
  </si>
  <si>
    <t xml:space="preserve">Dehaqani et al., 2016</t>
  </si>
  <si>
    <t xml:space="preserve">Preliminary Results of Branch Level, Brachial Plexus Peripheral Nerve Stimulation on a Non-Human Primate</t>
  </si>
  <si>
    <t xml:space="preserve">Fortune et al., 2023</t>
  </si>
  <si>
    <t xml:space="preserve">Dynamic gain changes during attentional modulation</t>
  </si>
  <si>
    <t xml:space="preserve">Sripati &amp; Johnson, 2006</t>
  </si>
  <si>
    <t xml:space="preserve">Identification of cone mechanisms in graded responses of foveal striate cortex</t>
  </si>
  <si>
    <t xml:space="preserve">Gouras &amp; Padmos, 1974</t>
  </si>
  <si>
    <t xml:space="preserve">Firing-rate models capture essential response dynamics of LGN relay cells</t>
  </si>
  <si>
    <t xml:space="preserve">Heiberg et al., 2013</t>
  </si>
  <si>
    <t xml:space="preserve">Responses of monkey midbrain dopamine neurons during delayed alternation performance</t>
  </si>
  <si>
    <t xml:space="preserve">Ljunberg et al., 1991</t>
  </si>
  <si>
    <t xml:space="preserve">Differential expression and pharmacology of native P2X receptors in rat and primate sensory neurons</t>
  </si>
  <si>
    <t xml:space="preserve">Serrano et al., 2012</t>
  </si>
  <si>
    <t xml:space="preserve">Somatotopic organization of nucleus reticularis thalami in chronic awake cats and monkeys</t>
  </si>
  <si>
    <t xml:space="preserve">Pollin &amp; Rokyta, 1982</t>
  </si>
  <si>
    <t xml:space="preserve">Early development of reconstructed embryos after somatic cell nuclear transfer in a non-human primate</t>
  </si>
  <si>
    <t xml:space="preserve">Chen et al., 2006</t>
  </si>
  <si>
    <t xml:space="preserve">Distribution patterns of individual medial lemniscal axons in the ventrobasal complex of the monkey thalamus</t>
  </si>
  <si>
    <t xml:space="preserve">Contribution of amygdalar and lateral hypothalamic neurons to visual information processing of food and nonfood in monkey</t>
  </si>
  <si>
    <t xml:space="preserve">Ono et al., 1989</t>
  </si>
  <si>
    <t xml:space="preserve">LHA axis</t>
  </si>
  <si>
    <t xml:space="preserve">Diversity in receptive field properties of vertical neuronal arrays in the crown of the postcentral gyrus of the conscious monkey</t>
  </si>
  <si>
    <t xml:space="preserve">Iwamura et al., 1985</t>
  </si>
  <si>
    <t xml:space="preserve">Functional and histological changes in mesenteric arteries and aortas from monkeys fed a high cholesterol diet</t>
  </si>
  <si>
    <t xml:space="preserve">Effects of stimulating the subcoeruleus-parabrachial region on the non-noxious and noxious responses of T1-T5 spinothalamic tract neurons in the primate</t>
  </si>
  <si>
    <t xml:space="preserve">Girardot et al., 1987</t>
  </si>
  <si>
    <t xml:space="preserve">Effects of capsaicin applied to a peripheral nerve on the responses of primate spinothalamic tract cells</t>
  </si>
  <si>
    <t xml:space="preserve">Chung et al., 1985</t>
  </si>
  <si>
    <t xml:space="preserve">A large-scale optogenetic neurophysiology platform for improving accessibility in NHP behavioral experiments</t>
  </si>
  <si>
    <t xml:space="preserve">Griggs et al., 2024</t>
  </si>
  <si>
    <t xml:space="preserve">A novel methodology for exact targeting of human and non-human primate brain structures and skull implants using atlas-based 3D reconstruction</t>
  </si>
  <si>
    <t xml:space="preserve">Nadian et al., 2023</t>
  </si>
  <si>
    <t xml:space="preserve">The role of feedback in shaping the extra-classical receptive field of cortical neurons: a recurrent network model</t>
  </si>
  <si>
    <t xml:space="preserve">Schwabe et al., 2006</t>
  </si>
  <si>
    <t xml:space="preserve">Responses of primate T1-T5 spinothalamic neurons to gallbladder distension</t>
  </si>
  <si>
    <t xml:space="preserve">Bilateral receptive field neurons in the hindlimb region of the postcentral somatosensory cortex in awake macaque monkeys</t>
  </si>
  <si>
    <t xml:space="preserve">Taoka et al., 2000</t>
  </si>
  <si>
    <t xml:space="preserve">Human hand and lip sensorimotor cortex as studied on electrocorticography</t>
  </si>
  <si>
    <t xml:space="preserve">Baumgartner et al., 1992</t>
  </si>
  <si>
    <t xml:space="preserve">Differentially variable component analysis: Identifying multiple evoked components using trial-to-trial variability</t>
  </si>
  <si>
    <t xml:space="preserve">Knuth et al., 2006</t>
  </si>
  <si>
    <t xml:space="preserve">Qualitative and quantitative changes in plasma luteinizing hormone (LH) under stimulation by intravenous infusion of synthetic luteinizing hormone-releasing hormone (LHRH) in Japanese monkeys (Macaca fuscata) as assessed by electrofocusing</t>
  </si>
  <si>
    <t xml:space="preserve">Hamada &amp; Suginami, 1983</t>
  </si>
  <si>
    <t xml:space="preserve">In vivo optogenetics using a Utah Optrode Array with enhanced light output and spatial selectivity</t>
  </si>
  <si>
    <t xml:space="preserve">McAlinden et al., 2024</t>
  </si>
  <si>
    <t xml:space="preserve">Functional properties of single neurons in the primate face primary somatosensory cortex. III. Modulation of responses to peripheral stimuli during trained orofacial motor behaviors</t>
  </si>
  <si>
    <t xml:space="preserve">Lin &amp; Sessle, 1994</t>
  </si>
  <si>
    <t xml:space="preserve">Recruitment of upper-limb motoneurons with epidural electrical stimulation of the cervical spinal cord</t>
  </si>
  <si>
    <t xml:space="preserve">Greiner et al., 2021</t>
  </si>
  <si>
    <t xml:space="preserve">A point-process matched filter for event detection and decoding from population spike trains</t>
  </si>
  <si>
    <t xml:space="preserve">Sadras et al., 2019</t>
  </si>
  <si>
    <t xml:space="preserve">T2-T5 spinothalamic neurons projecting to medial thalamus with viscerosomatic input</t>
  </si>
  <si>
    <t xml:space="preserve">Ammons et al., 1985</t>
  </si>
  <si>
    <t xml:space="preserve">Timing of target discrimination in human frontal eye fields</t>
  </si>
  <si>
    <t xml:space="preserve">O'Shea et al., 2004</t>
  </si>
  <si>
    <t xml:space="preserve">Comparison of methods for determining the presence and extent of anterior lumbar interbody fusion</t>
  </si>
  <si>
    <t xml:space="preserve">Executive control over cognition: stronger and earlier rule-based modulation of spatial category signals in prefrontal cortex relative to parietal cortex</t>
  </si>
  <si>
    <t xml:space="preserve">Goodwin et al., 2012</t>
  </si>
  <si>
    <t xml:space="preserve">frontal, parietal cortex</t>
  </si>
  <si>
    <t xml:space="preserve">Effects of morphine and narcotic antagonists on avoidance behavior of the squirrel monkey</t>
  </si>
  <si>
    <t xml:space="preserve">Holtzman, 1976</t>
  </si>
  <si>
    <t xml:space="preserve">Comparative study of some isolated mammalian smooth muscle effectors of penile erection</t>
  </si>
  <si>
    <t xml:space="preserve">Klinge &amp; Sjostrand, 1977</t>
  </si>
  <si>
    <t xml:space="preserve">erection study</t>
  </si>
  <si>
    <t xml:space="preserve">Architectonic mapping of somatosensory areas involved in skilled forelimb movements and tool use</t>
  </si>
  <si>
    <t xml:space="preserve">Mayer et al., 2016</t>
  </si>
  <si>
    <t xml:space="preserve">The role of nitric oxide in the mechanism of penile erection</t>
  </si>
  <si>
    <t xml:space="preserve">Kakiailatu, 2000</t>
  </si>
  <si>
    <t xml:space="preserve">Sphenopalatine ganglion stimulation for vasospasm after experimental subarachnoid hemorrhage</t>
  </si>
  <si>
    <t xml:space="preserve">Takahashi et al., 2011</t>
  </si>
  <si>
    <t xml:space="preserve">Effects of long-term dietary soy treatment on female urethral morphology and function in ovariectomized nonhuman primates</t>
  </si>
  <si>
    <t xml:space="preserve">Gratzke et al., 2008</t>
  </si>
  <si>
    <t xml:space="preserve">Changes in central serotoninergic transmission affect clonidine analgesia in monkeys</t>
  </si>
  <si>
    <t xml:space="preserve">Lin et al., 1987</t>
  </si>
  <si>
    <t xml:space="preserve">A phased array ultrasound system with a robotic arm for neuromodulation</t>
  </si>
  <si>
    <t xml:space="preserve">Seo et al., 2023</t>
  </si>
  <si>
    <t xml:space="preserve">Subthalamo-pallidal interactions underlying parkinsonian neuronal oscillations in the primate basal ganglia</t>
  </si>
  <si>
    <t xml:space="preserve">Tachibana et al., 2011</t>
  </si>
  <si>
    <t xml:space="preserve">Na,K-ATPase activity and repolarization of ventricular action potentials in simian hearts</t>
  </si>
  <si>
    <t xml:space="preserve">Arita et al., 1986</t>
  </si>
  <si>
    <t xml:space="preserve">A high-light sensitivity optical neural silencer: development and application to optogenetic control of non-human primate cortex</t>
  </si>
  <si>
    <t xml:space="preserve">Han et al., 2011</t>
  </si>
  <si>
    <t xml:space="preserve">Behavioural responses to a photovoltaic subretinal prosthesis implanted in non-human primates</t>
  </si>
  <si>
    <t xml:space="preserve">Prevot et al., 2020</t>
  </si>
  <si>
    <t xml:space="preserve">Cortical nociceptive responses and behavioral correlates in the monkey</t>
  </si>
  <si>
    <t xml:space="preserve">Chudler et al., 1986</t>
  </si>
  <si>
    <t xml:space="preserve">S1, S2</t>
  </si>
  <si>
    <t xml:space="preserve">Some aspects of neurophysiological basis of insecticide action</t>
  </si>
  <si>
    <t xml:space="preserve">Woolley, 1976</t>
  </si>
  <si>
    <t xml:space="preserve">Parasympathetic denervation of the ciliary muscle following panretinal photocoagulation</t>
  </si>
  <si>
    <t xml:space="preserve">Kaufman et al., 1991</t>
  </si>
  <si>
    <t xml:space="preserve">Possible role of central serotoninergic neurons in the development of dental pain and aspirin-induced analgesia in the monkey</t>
  </si>
  <si>
    <t xml:space="preserve">Shyu et al., 1984</t>
  </si>
  <si>
    <t xml:space="preserve">The thromboxane receptor antagonist SQ 30,741 reduces myocardial infarct size in monkeys when given during reperfusion at a threshold dose for improving reflow during thrombolysis</t>
  </si>
  <si>
    <t xml:space="preserve">Schumacher &amp; Grover, 1990</t>
  </si>
  <si>
    <t xml:space="preserve">Effects of cannabinoid receptor agonists on neuronally-evoked contractions of urinary bladder tissues isolated from rat, mouse, pig, dog, monkey and human</t>
  </si>
  <si>
    <t xml:space="preserve">Martin et al., 2000</t>
  </si>
  <si>
    <t xml:space="preserve">General pharmacology of cicletanine</t>
  </si>
  <si>
    <t xml:space="preserve">Clostre &amp; Etienne, 1988</t>
  </si>
  <si>
    <t xml:space="preserve">Gustatory responses in the nucleus tractus solitarius of the alert cynomolgus monkey</t>
  </si>
  <si>
    <t xml:space="preserve">Scott et al., 1986</t>
  </si>
  <si>
    <t xml:space="preserve">Auditory and Visual System White Matter Is Differentially Impacted by Normative Aging in Macaques</t>
  </si>
  <si>
    <t xml:space="preserve">Gray et al., 2020</t>
  </si>
  <si>
    <t xml:space="preserve">A1, V1</t>
  </si>
  <si>
    <t xml:space="preserve">Effects of fibroblast growth factor and glial-derived neurotrophic factor on akinesia, F-DOPA uptake and dopamine cells in parkinsonian primates</t>
  </si>
  <si>
    <t xml:space="preserve">Fontan et al., 2002</t>
  </si>
  <si>
    <t xml:space="preserve">Neural substrates, dynamics and thresholds of galvanic vestibular stimulation in the behaving primate</t>
  </si>
  <si>
    <t xml:space="preserve">Kwan et al., 2019</t>
  </si>
  <si>
    <t xml:space="preserve">Columnar resolution of blood volume and oximetry functional maps in the behaving monkey; implications for FMRI</t>
  </si>
  <si>
    <t xml:space="preserve">Vanzetta et al., 2004</t>
  </si>
  <si>
    <t xml:space="preserve">Effect of sildenafil and rolipram on adrenergic responses in isolated human and monkey corpus cavernosum</t>
  </si>
  <si>
    <t xml:space="preserve">Lau &amp; Adaikan, 2007</t>
  </si>
  <si>
    <t xml:space="preserve">The need for calcium imaging in nonhuman primates: New motor neuroscience and brain-machine interfaces</t>
  </si>
  <si>
    <t xml:space="preserve">O'Shea et al., 2017</t>
  </si>
  <si>
    <t xml:space="preserve">Fosinopril, a phosphinic acid inhibitor of angiotensin I converting enzyme: in vitro and preclinical in vivo pharmacology</t>
  </si>
  <si>
    <t xml:space="preserve">DeForrest et al., 1989</t>
  </si>
  <si>
    <t xml:space="preserve">Assaying narcotic-antagonist drugs for analgesic activity in rhesus monkeys</t>
  </si>
  <si>
    <t xml:space="preserve">Malis &amp; Gluckman, 1973</t>
  </si>
  <si>
    <t xml:space="preserve">Ciliary neuromuscular morphology in cynomolgus monkeys after ciliary ganglionectomy</t>
  </si>
  <si>
    <t xml:space="preserve">Rohen et al., 1990</t>
  </si>
  <si>
    <t xml:space="preserve">Cortical Control of Subthalamic Neuronal Activity through the Hyperdirect and Indirect Pathways in Monkeys</t>
  </si>
  <si>
    <t xml:space="preserve">Polyakova et al., 2020</t>
  </si>
  <si>
    <t xml:space="preserve">In vivo optogenetic stimulation of the primate retina activates the visual cortex after long-term transduction</t>
  </si>
  <si>
    <t xml:space="preserve">Chaffiol et al., 2021</t>
  </si>
  <si>
    <t xml:space="preserve">Interaction Between Pilocarpine and Ripasudil on Intraocular Pressure, Pupil Diameter, and the Aqueous-Outflow Pathway</t>
  </si>
  <si>
    <t xml:space="preserve">Yamagishi-Kimura et al., 2018</t>
  </si>
  <si>
    <t xml:space="preserve">Developing therapeutically more efficient Neurturin variants for treatment of Parkinson's disease</t>
  </si>
  <si>
    <t xml:space="preserve">Runeberg-Roos et al., 2016</t>
  </si>
  <si>
    <t xml:space="preserve">Taste responses of cortical neurons</t>
  </si>
  <si>
    <t xml:space="preserve">Yamamoto, 1984</t>
  </si>
  <si>
    <t xml:space="preserve">Current status of luteinizing hormone-releasing hormone in diagnosis and treatment of disorders in reproductive function</t>
  </si>
  <si>
    <t xml:space="preserve">Mahesh, 1975</t>
  </si>
  <si>
    <t xml:space="preserve">A transcranial magnetic stimulator inducing near-rectangular pulses with controllable pulse width (cTMS)</t>
  </si>
  <si>
    <t xml:space="preserve">Peterchev et al., 2008</t>
  </si>
  <si>
    <t xml:space="preserve">An Optrode Array for Spatiotemporally Precise Large-Scale Optogenetic Stimulation of Deep Cortical Layers in Non-human Primates</t>
  </si>
  <si>
    <t xml:space="preserve">Angelucci et al., 2023</t>
  </si>
  <si>
    <t xml:space="preserve">Pharmacological studies on a new thymoleptic antidepressant, 1-[3-(dimethylamino)propyl]-5-methyl-3-phenyl-1H-indazole (FS-32)</t>
  </si>
  <si>
    <t xml:space="preserve">Ikeda et al., 1979</t>
  </si>
  <si>
    <t xml:space="preserve">Precision Capsular Infarct Modeling to Produce Hand Motor Deficits in Cynomolgus Macaques</t>
  </si>
  <si>
    <t xml:space="preserve">Kim et al., 2021</t>
  </si>
  <si>
    <t xml:space="preserve">Electrical parameters of the isolated monkey ciliary epithelium and effects of pharmacological agents</t>
  </si>
  <si>
    <t xml:space="preserve">Chu et al., 1987</t>
  </si>
  <si>
    <t xml:space="preserve">Deep brain stimulation induces white matter remodeling and functional changes to brain-wide networks</t>
  </si>
  <si>
    <t xml:space="preserve">Fujimoto et al., 2024</t>
  </si>
  <si>
    <t xml:space="preserve">Inhibition of the Deep and Intermediate Layers of the Superior Colliculus Disrupts Sensorimotor Gating in Monkeys</t>
  </si>
  <si>
    <t xml:space="preserve">Waguespack et al., 2020</t>
  </si>
  <si>
    <t xml:space="preserve">Multimodal 7T Imaging of Thalamic Nuclei for Preclinical Deep Brain Stimulation Applications</t>
  </si>
  <si>
    <t xml:space="preserve">Subject-specific computational modeling of DBS in the PPTg area</t>
  </si>
  <si>
    <t xml:space="preserve">The destination defines the journey: an examination of the kinematics of hand-to-mouth movements</t>
  </si>
  <si>
    <t xml:space="preserve">Flindall &amp; Gonzalez, 2016</t>
  </si>
  <si>
    <t xml:space="preserve">kinematics</t>
  </si>
  <si>
    <t xml:space="preserve">Effects of an EP2 and EP3 Receptor Dual Agonist, ONO-8055, on a Radical Hysterectomy-Induced Underactive Bladder Model in Monkeys</t>
  </si>
  <si>
    <t xml:space="preserve">Matsuya et al., 2018</t>
  </si>
  <si>
    <t xml:space="preserve">Correlated Activity in the Degenerate Retina Inhibits Focal Response to Electrical Stimulation</t>
  </si>
  <si>
    <t xml:space="preserve">Ahn et al., 2022</t>
  </si>
  <si>
    <t xml:space="preserve">Pruriceptive spinothalamic tract neurons: physiological properties and projection targets in the primate</t>
  </si>
  <si>
    <t xml:space="preserve">Davidson et al., 2012</t>
  </si>
  <si>
    <t xml:space="preserve">Comparison of inhibitory neuromuscular transmission in the Cynomolgus monkey IAS and rectum: special emphasis on differences in purinergic transmission</t>
  </si>
  <si>
    <t xml:space="preserve">Cobine et al., 2018</t>
  </si>
  <si>
    <t xml:space="preserve">rectum study</t>
  </si>
  <si>
    <t xml:space="preserve">Systematic cross-species comparison of prefrontal cortex functional networks targeted via Transcranial Magnetic Stimulation</t>
  </si>
  <si>
    <t xml:space="preserve">Berger et al., 2023</t>
  </si>
  <si>
    <t xml:space="preserve">[Neurobiology of neuronal circuits invoved in depression]</t>
  </si>
  <si>
    <t xml:space="preserve">Suarez, 2012</t>
  </si>
  <si>
    <t xml:space="preserve">Species dependent differences in the actions of sympathetic nerves and noradrenaline in the internal anal sphincter</t>
  </si>
  <si>
    <t xml:space="preserve">Cobine et al., 2007</t>
  </si>
  <si>
    <t xml:space="preserve">Cholinergic and Nadph-δ neurons in the pedunculopontine and laterodorsal tegmental nuclei of human and nonhuman primates</t>
  </si>
  <si>
    <t xml:space="preserve">Coulombe et al., 2024</t>
  </si>
  <si>
    <t xml:space="preserve">Bridged amino tetralins</t>
  </si>
  <si>
    <t xml:space="preserve">Freed et al., 1973</t>
  </si>
  <si>
    <t xml:space="preserve">Cortical networks for ethologically relevant behaviors in primates</t>
  </si>
  <si>
    <t xml:space="preserve">Kaas et al., 2013</t>
  </si>
  <si>
    <t xml:space="preserve">Evidence for direct neural regulation of the mammalian anterior pituitary</t>
  </si>
  <si>
    <t xml:space="preserve">Ju, 1999</t>
  </si>
  <si>
    <t xml:space="preserve">Dissecting the Prefrontal Network With Pathway-Selective Manipulation in the Macaque Brain-A Review</t>
  </si>
  <si>
    <t xml:space="preserve">Oguchi &amp; Sakagami, 2022</t>
  </si>
  <si>
    <t xml:space="preserve">Selective Inactivation of Striatal FosB/ΔFosB-Expressing Neurons Alleviates L-DOPA-Induced Dyskinesia</t>
  </si>
  <si>
    <t xml:space="preserve">Engeln et al., 2016</t>
  </si>
  <si>
    <t xml:space="preserve">genetic tools</t>
  </si>
  <si>
    <t xml:space="preserve">Inferring Neural Communication Dynamics from Field Potentials Using Graph Diffusion Autoregression</t>
  </si>
  <si>
    <t xml:space="preserve">Schwock et al., 2024</t>
  </si>
  <si>
    <t xml:space="preserve">Corticospinal interface to restore voluntary control of joint torque in a paralyzed forearm following spinal cord injury in non-human primates</t>
  </si>
  <si>
    <t xml:space="preserve">Obara et al., 2023</t>
  </si>
  <si>
    <t xml:space="preserve">EEG of striate cortex in blind monkeys: effects of eye movements and sleep</t>
  </si>
  <si>
    <t xml:space="preserve">Sakakura &amp; Doty, 1976</t>
  </si>
  <si>
    <t xml:space="preserve">Primate flicker sensitivity: psychophysics and electrophysiology</t>
  </si>
  <si>
    <t xml:space="preserve">Kelly et al., 1976</t>
  </si>
  <si>
    <t xml:space="preserve">Renewed Attention on the Pupil Light Reflex</t>
  </si>
  <si>
    <t xml:space="preserve">Binda &amp; Gamlin, 2017</t>
  </si>
  <si>
    <t xml:space="preserve">Sensory discriminability comparisons in human and monkey with implications for the study of central nervous correlates</t>
  </si>
  <si>
    <t xml:space="preserve">Kulics, 1977</t>
  </si>
  <si>
    <t xml:space="preserve">Spectral sensitivity of human cone photoreceptors</t>
  </si>
  <si>
    <t xml:space="preserve">Schnapf et al., 1987</t>
  </si>
  <si>
    <t xml:space="preserve">Inhibitory and facilitatory connectivity from ventral premotor to primary motor cortex in healthy humans at rest--a bifocal TMS study</t>
  </si>
  <si>
    <t xml:space="preserve">Baumer et al., 2009</t>
  </si>
  <si>
    <t xml:space="preserve">Is the central mesencephalic reticular formation a purely horizontal gaze center?</t>
  </si>
  <si>
    <t xml:space="preserve">Bohlen et al., 2022</t>
  </si>
  <si>
    <t xml:space="preserve">Elucidating information processing in primate basal ganglia circuitry: a novel technique for pathway-selective ablation mediated by immunotoxin</t>
  </si>
  <si>
    <t xml:space="preserve">Takada et al., 2013</t>
  </si>
  <si>
    <t xml:space="preserve">Distinct superficial and deep laminar domains of activity in the visual cortex during rest and stimulation</t>
  </si>
  <si>
    <t xml:space="preserve">Maier et al., 2010</t>
  </si>
  <si>
    <t xml:space="preserve">Cascaded normalizations for spatial integration in the primary visual cortex of primates</t>
  </si>
  <si>
    <t xml:space="preserve">Dissociation of reach-related and visual signals in the human superior colliculus</t>
  </si>
  <si>
    <t xml:space="preserve">Himmelbach et al., 2013</t>
  </si>
  <si>
    <t xml:space="preserve">Closed-loop optogenetic perturbation of macaque oculomotor cerebellum: evidence for an internal saccade model</t>
  </si>
  <si>
    <t xml:space="preserve">Soetedjo &amp; Horwitz, 2023</t>
  </si>
  <si>
    <t xml:space="preserve">duplicate study</t>
  </si>
  <si>
    <t xml:space="preserve">Executive control of gaze by the frontal lobes</t>
  </si>
  <si>
    <t xml:space="preserve">Schall &amp; Boucher, 2007</t>
  </si>
  <si>
    <t xml:space="preserve">Spatial specificity of BOLD versus cerebral blood volume fMRI for mapping cortical organization</t>
  </si>
  <si>
    <t xml:space="preserve">Smirnakis et al., 2007</t>
  </si>
  <si>
    <t xml:space="preserve">Cerebral response to medullary pyramid stimulation in the rabbit</t>
  </si>
  <si>
    <t xml:space="preserve">Chen &amp; Towe, 1984</t>
  </si>
  <si>
    <t xml:space="preserve">rabbit study</t>
  </si>
  <si>
    <t xml:space="preserve">Dynamics of abducens nucleus neurons in the awake rabbit</t>
  </si>
  <si>
    <t xml:space="preserve">Stahl &amp; Simpson, 1995</t>
  </si>
  <si>
    <t xml:space="preserve">Texture-like representation of objects in human visual cortex</t>
  </si>
  <si>
    <t xml:space="preserve">Jagadeesh &amp; Gardner, 2022</t>
  </si>
  <si>
    <t xml:space="preserve">Resting-state fMRI reveals functional connectivity between face-selective perirhinal cortex and the fusiform face area related to face inversion</t>
  </si>
  <si>
    <t xml:space="preserve">O'Neil et al., 2014</t>
  </si>
  <si>
    <t xml:space="preserve">Stimulus Feature-Specific Information Flow Along the Columnar Cortical Microcircuit Revealed by Multivariate Laminar Spiking Analysis</t>
  </si>
  <si>
    <t xml:space="preserve">Tovar et al., 2020</t>
  </si>
  <si>
    <t xml:space="preserve">Roles of primate spinal interneurons in preparation and execution of voluntary hand movement</t>
  </si>
  <si>
    <t xml:space="preserve">Fetz et al., 2002</t>
  </si>
  <si>
    <t xml:space="preserve">A novel wireless recording and stimulating multichannel epicortical grid for supplementing or enhancing the sensory-motor functions in monkey (Macaca fascicularis)</t>
  </si>
  <si>
    <t xml:space="preserve">Zippo et al., 2015</t>
  </si>
  <si>
    <t xml:space="preserve">Adaptive coding across visual features during free-viewing and fixation conditions</t>
  </si>
  <si>
    <t xml:space="preserve">Nigam et al., 2023</t>
  </si>
  <si>
    <t xml:space="preserve">A random phased-array for MR-guided transcranial ultrasound neuromodulation in non-human primates</t>
  </si>
  <si>
    <t xml:space="preserve">Chaplin et al., 2018</t>
  </si>
  <si>
    <t xml:space="preserve">White matter tract transcranial ultrasound stimulation, a computational study</t>
  </si>
  <si>
    <t xml:space="preserve">Felix et al., 2022</t>
  </si>
  <si>
    <t xml:space="preserve">Comprehensive Study of Antiretroviral Drug Permeability at the Cervicovaginal Mucosa via an In Vitro Model</t>
  </si>
  <si>
    <t xml:space="preserve">Carserides et al., 2022</t>
  </si>
  <si>
    <t xml:space="preserve">Beat processing in newborn infants cannot be explained by statistical learning based on transition probabilities</t>
  </si>
  <si>
    <t xml:space="preserve">Haden et al., 2024</t>
  </si>
  <si>
    <t xml:space="preserve">Parvocellular and magnocellular contributions to the initial generators of the visual evoked potential: high-density electrical mapping of the "C1" component</t>
  </si>
  <si>
    <t xml:space="preserve">Foxe et al., 2008</t>
  </si>
  <si>
    <t xml:space="preserve">Anoctamins and gastrointestinal smooth muscle excitability</t>
  </si>
  <si>
    <t xml:space="preserve">Sanders et al., 2012</t>
  </si>
  <si>
    <t xml:space="preserve">Precision and neuronal dynamics in the human posterior parietal cortex during evidence accumulation</t>
  </si>
  <si>
    <t xml:space="preserve">Fitzgerald et al., 2015</t>
  </si>
  <si>
    <t xml:space="preserve">Neuronal tuning and population representations of shape and category in human visual cortex</t>
  </si>
  <si>
    <t xml:space="preserve">Bougou et al., 2024</t>
  </si>
  <si>
    <t xml:space="preserve">Title Study</t>
  </si>
  <si>
    <t xml:space="preserve">Authors</t>
  </si>
  <si>
    <t xml:space="preserve">Year</t>
  </si>
  <si>
    <t xml:space="preserve">Journal</t>
  </si>
  <si>
    <t xml:space="preserve">Type_stimulation</t>
  </si>
  <si>
    <t xml:space="preserve">DBS</t>
  </si>
  <si>
    <t xml:space="preserve">Brain_area</t>
  </si>
  <si>
    <t xml:space="preserve">Cortical_Subcortical</t>
  </si>
  <si>
    <t xml:space="preserve">Species</t>
  </si>
  <si>
    <t xml:space="preserve">Number_animals</t>
  </si>
  <si>
    <t xml:space="preserve">Frequency</t>
  </si>
  <si>
    <t xml:space="preserve">Amplitude_lower</t>
  </si>
  <si>
    <t xml:space="preserve">Amplitude_higher</t>
  </si>
  <si>
    <t xml:space="preserve">Amplitude_unit</t>
  </si>
  <si>
    <t xml:space="preserve">Cathode_anode</t>
  </si>
  <si>
    <t xml:space="preserve">Pulse_width</t>
  </si>
  <si>
    <t xml:space="preserve">Waveform</t>
  </si>
  <si>
    <t xml:space="preserve">Timespan</t>
  </si>
  <si>
    <t xml:space="preserve">Task_description</t>
  </si>
  <si>
    <t xml:space="preserve">Behavioural_output</t>
  </si>
  <si>
    <t xml:space="preserve">Behavioural_description</t>
  </si>
  <si>
    <t xml:space="preserve">Summary</t>
  </si>
  <si>
    <t xml:space="preserve">Notes</t>
  </si>
  <si>
    <t xml:space="preserve">Number</t>
  </si>
  <si>
    <t xml:space="preserve">Percentage</t>
  </si>
  <si>
    <t xml:space="preserve">De et al.,</t>
  </si>
  <si>
    <t xml:space="preserve">eLife</t>
  </si>
  <si>
    <t xml:space="preserve">cortical</t>
  </si>
  <si>
    <t xml:space="preserve">Macaca mulatta</t>
  </si>
  <si>
    <t xml:space="preserve">continuous</t>
  </si>
  <si>
    <t xml:space="preserve">mW</t>
  </si>
  <si>
    <t xml:space="preserve">NA</t>
  </si>
  <si>
    <t xml:space="preserve">300 ms</t>
  </si>
  <si>
    <t xml:space="preserve">visual detection</t>
  </si>
  <si>
    <t xml:space="preserve">saccades</t>
  </si>
  <si>
    <t xml:space="preserve">failed to make saccades (induced phosphenes)</t>
  </si>
  <si>
    <t xml:space="preserve">perception</t>
  </si>
  <si>
    <t xml:space="preserve">Li et al.,</t>
  </si>
  <si>
    <t xml:space="preserve">NeuroReport</t>
  </si>
  <si>
    <t xml:space="preserve">subcortical</t>
  </si>
  <si>
    <t xml:space="preserve">60, 160 Hz</t>
  </si>
  <si>
    <t xml:space="preserve">V</t>
  </si>
  <si>
    <t xml:space="preserve">90 μs</t>
  </si>
  <si>
    <t xml:space="preserve">7 days</t>
  </si>
  <si>
    <t xml:space="preserve">no task</t>
  </si>
  <si>
    <t xml:space="preserve">locomotion</t>
  </si>
  <si>
    <t xml:space="preserve">no significant effects on cage locomotion</t>
  </si>
  <si>
    <t xml:space="preserve">motor</t>
  </si>
  <si>
    <t xml:space="preserve">Murris et al.,</t>
  </si>
  <si>
    <t xml:space="preserve">Neuron</t>
  </si>
  <si>
    <t xml:space="preserve">100 Hz</t>
  </si>
  <si>
    <t xml:space="preserve">μA</t>
  </si>
  <si>
    <t xml:space="preserve">anode first</t>
  </si>
  <si>
    <t xml:space="preserve">0.4 ms</t>
  </si>
  <si>
    <t xml:space="preserve">biphasic</t>
  </si>
  <si>
    <t xml:space="preserve">200 ms</t>
  </si>
  <si>
    <t xml:space="preserve">visual discrimination</t>
  </si>
  <si>
    <t xml:space="preserve">hands</t>
  </si>
  <si>
    <t xml:space="preserve">better at discriminating visual objects</t>
  </si>
  <si>
    <t xml:space="preserve">Santacruz et al.,</t>
  </si>
  <si>
    <t xml:space="preserve">Current Biology</t>
  </si>
  <si>
    <t xml:space="preserve">CN</t>
  </si>
  <si>
    <t xml:space="preserve">200 Hz</t>
  </si>
  <si>
    <t xml:space="preserve">200 μs</t>
  </si>
  <si>
    <t xml:space="preserve">1000 ms</t>
  </si>
  <si>
    <t xml:space="preserve">choice preference</t>
  </si>
  <si>
    <t xml:space="preserve">increases value-based choice</t>
  </si>
  <si>
    <t xml:space="preserve">value/reward</t>
  </si>
  <si>
    <t xml:space="preserve">Azadi et al.,</t>
  </si>
  <si>
    <t xml:space="preserve">detect whether stimulation was present</t>
  </si>
  <si>
    <t xml:space="preserve">Chen et al.,</t>
  </si>
  <si>
    <t xml:space="preserve">44 Hz</t>
  </si>
  <si>
    <t xml:space="preserve">5 ms</t>
  </si>
  <si>
    <t xml:space="preserve">210 ms</t>
  </si>
  <si>
    <t xml:space="preserve">Stauffer et al.,</t>
  </si>
  <si>
    <t xml:space="preserve">Cell</t>
  </si>
  <si>
    <t xml:space="preserve">25 Hz</t>
  </si>
  <si>
    <t xml:space="preserve">10 ms</t>
  </si>
  <si>
    <t xml:space="preserve">400 ms</t>
  </si>
  <si>
    <t xml:space="preserve">Ohayon et al.,</t>
  </si>
  <si>
    <t xml:space="preserve">Journal of Neuroscience</t>
  </si>
  <si>
    <t xml:space="preserve">300 Hz</t>
  </si>
  <si>
    <t xml:space="preserve">cathode first</t>
  </si>
  <si>
    <t xml:space="preserve">0.2 ms</t>
  </si>
  <si>
    <t xml:space="preserve">generating saccades</t>
  </si>
  <si>
    <t xml:space="preserve">decision</t>
  </si>
  <si>
    <t xml:space="preserve">Kagan et al.,</t>
  </si>
  <si>
    <t xml:space="preserve">NeuroImage</t>
  </si>
  <si>
    <t xml:space="preserve">750 μs</t>
  </si>
  <si>
    <t xml:space="preserve">memory guided saccade</t>
  </si>
  <si>
    <t xml:space="preserve">no behavioural effects of stimulation</t>
  </si>
  <si>
    <t xml:space="preserve">Cerebral Cortex</t>
  </si>
  <si>
    <t xml:space="preserve">10, 20, 50, 100 Hz</t>
  </si>
  <si>
    <t xml:space="preserve">fixation task</t>
  </si>
  <si>
    <t xml:space="preserve">fixation</t>
  </si>
  <si>
    <t xml:space="preserve">Yazdan-Shahmorad et al.,</t>
  </si>
  <si>
    <t xml:space="preserve">3, 10, 25, 50 Hz</t>
  </si>
  <si>
    <t xml:space="preserve">1 ms</t>
  </si>
  <si>
    <t xml:space="preserve">10 Hz</t>
  </si>
  <si>
    <t xml:space="preserve">Bello et al.,</t>
  </si>
  <si>
    <t xml:space="preserve">Journal of Neurophysiology</t>
  </si>
  <si>
    <t xml:space="preserve">VPLo (Thalamus)</t>
  </si>
  <si>
    <t xml:space="preserve">10, 20, 30, 50, 100, 130 Hz</t>
  </si>
  <si>
    <t xml:space="preserve">mA</t>
  </si>
  <si>
    <t xml:space="preserve">60 s</t>
  </si>
  <si>
    <t xml:space="preserve">stereotypical arm and orofacial movements</t>
  </si>
  <si>
    <t xml:space="preserve">Phillip &amp; Hoffman,</t>
  </si>
  <si>
    <t xml:space="preserve">200-300 Hz</t>
  </si>
  <si>
    <t xml:space="preserve">cathodal</t>
  </si>
  <si>
    <t xml:space="preserve">400 μs</t>
  </si>
  <si>
    <t xml:space="preserve">monophasic</t>
  </si>
  <si>
    <t xml:space="preserve">200-500 ms</t>
  </si>
  <si>
    <t xml:space="preserve">saccade + reach task</t>
  </si>
  <si>
    <t xml:space="preserve">saccades, hands</t>
  </si>
  <si>
    <t xml:space="preserve">stimulation is able to elicit twitch, lift and extend arm movements</t>
  </si>
  <si>
    <t xml:space="preserve">Cone et al.,</t>
  </si>
  <si>
    <t xml:space="preserve">eNeuro</t>
  </si>
  <si>
    <t xml:space="preserve">250 ms</t>
  </si>
  <si>
    <t xml:space="preserve">phosphene detection</t>
  </si>
  <si>
    <t xml:space="preserve">Katnani et al.,</t>
  </si>
  <si>
    <t xml:space="preserve">Scientific Reports</t>
  </si>
  <si>
    <t xml:space="preserve">visual association</t>
  </si>
  <si>
    <t xml:space="preserve">faster reaction times and accuracy with stimulation</t>
  </si>
  <si>
    <t xml:space="preserve">Basu et al.,</t>
  </si>
  <si>
    <t xml:space="preserve">Brain Stimulation</t>
  </si>
  <si>
    <t xml:space="preserve">dACC</t>
  </si>
  <si>
    <t xml:space="preserve">10-400 Hz</t>
  </si>
  <si>
    <t xml:space="preserve">rACC</t>
  </si>
  <si>
    <t xml:space="preserve">Current Protocols</t>
  </si>
  <si>
    <t xml:space="preserve">1000-1400 ms</t>
  </si>
  <si>
    <t xml:space="preserve">Miocinovic et al.,</t>
  </si>
  <si>
    <t xml:space="preserve">Experimental Neurology</t>
  </si>
  <si>
    <t xml:space="preserve">20 Hz</t>
  </si>
  <si>
    <t xml:space="preserve">450 μs</t>
  </si>
  <si>
    <t xml:space="preserve">5 s</t>
  </si>
  <si>
    <t xml:space="preserve">Lymer et al.,</t>
  </si>
  <si>
    <t xml:space="preserve">Experimental Brain Research</t>
  </si>
  <si>
    <t xml:space="preserve">300 μs</t>
  </si>
  <si>
    <t xml:space="preserve">variable</t>
  </si>
  <si>
    <t xml:space="preserve">Fabbrini et al.,</t>
  </si>
  <si>
    <t xml:space="preserve">50 Hz</t>
  </si>
  <si>
    <t xml:space="preserve">Murphey &amp; Maunsell,</t>
  </si>
  <si>
    <t xml:space="preserve">PNAS</t>
  </si>
  <si>
    <t xml:space="preserve">stimulation detection</t>
  </si>
  <si>
    <t xml:space="preserve">detection at lower amplitudes, saccade generation at higher amplitudes</t>
  </si>
  <si>
    <t xml:space="preserve">Premereur et al.,</t>
  </si>
  <si>
    <t xml:space="preserve">0.48 ms</t>
  </si>
  <si>
    <t xml:space="preserve">40 s</t>
  </si>
  <si>
    <t xml:space="preserve">Sombeck et al.,</t>
  </si>
  <si>
    <t xml:space="preserve">Journal of Neural Engineering</t>
  </si>
  <si>
    <t xml:space="preserve">51, 80, 104, 131 Hz</t>
  </si>
  <si>
    <t xml:space="preserve">anode and cathode first</t>
  </si>
  <si>
    <t xml:space="preserve">0.2-4 s</t>
  </si>
  <si>
    <t xml:space="preserve">monkey was holding a manipulandum</t>
  </si>
  <si>
    <t xml:space="preserve">Watanabe &amp; Munoz,</t>
  </si>
  <si>
    <t xml:space="preserve">50-333 Hz</t>
  </si>
  <si>
    <t xml:space="preserve">0.5 ms</t>
  </si>
  <si>
    <t xml:space="preserve">400, 800 ms</t>
  </si>
  <si>
    <t xml:space="preserve">saccade task</t>
  </si>
  <si>
    <t xml:space="preserve">reaction times longer both for saccades and anti-saccades</t>
  </si>
  <si>
    <t xml:space="preserve">Nacher et al.,</t>
  </si>
  <si>
    <t xml:space="preserve">Brain Structure &amp; Function</t>
  </si>
  <si>
    <t xml:space="preserve">4 Hz</t>
  </si>
  <si>
    <t xml:space="preserve">480 μs</t>
  </si>
  <si>
    <t xml:space="preserve">20 ms</t>
  </si>
  <si>
    <t xml:space="preserve">Andrei et al.,</t>
  </si>
  <si>
    <t xml:space="preserve">worse performance with low SNR gratings</t>
  </si>
  <si>
    <t xml:space="preserve">Yu &amp; Gu,</t>
  </si>
  <si>
    <t xml:space="preserve">visual motion discrimination</t>
  </si>
  <si>
    <t xml:space="preserve">affects motion perception</t>
  </si>
  <si>
    <t xml:space="preserve">affects the choice, not motion perception</t>
  </si>
  <si>
    <t xml:space="preserve">Inoue et al.,</t>
  </si>
  <si>
    <t xml:space="preserve">Nature Communications</t>
  </si>
  <si>
    <t xml:space="preserve">visual detection task</t>
  </si>
  <si>
    <t xml:space="preserve">makes saccades to stimulation site</t>
  </si>
  <si>
    <t xml:space="preserve">Peles et al.,</t>
  </si>
  <si>
    <t xml:space="preserve">Cell Reports</t>
  </si>
  <si>
    <t xml:space="preserve">Macaca fascicularis</t>
  </si>
  <si>
    <t xml:space="preserve">10-20 Hz</t>
  </si>
  <si>
    <t xml:space="preserve">monkey presses a button</t>
  </si>
  <si>
    <t xml:space="preserve">changes reaction times of the animals</t>
  </si>
  <si>
    <t xml:space="preserve">Schluter et al.,</t>
  </si>
  <si>
    <t xml:space="preserve">PLoS ONE</t>
  </si>
  <si>
    <t xml:space="preserve">120 Hz</t>
  </si>
  <si>
    <t xml:space="preserve">500 μs</t>
  </si>
  <si>
    <t xml:space="preserve">100 ms</t>
  </si>
  <si>
    <t xml:space="preserve">Fetsch et al.,</t>
  </si>
  <si>
    <t xml:space="preserve">95-925 ms</t>
  </si>
  <si>
    <t xml:space="preserve">suppression increased bias and made the monkey choose for safe bets</t>
  </si>
  <si>
    <t xml:space="preserve">Stryker &amp; Schiller,</t>
  </si>
  <si>
    <t xml:space="preserve">100-600 Hz</t>
  </si>
  <si>
    <t xml:space="preserve">70, 200 ms</t>
  </si>
  <si>
    <t xml:space="preserve">stimulation induces saccades independent of starting position eye</t>
  </si>
  <si>
    <t xml:space="preserve">Ju et al.,</t>
  </si>
  <si>
    <t xml:space="preserve">PLOS Biology</t>
  </si>
  <si>
    <t xml:space="preserve">66 ms</t>
  </si>
  <si>
    <t xml:space="preserve">470 ms</t>
  </si>
  <si>
    <t xml:space="preserve">free viewing, visual detection</t>
  </si>
  <si>
    <t xml:space="preserve">makes saccades to stimulated hemisphere</t>
  </si>
  <si>
    <t xml:space="preserve">reward</t>
  </si>
  <si>
    <t xml:space="preserve">Baker et al.,</t>
  </si>
  <si>
    <t xml:space="preserve">CT</t>
  </si>
  <si>
    <t xml:space="preserve">20, 40, 150, 175, 200, 225 Hz</t>
  </si>
  <si>
    <t xml:space="preserve">540 μs</t>
  </si>
  <si>
    <t xml:space="preserve">performance increases with thalamic DBS</t>
  </si>
  <si>
    <t xml:space="preserve">arousal</t>
  </si>
  <si>
    <t xml:space="preserve">Opris et al.,</t>
  </si>
  <si>
    <t xml:space="preserve">Vision Research</t>
  </si>
  <si>
    <t xml:space="preserve">350 Hz</t>
  </si>
  <si>
    <t xml:space="preserve">increased saccade latency, bias away from stimulation site</t>
  </si>
  <si>
    <t xml:space="preserve">Mora et al.,</t>
  </si>
  <si>
    <t xml:space="preserve">Brain Research Bulletin</t>
  </si>
  <si>
    <t xml:space="preserve">increases positive self-stimulation</t>
  </si>
  <si>
    <t xml:space="preserve">LH</t>
  </si>
  <si>
    <t xml:space="preserve">Schwedhelm et al.,</t>
  </si>
  <si>
    <t xml:space="preserve">8Av</t>
  </si>
  <si>
    <t xml:space="preserve">375 μs</t>
  </si>
  <si>
    <t xml:space="preserve">50 ms</t>
  </si>
  <si>
    <t xml:space="preserve">visual detection task (2AFC)</t>
  </si>
  <si>
    <t xml:space="preserve">stimulation prolonged or decreased reaction times</t>
  </si>
  <si>
    <t xml:space="preserve">attention</t>
  </si>
  <si>
    <t xml:space="preserve">Thura &amp; Cisek,</t>
  </si>
  <si>
    <t xml:space="preserve">333 Hz</t>
  </si>
  <si>
    <t xml:space="preserve">anodal</t>
  </si>
  <si>
    <t xml:space="preserve">57 ms</t>
  </si>
  <si>
    <t xml:space="preserve">delays deliberation decision</t>
  </si>
  <si>
    <t xml:space="preserve">May et al.,</t>
  </si>
  <si>
    <t xml:space="preserve">PLOS ONE</t>
  </si>
  <si>
    <t xml:space="preserve">500 ms</t>
  </si>
  <si>
    <t xml:space="preserve">go no go vibration task</t>
  </si>
  <si>
    <t xml:space="preserve">replicates vibration in monkeys hand</t>
  </si>
  <si>
    <t xml:space="preserve">Verhoef et al.,</t>
  </si>
  <si>
    <t xml:space="preserve">3D shape preference, affects reaction time and choices</t>
  </si>
  <si>
    <t xml:space="preserve">Logothetis et al.,</t>
  </si>
  <si>
    <t xml:space="preserve">Nature Neuroscience</t>
  </si>
  <si>
    <t xml:space="preserve">3-200 Hz</t>
  </si>
  <si>
    <t xml:space="preserve">5-10 s</t>
  </si>
  <si>
    <t xml:space="preserve">Shibutani et al.,</t>
  </si>
  <si>
    <t xml:space="preserve">7a</t>
  </si>
  <si>
    <t xml:space="preserve">300-400 Hz</t>
  </si>
  <si>
    <t xml:space="preserve">0.3 ms</t>
  </si>
  <si>
    <t xml:space="preserve">40 ms</t>
  </si>
  <si>
    <t xml:space="preserve">blinking, saccades were induced at various sites</t>
  </si>
  <si>
    <t xml:space="preserve">Lehmann et al.,</t>
  </si>
  <si>
    <t xml:space="preserve">0.6 ms</t>
  </si>
  <si>
    <t xml:space="preserve">increase in pupil diameter</t>
  </si>
  <si>
    <t xml:space="preserve">Janson et al.,</t>
  </si>
  <si>
    <t xml:space="preserve">150-225 Hz</t>
  </si>
  <si>
    <t xml:space="preserve">Callier et al.,</t>
  </si>
  <si>
    <t xml:space="preserve">17-400 Hz</t>
  </si>
  <si>
    <t xml:space="preserve">frequency of stimulation could be detected based on 2AFC</t>
  </si>
  <si>
    <t xml:space="preserve">Schiller et al.,</t>
  </si>
  <si>
    <t xml:space="preserve">Visual Neuroscience</t>
  </si>
  <si>
    <t xml:space="preserve">performance of detection depends on timing of stimulation</t>
  </si>
  <si>
    <t xml:space="preserve">Arsenault &amp; Vanduffel.,</t>
  </si>
  <si>
    <t xml:space="preserve">monkeys became better at motion/contrast detection</t>
  </si>
  <si>
    <t xml:space="preserve">Ballesta et al.,</t>
  </si>
  <si>
    <t xml:space="preserve">Nature</t>
  </si>
  <si>
    <t xml:space="preserve">100-333 Hz</t>
  </si>
  <si>
    <t xml:space="preserve">300-600 ms</t>
  </si>
  <si>
    <t xml:space="preserve">visual detection (2AFC)</t>
  </si>
  <si>
    <t xml:space="preserve">low stimulation biases choices, high stimulation does the opposite</t>
  </si>
  <si>
    <t xml:space="preserve">Premereur &amp; Janssen,</t>
  </si>
  <si>
    <t xml:space="preserve">TE</t>
  </si>
  <si>
    <t xml:space="preserve">Amemori et al.,</t>
  </si>
  <si>
    <t xml:space="preserve">visual motor task</t>
  </si>
  <si>
    <t xml:space="preserve">induces irrational decision making</t>
  </si>
  <si>
    <t xml:space="preserve">Localized microstimulation of primate pregenual cingulate cortex induces negative decision-making</t>
  </si>
  <si>
    <t xml:space="preserve">Amemori &amp; Graybiel,</t>
  </si>
  <si>
    <t xml:space="preserve">pACC</t>
  </si>
  <si>
    <t xml:space="preserve">avoiding decision making to stimulated targets</t>
  </si>
  <si>
    <t xml:space="preserve">Gerits et al.,</t>
  </si>
  <si>
    <t xml:space="preserve">40 Hz</t>
  </si>
  <si>
    <t xml:space="preserve">8 ms</t>
  </si>
  <si>
    <t xml:space="preserve">16 s</t>
  </si>
  <si>
    <t xml:space="preserve">decreases latencies of the saccades</t>
  </si>
  <si>
    <t xml:space="preserve">Perachio et al.,</t>
  </si>
  <si>
    <t xml:space="preserve">Brain Research</t>
  </si>
  <si>
    <t xml:space="preserve">DMH</t>
  </si>
  <si>
    <t xml:space="preserve">10-30 s</t>
  </si>
  <si>
    <t xml:space="preserve">stimulation increases mounting and ejaculation in male animals</t>
  </si>
  <si>
    <t xml:space="preserve">sexual</t>
  </si>
  <si>
    <t xml:space="preserve">10-30s</t>
  </si>
  <si>
    <t xml:space="preserve">Moeller et al.,</t>
  </si>
  <si>
    <t xml:space="preserve">150 Hz</t>
  </si>
  <si>
    <t xml:space="preserve">visual face, object discrimination</t>
  </si>
  <si>
    <t xml:space="preserve">impaired face identity detection (less so for most other objects)</t>
  </si>
  <si>
    <t xml:space="preserve">Liu et al.,</t>
  </si>
  <si>
    <t xml:space="preserve">80 Hz</t>
  </si>
  <si>
    <t xml:space="preserve">visual delayed match to sample</t>
  </si>
  <si>
    <t xml:space="preserve">improved performance on working memory task</t>
  </si>
  <si>
    <t xml:space="preserve">Quinet &amp; Goffart,</t>
  </si>
  <si>
    <t xml:space="preserve">cFN</t>
  </si>
  <si>
    <t xml:space="preserve">100-300 ms</t>
  </si>
  <si>
    <t xml:space="preserve">induces eye movement, but not head movements</t>
  </si>
  <si>
    <t xml:space="preserve">Wang et al.,</t>
  </si>
  <si>
    <t xml:space="preserve">induces pupil dilation, sub-saccade threshold</t>
  </si>
  <si>
    <t xml:space="preserve">Belhaij-Saif et al.,</t>
  </si>
  <si>
    <t xml:space="preserve">RN</t>
  </si>
  <si>
    <t xml:space="preserve">60 ms</t>
  </si>
  <si>
    <t xml:space="preserve">motor task</t>
  </si>
  <si>
    <t xml:space="preserve">changes in muscles/movement following stimulation</t>
  </si>
  <si>
    <t xml:space="preserve">Mastumoto &amp; Hikosaka,</t>
  </si>
  <si>
    <t xml:space="preserve">LHB</t>
  </si>
  <si>
    <t xml:space="preserve">800-1500 ms</t>
  </si>
  <si>
    <t xml:space="preserve">visually guided saccade task</t>
  </si>
  <si>
    <t xml:space="preserve">bias in responses (decreases with stimulation)</t>
  </si>
  <si>
    <t xml:space="preserve">Freedman &amp; Sparks,</t>
  </si>
  <si>
    <t xml:space="preserve">63-1000 Hz</t>
  </si>
  <si>
    <t xml:space="preserve">10-400 ms</t>
  </si>
  <si>
    <t xml:space="preserve">saccades, head</t>
  </si>
  <si>
    <t xml:space="preserve">inducing gaze shifts both the eyes and the head</t>
  </si>
  <si>
    <t xml:space="preserve">Zimnik et al.,</t>
  </si>
  <si>
    <t xml:space="preserve">60 μs</t>
  </si>
  <si>
    <t xml:space="preserve">visual reaching task</t>
  </si>
  <si>
    <t xml:space="preserve">Schiff et al.,</t>
  </si>
  <si>
    <t xml:space="preserve">250 Hz</t>
  </si>
  <si>
    <t xml:space="preserve">20-30 s</t>
  </si>
  <si>
    <t xml:space="preserve">inducing nystagmus</t>
  </si>
  <si>
    <t xml:space="preserve">Monteon et al.,</t>
  </si>
  <si>
    <t xml:space="preserve">Bao et al.,</t>
  </si>
  <si>
    <t xml:space="preserve">Tehovnik &amp; Lee,</t>
  </si>
  <si>
    <t xml:space="preserve">140 Hz</t>
  </si>
  <si>
    <t xml:space="preserve">0.1 ms</t>
  </si>
  <si>
    <t xml:space="preserve">contraversive saccades with a termination zone, varied with fixation position</t>
  </si>
  <si>
    <t xml:space="preserve">optimal parameters (did parameter tests!)</t>
  </si>
  <si>
    <t xml:space="preserve">Galvan et al.,</t>
  </si>
  <si>
    <t xml:space="preserve">BGMT, CbMT</t>
  </si>
  <si>
    <t xml:space="preserve">wM / mm2</t>
  </si>
  <si>
    <t xml:space="preserve">Bartlett et al.,</t>
  </si>
  <si>
    <t xml:space="preserve">Macaca nemestrina</t>
  </si>
  <si>
    <t xml:space="preserve">1-1000 Hz</t>
  </si>
  <si>
    <t xml:space="preserve">10-1000 ms</t>
  </si>
  <si>
    <t xml:space="preserve">phosophene detection</t>
  </si>
  <si>
    <t xml:space="preserve">10-300 ms</t>
  </si>
  <si>
    <t xml:space="preserve">stimulation induces ipsilateral saccades</t>
  </si>
  <si>
    <t xml:space="preserve">Chen,</t>
  </si>
  <si>
    <t xml:space="preserve">100-200 Hz</t>
  </si>
  <si>
    <t xml:space="preserve">300-500 ms</t>
  </si>
  <si>
    <t xml:space="preserve">stimulation leads to gaze shifts based on eyes rather than head</t>
  </si>
  <si>
    <t xml:space="preserve">Medina et al.,</t>
  </si>
  <si>
    <t xml:space="preserve">2000 ms</t>
  </si>
  <si>
    <t xml:space="preserve">touch discrimination task</t>
  </si>
  <si>
    <t xml:space="preserve">monkeys can discriminate two targets when one is associated with stimulation</t>
  </si>
  <si>
    <t xml:space="preserve">Koyama et al.,</t>
  </si>
  <si>
    <t xml:space="preserve">VMH</t>
  </si>
  <si>
    <t xml:space="preserve">Macaca mulatta, Macaca fuscata</t>
  </si>
  <si>
    <t xml:space="preserve">2.5 s</t>
  </si>
  <si>
    <t xml:space="preserve">sexual presentation (in presence of males) following stimulation</t>
  </si>
  <si>
    <t xml:space="preserve">Okada et al.,</t>
  </si>
  <si>
    <t xml:space="preserve">Physiology &amp; Behaviour</t>
  </si>
  <si>
    <t xml:space="preserve">touching females after stimulation (increased), lip-smacking induced</t>
  </si>
  <si>
    <t xml:space="preserve">touching females after stimulation (increased)</t>
  </si>
  <si>
    <t xml:space="preserve">NRM</t>
  </si>
  <si>
    <t xml:space="preserve">Zhang et al.,</t>
  </si>
  <si>
    <t xml:space="preserve">150, 300 Hz</t>
  </si>
  <si>
    <t xml:space="preserve">0.25 ms</t>
  </si>
  <si>
    <t xml:space="preserve">delayed saccade task, foraging task</t>
  </si>
  <si>
    <t xml:space="preserve">induced saccades were based on value</t>
  </si>
  <si>
    <t xml:space="preserve">Tsunada et al.,</t>
  </si>
  <si>
    <t xml:space="preserve">250 μs</t>
  </si>
  <si>
    <t xml:space="preserve">depends on monkey</t>
  </si>
  <si>
    <t xml:space="preserve">auditory discrimination task</t>
  </si>
  <si>
    <t xml:space="preserve">affects the subsequent but not the current decision</t>
  </si>
  <si>
    <t xml:space="preserve">Vyas et al.,</t>
  </si>
  <si>
    <t xml:space="preserve">stimulation disrupts motor learning (updating rathter than current task)</t>
  </si>
  <si>
    <t xml:space="preserve">O'Doherty et al.,</t>
  </si>
  <si>
    <t xml:space="preserve">monkeys could learn to discriminate based on frequency of stimulation</t>
  </si>
  <si>
    <t xml:space="preserve">stimulation biased saccades to or from a visual target</t>
  </si>
  <si>
    <t xml:space="preserve">Tu &amp; Keating,</t>
  </si>
  <si>
    <t xml:space="preserve">50-400 ms</t>
  </si>
  <si>
    <t xml:space="preserve">stimulation leads to eye movement and (slight) head movement</t>
  </si>
  <si>
    <t xml:space="preserve">Kimmel &amp; Moore,</t>
  </si>
  <si>
    <t xml:space="preserve">35 ms</t>
  </si>
  <si>
    <t xml:space="preserve">monkeys made saccades based on stimulation site</t>
  </si>
  <si>
    <t xml:space="preserve">optimal parameters (did parameter tests!), mean inter pulse interval constant</t>
  </si>
  <si>
    <t xml:space="preserve">Chen &amp; Walton,</t>
  </si>
  <si>
    <t xml:space="preserve">stimulation leads to head movement independent of gaze</t>
  </si>
  <si>
    <t xml:space="preserve">Tamura et al.,</t>
  </si>
  <si>
    <t xml:space="preserve">Science</t>
  </si>
  <si>
    <t xml:space="preserve">Per</t>
  </si>
  <si>
    <t xml:space="preserve">Macaca fuscata</t>
  </si>
  <si>
    <t xml:space="preserve">2 ms</t>
  </si>
  <si>
    <t xml:space="preserve">600 ms</t>
  </si>
  <si>
    <t xml:space="preserve">visual recognition task</t>
  </si>
  <si>
    <t xml:space="preserve">monkeys thought they had never seen stimuli</t>
  </si>
  <si>
    <t xml:space="preserve">40, 333 Hz</t>
  </si>
  <si>
    <t xml:space="preserve">Jantz et al.,</t>
  </si>
  <si>
    <t xml:space="preserve">different saccade latencies and directions</t>
  </si>
  <si>
    <t xml:space="preserve">Wegener et al.,</t>
  </si>
  <si>
    <t xml:space="preserve">delayed reaction times for pro- and anti-saccades</t>
  </si>
  <si>
    <t xml:space="preserve">parameter test performed</t>
  </si>
  <si>
    <t xml:space="preserve">Bichot et al.,</t>
  </si>
  <si>
    <t xml:space="preserve">Journal of Neuroscience Methods</t>
  </si>
  <si>
    <t xml:space="preserve">visual search task</t>
  </si>
  <si>
    <t xml:space="preserve">stimulation worked as reinforcement</t>
  </si>
  <si>
    <t xml:space="preserve">Klink et al.,</t>
  </si>
  <si>
    <t xml:space="preserve">25 ms</t>
  </si>
  <si>
    <t xml:space="preserve">visual figure ground task</t>
  </si>
  <si>
    <t xml:space="preserve">Keller et al.,</t>
  </si>
  <si>
    <t xml:space="preserve">400 Hz</t>
  </si>
  <si>
    <t xml:space="preserve">18-20 ms</t>
  </si>
  <si>
    <t xml:space="preserve">visual task</t>
  </si>
  <si>
    <t xml:space="preserve">stimulation was used to disrupt, wasn't tested for behaviour</t>
  </si>
  <si>
    <t xml:space="preserve">Nichols &amp; Sparks,</t>
  </si>
  <si>
    <t xml:space="preserve">400, 500 Hz</t>
  </si>
  <si>
    <t xml:space="preserve">50-100 ms</t>
  </si>
  <si>
    <t xml:space="preserve">stimulation induced saccades either within or outside of a task</t>
  </si>
  <si>
    <t xml:space="preserve">Davis et al.,</t>
  </si>
  <si>
    <t xml:space="preserve">Aud</t>
  </si>
  <si>
    <t xml:space="preserve">stimulation of AL not ML biased the monkey's decision</t>
  </si>
  <si>
    <t xml:space="preserve">Neromyliotis &amp; Moschovakis,</t>
  </si>
  <si>
    <t xml:space="preserve">150 ms</t>
  </si>
  <si>
    <t xml:space="preserve">saccade generation, different from FEF however</t>
  </si>
  <si>
    <t xml:space="preserve">Burman &amp; Bruce,</t>
  </si>
  <si>
    <t xml:space="preserve">350-450 ms</t>
  </si>
  <si>
    <t xml:space="preserve">saccade suppression through stimulation</t>
  </si>
  <si>
    <t xml:space="preserve">Ebitz &amp; Moore,</t>
  </si>
  <si>
    <t xml:space="preserve">pupil light reflex was mediated by FEF</t>
  </si>
  <si>
    <t xml:space="preserve">movement initiation changed</t>
  </si>
  <si>
    <t xml:space="preserve">Yu et al.,</t>
  </si>
  <si>
    <t xml:space="preserve">stimulation biases decision of the animals</t>
  </si>
  <si>
    <t xml:space="preserve">Gandhi et al.,</t>
  </si>
  <si>
    <t xml:space="preserve">200-500 Hz</t>
  </si>
  <si>
    <t xml:space="preserve">induces eye and head movement</t>
  </si>
  <si>
    <t xml:space="preserve">Arsenault et al.,</t>
  </si>
  <si>
    <t xml:space="preserve">stimulation has reinforcing properties</t>
  </si>
  <si>
    <t xml:space="preserve">Doty,</t>
  </si>
  <si>
    <t xml:space="preserve">Macaca nemestrina, Macaca fascicularis</t>
  </si>
  <si>
    <t xml:space="preserve">seconds</t>
  </si>
  <si>
    <t xml:space="preserve">conditioned response associated with stimulation</t>
  </si>
  <si>
    <t xml:space="preserve">makes saccades depending on stimulation site, can be conditioned</t>
  </si>
  <si>
    <t xml:space="preserve">moves body parts based on stimulation site, can be conditioned</t>
  </si>
  <si>
    <t xml:space="preserve">moves body parts based on stimulation site (seems to feel things)</t>
  </si>
  <si>
    <t xml:space="preserve">moves body based on stimulation site</t>
  </si>
  <si>
    <t xml:space="preserve">doesn't respond to stimulation</t>
  </si>
  <si>
    <t xml:space="preserve">moves both eyes and head</t>
  </si>
  <si>
    <t xml:space="preserve">looks to a certain direction</t>
  </si>
  <si>
    <t xml:space="preserve">vmPFC</t>
  </si>
  <si>
    <t xml:space="preserve">looks into a specific direction, moves head</t>
  </si>
  <si>
    <t xml:space="preserve">Ins</t>
  </si>
  <si>
    <t xml:space="preserve">contracts toes</t>
  </si>
  <si>
    <t xml:space="preserve">emotion</t>
  </si>
  <si>
    <t xml:space="preserve">50, 300 Hz</t>
  </si>
  <si>
    <t xml:space="preserve">MGN</t>
  </si>
  <si>
    <t xml:space="preserve">LP (Thalamus)</t>
  </si>
  <si>
    <t xml:space="preserve">0.16 ms</t>
  </si>
  <si>
    <t xml:space="preserve">delayed saccade task</t>
  </si>
  <si>
    <t xml:space="preserve">enhances visual responses retinotopically</t>
  </si>
  <si>
    <t xml:space="preserve">Song et al.,</t>
  </si>
  <si>
    <t xml:space="preserve">30 minutes</t>
  </si>
  <si>
    <t xml:space="preserve">Opstal et al.,</t>
  </si>
  <si>
    <t xml:space="preserve">Macaca mulatta, Macaca fascicularis</t>
  </si>
  <si>
    <t xml:space="preserve">70 ms</t>
  </si>
  <si>
    <t xml:space="preserve">stimulation induces saccades, strength of which depends on stimulatin parameters (not the direction)</t>
  </si>
  <si>
    <t xml:space="preserve">Tehovnik &amp; Slocum,</t>
  </si>
  <si>
    <t xml:space="preserve">cathode first, anode first</t>
  </si>
  <si>
    <t xml:space="preserve">anode first stimulation more potent at preventing saccades to overlapping RF</t>
  </si>
  <si>
    <t xml:space="preserve">Sritharan et al.,</t>
  </si>
  <si>
    <t xml:space="preserve">IEEE Engineering in Medicine and Biology Society Annual Conference</t>
  </si>
  <si>
    <t xml:space="preserve">CN (brainstem)</t>
  </si>
  <si>
    <t xml:space="preserve">10 s</t>
  </si>
  <si>
    <t xml:space="preserve">learned to discriminate based on stimulation up to 80% correct</t>
  </si>
  <si>
    <t xml:space="preserve">Afraz et al.,</t>
  </si>
  <si>
    <t xml:space="preserve">Nature Letters</t>
  </si>
  <si>
    <t xml:space="preserve">bias towards choosing whether the stimulus was a face</t>
  </si>
  <si>
    <t xml:space="preserve">Masse &amp; Cook,</t>
  </si>
  <si>
    <t xml:space="preserve">33 ms</t>
  </si>
  <si>
    <t xml:space="preserve">better at discriminating whether there is motion</t>
  </si>
  <si>
    <t xml:space="preserve">Bruce et al.,</t>
  </si>
  <si>
    <t xml:space="preserve">saccades depending on stimulation site</t>
  </si>
  <si>
    <t xml:space="preserve">Ekstrom et al.,</t>
  </si>
  <si>
    <t xml:space="preserve">335 Hz</t>
  </si>
  <si>
    <t xml:space="preserve">380 μs</t>
  </si>
  <si>
    <t xml:space="preserve">Stanford et al.,</t>
  </si>
  <si>
    <t xml:space="preserve">500 Hz</t>
  </si>
  <si>
    <t xml:space="preserve">10-100 ms</t>
  </si>
  <si>
    <t xml:space="preserve">stimulation changes latency and strength of saccades in tasks</t>
  </si>
  <si>
    <t xml:space="preserve">Huffmaster et al.,</t>
  </si>
  <si>
    <t xml:space="preserve">Journal of Neuroscienc</t>
  </si>
  <si>
    <t xml:space="preserve">100-200 s</t>
  </si>
  <si>
    <t xml:space="preserve">stimulation induces (weak) involuntary movement</t>
  </si>
  <si>
    <t xml:space="preserve">Boulanger et al.,</t>
  </si>
  <si>
    <t xml:space="preserve">PMv</t>
  </si>
  <si>
    <t xml:space="preserve">330 Hz</t>
  </si>
  <si>
    <t xml:space="preserve">0.35 ms</t>
  </si>
  <si>
    <t xml:space="preserve">100-400 ms</t>
  </si>
  <si>
    <t xml:space="preserve">stimulation induces head and eye movement</t>
  </si>
  <si>
    <t xml:space="preserve">monkey reported perception of artificial stimulus</t>
  </si>
  <si>
    <t xml:space="preserve">V3A</t>
  </si>
  <si>
    <t xml:space="preserve">Weinrich &amp; Wise,</t>
  </si>
  <si>
    <t xml:space="preserve">stimulation induces movement in hands, arms, face, eyes</t>
  </si>
  <si>
    <t xml:space="preserve">Hanks et al.,</t>
  </si>
  <si>
    <t xml:space="preserve">stimulation biases the direction of motion selectivity</t>
  </si>
  <si>
    <t xml:space="preserve">Noto &amp; Gnadt,</t>
  </si>
  <si>
    <t xml:space="preserve">Macaca mulatta, Macaca radiata</t>
  </si>
  <si>
    <t xml:space="preserve">100-500 ms</t>
  </si>
  <si>
    <t xml:space="preserve">stimulation leads to complex saccade patterns</t>
  </si>
  <si>
    <t xml:space="preserve">Cutrell &amp; Marrocco,</t>
  </si>
  <si>
    <t xml:space="preserve">LIP, 7a</t>
  </si>
  <si>
    <t xml:space="preserve">attentional bias: decrease in reaction time to target</t>
  </si>
  <si>
    <t xml:space="preserve">Tehovnik et al.,</t>
  </si>
  <si>
    <t xml:space="preserve">European Journal of Neuroscience</t>
  </si>
  <si>
    <t xml:space="preserve">layer dependent phosphene detection thresholds</t>
  </si>
  <si>
    <t xml:space="preserve">Kraskov et al., </t>
  </si>
  <si>
    <t xml:space="preserve">PMv (F5)</t>
  </si>
  <si>
    <t xml:space="preserve">3-5 minutes</t>
  </si>
  <si>
    <t xml:space="preserve">80-130 ms</t>
  </si>
  <si>
    <t xml:space="preserve">approximation of phosphene perception by changing background colour</t>
  </si>
  <si>
    <t xml:space="preserve">fixation task, memory guided saccade task</t>
  </si>
  <si>
    <t xml:space="preserve">Griffin et al.,</t>
  </si>
  <si>
    <t xml:space="preserve">stimulation leads to movement in hands</t>
  </si>
  <si>
    <t xml:space="preserve">Celibrini &amp; Newsome,</t>
  </si>
  <si>
    <t xml:space="preserve">1 s</t>
  </si>
  <si>
    <t xml:space="preserve">stimulation biases choices to motion in receptive field</t>
  </si>
  <si>
    <t xml:space="preserve">Katnani &amp; Gandhi,</t>
  </si>
  <si>
    <t xml:space="preserve">100-700 Hz</t>
  </si>
  <si>
    <t xml:space="preserve">the magnitude and direction of the saccades depends on frequency more than amplitude</t>
  </si>
  <si>
    <t xml:space="preserve">Schiller &amp; Sandell,</t>
  </si>
  <si>
    <t xml:space="preserve">inducing saccades, but animals readjusted eyes</t>
  </si>
  <si>
    <t xml:space="preserve">Nucleus_Abducens</t>
  </si>
  <si>
    <t xml:space="preserve">inducing saccades, animals did not readjust based on intention</t>
  </si>
  <si>
    <t xml:space="preserve">Martinez-Trujillo et al.,</t>
  </si>
  <si>
    <t xml:space="preserve">both eye and head movements that look like natural gaze shifts</t>
  </si>
  <si>
    <t xml:space="preserve">200, 250, 333 Hz</t>
  </si>
  <si>
    <t xml:space="preserve">0.8 ms</t>
  </si>
  <si>
    <t xml:space="preserve">60-880 ms</t>
  </si>
  <si>
    <t xml:space="preserve">animals became better at distinguishing movement direction (with an opt-out option)</t>
  </si>
  <si>
    <t xml:space="preserve">Ni &amp; Maunsell,</t>
  </si>
  <si>
    <t xml:space="preserve">Amita et al.,</t>
  </si>
  <si>
    <t xml:space="preserve">mW / mm2</t>
  </si>
  <si>
    <t xml:space="preserve">visual free viewing</t>
  </si>
  <si>
    <t xml:space="preserve">stimulation decreases latency to 'good' (more rewarded) objects</t>
  </si>
  <si>
    <t xml:space="preserve">value</t>
  </si>
  <si>
    <t xml:space="preserve">Horwitz et al.,</t>
  </si>
  <si>
    <t xml:space="preserve">70-400 ms</t>
  </si>
  <si>
    <t xml:space="preserve">stimulation of SC also affects the decision, rather than just saccade planning</t>
  </si>
  <si>
    <t xml:space="preserve">Phillips et al.,</t>
  </si>
  <si>
    <t xml:space="preserve">Journal of Cognitive Neuroscience</t>
  </si>
  <si>
    <t xml:space="preserve">response times for pro-saccades were increased, and decreased for anti-saccades</t>
  </si>
  <si>
    <t xml:space="preserve">cognitive control</t>
  </si>
  <si>
    <t xml:space="preserve">Missal &amp; Heinen,</t>
  </si>
  <si>
    <t xml:space="preserve">visual smooth persuit</t>
  </si>
  <si>
    <t xml:space="preserve">stimulation increases saccade velocity in pursuit, doesn't do anything with fixation</t>
  </si>
  <si>
    <t xml:space="preserve">Kim et al.,</t>
  </si>
  <si>
    <t xml:space="preserve">50, 150, 250, 500 Hz</t>
  </si>
  <si>
    <t xml:space="preserve">anodal, cathodal first</t>
  </si>
  <si>
    <t xml:space="preserve">50-400 μs</t>
  </si>
  <si>
    <t xml:space="preserve">50-500 ms</t>
  </si>
  <si>
    <t xml:space="preserve">interval detection task (2AFC)</t>
  </si>
  <si>
    <t xml:space="preserve">animals were able to detect stimulation based on various stimulation parameters</t>
  </si>
  <si>
    <t xml:space="preserve">Interesting parameter study for S1</t>
  </si>
  <si>
    <t xml:space="preserve">Adelsberger et al.,</t>
  </si>
  <si>
    <t xml:space="preserve">40-80 ms</t>
  </si>
  <si>
    <t xml:space="preserve">somatosensory detection task</t>
  </si>
  <si>
    <t xml:space="preserve">stimulation induces stereotypical motor movement</t>
  </si>
  <si>
    <t xml:space="preserve">phosphene detection, background colour</t>
  </si>
  <si>
    <t xml:space="preserve">Zhang &amp; Britten,</t>
  </si>
  <si>
    <t xml:space="preserve">involvement in perception of self-motion</t>
  </si>
  <si>
    <t xml:space="preserve">McPeek et al.,</t>
  </si>
  <si>
    <t xml:space="preserve">200, 250, 400 Hz</t>
  </si>
  <si>
    <t xml:space="preserve">70-125 ms</t>
  </si>
  <si>
    <t xml:space="preserve">saccade curvature depending on site of SC stimulation</t>
  </si>
  <si>
    <t xml:space="preserve">100-300 Hz</t>
  </si>
  <si>
    <t xml:space="preserve">75-300 ms</t>
  </si>
  <si>
    <t xml:space="preserve">increases in delay field (response time to a phosphene in visual space)</t>
  </si>
  <si>
    <t xml:space="preserve">Missal &amp; Keller,</t>
  </si>
  <si>
    <t xml:space="preserve">strong deceleration of the eye during smooth pursuit</t>
  </si>
  <si>
    <t xml:space="preserve">Larson,</t>
  </si>
  <si>
    <t xml:space="preserve">NO ACCESS</t>
  </si>
  <si>
    <t xml:space="preserve">Seidemann et al.,</t>
  </si>
  <si>
    <t xml:space="preserve">800-1000 ms</t>
  </si>
  <si>
    <t xml:space="preserve">movement discrimination depends on timing of microstimulation</t>
  </si>
  <si>
    <t xml:space="preserve">Schafer &amp; Moore,</t>
  </si>
  <si>
    <t xml:space="preserve">60, 200 Hz</t>
  </si>
  <si>
    <t xml:space="preserve">subthreshold stimulation biases choices in motion discrimination</t>
  </si>
  <si>
    <t xml:space="preserve">Their &amp; Andersen,</t>
  </si>
  <si>
    <t xml:space="preserve">saccade induction: head-centered space</t>
  </si>
  <si>
    <t xml:space="preserve">Tanaka &amp; Lisberger,</t>
  </si>
  <si>
    <t xml:space="preserve">FPA (frontal cortex)</t>
  </si>
  <si>
    <t xml:space="preserve">75 ms</t>
  </si>
  <si>
    <t xml:space="preserve">fixation task, visual pursuit task</t>
  </si>
  <si>
    <t xml:space="preserve">smooth eye movements, stronger during saccades to targets</t>
  </si>
  <si>
    <t xml:space="preserve">Salzman et al.,</t>
  </si>
  <si>
    <t xml:space="preserve">200, 500 Hz</t>
  </si>
  <si>
    <t xml:space="preserve">stimulation biases motion perception</t>
  </si>
  <si>
    <t xml:space="preserve">Berdyyeva &amp; Olson,</t>
  </si>
  <si>
    <t xml:space="preserve">impairs monkeys ability to make sequential saccades</t>
  </si>
  <si>
    <t xml:space="preserve">Park et al.,</t>
  </si>
  <si>
    <t xml:space="preserve">15 Hz</t>
  </si>
  <si>
    <t xml:space="preserve">reach and prehension task</t>
  </si>
  <si>
    <t xml:space="preserve">stimulation induces movement of muscles</t>
  </si>
  <si>
    <t xml:space="preserve">Nichols &amp; Newsome,</t>
  </si>
  <si>
    <t xml:space="preserve">stimulation leads the monkey to report direction</t>
  </si>
  <si>
    <t xml:space="preserve">Horn et al.,</t>
  </si>
  <si>
    <t xml:space="preserve">can trigger vergence (depth perception) related saccades</t>
  </si>
  <si>
    <t xml:space="preserve">DeAngelis et al.,</t>
  </si>
  <si>
    <t xml:space="preserve">stimulation also affects movement in depth</t>
  </si>
  <si>
    <t xml:space="preserve">280 ms</t>
  </si>
  <si>
    <t xml:space="preserve">stimulation affects reaction times both pro/anti saccades, depends on timing</t>
  </si>
  <si>
    <t xml:space="preserve">Gattass &amp; Desimone,</t>
  </si>
  <si>
    <t xml:space="preserve">stimulation at attended but not unattended sites causes impairment of performance</t>
  </si>
  <si>
    <t xml:space="preserve">Sombeck &amp; Miller,</t>
  </si>
  <si>
    <t xml:space="preserve">50-500 Hz</t>
  </si>
  <si>
    <t xml:space="preserve">stimulation can serve as a cue to move a cursor to a target</t>
  </si>
  <si>
    <t xml:space="preserve">Beuzekom &amp; Van Gisbergen,</t>
  </si>
  <si>
    <t xml:space="preserve">20-66 ms</t>
  </si>
  <si>
    <t xml:space="preserve">stimulation induces E-saccades</t>
  </si>
  <si>
    <t xml:space="preserve">Overduin et al.,</t>
  </si>
  <si>
    <t xml:space="preserve">150-500 ms</t>
  </si>
  <si>
    <t xml:space="preserve">muscle synergies from microstimulation</t>
  </si>
  <si>
    <t xml:space="preserve">Liu &amp; Newsome,</t>
  </si>
  <si>
    <t xml:space="preserve">speed judgment of moving dots changes</t>
  </si>
  <si>
    <t xml:space="preserve">Munoz &amp; Istvan,</t>
  </si>
  <si>
    <t xml:space="preserve">0.1-0.3 ms</t>
  </si>
  <si>
    <t xml:space="preserve">20-500 ms</t>
  </si>
  <si>
    <t xml:space="preserve">fixation, memory guided-saccade task</t>
  </si>
  <si>
    <t xml:space="preserve">stimulation leads to saccades</t>
  </si>
  <si>
    <t xml:space="preserve">Hao et al.,</t>
  </si>
  <si>
    <t xml:space="preserve">Frontiers in Neural Circuits</t>
  </si>
  <si>
    <t xml:space="preserve">300 s</t>
  </si>
  <si>
    <t xml:space="preserve">Gu et al.,</t>
  </si>
  <si>
    <t xml:space="preserve">bias towards motion direction (not heading direction)</t>
  </si>
  <si>
    <t xml:space="preserve">stimulation replaces somatosensory stimuli</t>
  </si>
  <si>
    <t xml:space="preserve">Williams &amp; Eskandar,</t>
  </si>
  <si>
    <t xml:space="preserve">20, 200 Hz</t>
  </si>
  <si>
    <t xml:space="preserve">visual motion task</t>
  </si>
  <si>
    <t xml:space="preserve">improved learning in the task in post-stimulus stimulation</t>
  </si>
  <si>
    <t xml:space="preserve">Romo et al.,</t>
  </si>
  <si>
    <t xml:space="preserve">10-500 Hz</t>
  </si>
  <si>
    <t xml:space="preserve">stimulation can serve as a somatosensory cue</t>
  </si>
  <si>
    <t xml:space="preserve">phosphene detection depends on luminance of background</t>
  </si>
  <si>
    <t xml:space="preserve">Histed &amp; Miller,</t>
  </si>
  <si>
    <t xml:space="preserve">900 ms</t>
  </si>
  <si>
    <t xml:space="preserve">the sequence but not the location was affected when stimulating SEF</t>
  </si>
  <si>
    <t xml:space="preserve">working memory</t>
  </si>
  <si>
    <t xml:space="preserve">Hampson et al.,</t>
  </si>
  <si>
    <t xml:space="preserve">delayed match to sample</t>
  </si>
  <si>
    <t xml:space="preserve">enhances memory</t>
  </si>
  <si>
    <t xml:space="preserve">memory</t>
  </si>
  <si>
    <t xml:space="preserve">Paired stimulation of the frontal eye fields and the superior colliculus of the rhesus monkey</t>
  </si>
  <si>
    <t xml:space="preserve">16 ms</t>
  </si>
  <si>
    <t xml:space="preserve">Barborica &amp; Ferrera,</t>
  </si>
  <si>
    <t xml:space="preserve">Berg et al.,</t>
  </si>
  <si>
    <t xml:space="preserve">Murasugi et al.,</t>
  </si>
  <si>
    <t xml:space="preserve">Adab &amp; Vogels,</t>
  </si>
  <si>
    <t xml:space="preserve">Kojima et al.,</t>
  </si>
  <si>
    <t xml:space="preserve">Kawasaki &amp; Sheinberg,</t>
  </si>
  <si>
    <t xml:space="preserve">Noudoost et al.,</t>
  </si>
  <si>
    <t xml:space="preserve">Van Acker III et al., </t>
  </si>
  <si>
    <t xml:space="preserve">M2</t>
  </si>
  <si>
    <t xml:space="preserve">DMPFC</t>
  </si>
  <si>
    <t xml:space="preserve">Technique:</t>
  </si>
  <si>
    <t xml:space="preserve">Stimulation parameters:</t>
  </si>
  <si>
    <t xml:space="preserve">Behavioural effects:</t>
  </si>
  <si>
    <t xml:space="preserve">Brain area:</t>
  </si>
  <si>
    <t xml:space="preserve">Electrical microstimulation</t>
  </si>
  <si>
    <t xml:space="preserve">Saccades</t>
  </si>
  <si>
    <t xml:space="preserve">Cortical</t>
  </si>
  <si>
    <t xml:space="preserve">Optogenetics</t>
  </si>
  <si>
    <t xml:space="preserve">Amplitude (or Voltage)</t>
  </si>
  <si>
    <t xml:space="preserve">Motor movement</t>
  </si>
  <si>
    <t xml:space="preserve">Subcortical</t>
  </si>
  <si>
    <t xml:space="preserve">Cathode/anode first</t>
  </si>
  <si>
    <t xml:space="preserve">Direct (induced)</t>
  </si>
  <si>
    <t xml:space="preserve">Indirect (long term, perceptual)</t>
  </si>
  <si>
    <t xml:space="preserve">Number of animals?</t>
  </si>
  <si>
    <t xml:space="preserve">Not reported</t>
  </si>
  <si>
    <t xml:space="preserve">Topic</t>
  </si>
  <si>
    <t xml:space="preserve">Title:</t>
  </si>
  <si>
    <t xml:space="preserve">Basal ganglia, STN, parkinsonian animals</t>
  </si>
  <si>
    <t xml:space="preserve">Basal ganglia, movement disorders and deep brain stimulation: advances made through non-human primate research</t>
  </si>
  <si>
    <t xml:space="preserve">Retinal stimulation, visual prosthesis</t>
  </si>
  <si>
    <t xml:space="preserve">Cochlear stmiulation/prosthesis, vestibular</t>
  </si>
  <si>
    <t xml:space="preserve">Spinal cord recordings, stimulation</t>
  </si>
  <si>
    <t xml:space="preserve">Vasculature, cardiac studies</t>
  </si>
  <si>
    <t xml:space="preserve">Pharmacological, drug studies (including activation/inhibition brain)</t>
  </si>
  <si>
    <t xml:space="preserve">Histology, in vitro studies (ex vivo)</t>
  </si>
  <si>
    <t xml:space="preserve">Electrical microstimulation paramaters: biphasic pulses</t>
  </si>
  <si>
    <t xml:space="preserve">Electrical stimulation of neural tissue to evoke behavioural responses</t>
  </si>
  <si>
    <t xml:space="preserve">Paper</t>
  </si>
  <si>
    <t xml:space="preserve">Author</t>
  </si>
  <si>
    <t xml:space="preserve">Included</t>
  </si>
  <si>
    <t xml:space="preserve">Type</t>
  </si>
  <si>
    <t xml:space="preserve">Narita et al., 1999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</si>
</sst>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6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375" defaultRowHeight="13.5" zeroHeight="false" outlineLevelRow="0" outlineLevelCol="0"/>
  <cols>
    <col collapsed="false" customWidth="true" hidden="false" outlineLevel="0" max="1" min="1" style="0" width="44.31"/>
    <col collapsed="false" customWidth="true" hidden="false" outlineLevel="0" max="2" min="2" style="0" width="28.81"/>
    <col collapsed="false" customWidth="true" hidden="false" outlineLevel="0" max="3" min="3" style="0" width="16.31"/>
    <col collapsed="false" customWidth="true" hidden="false" outlineLevel="0" max="4" min="4" style="0" width="19.81"/>
  </cols>
  <sheetData>
    <row r="1" customFormat="false" ht="13.5" hidden="false" customHeight="false" outlineLevel="0" collapsed="false">
      <c r="A1" s="1" t="s">
        <v>0</v>
      </c>
      <c r="B1" s="0" t="s">
        <v>1</v>
      </c>
    </row>
    <row r="2" s="2" customFormat="true" ht="13.5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customFormat="false" ht="13.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3.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</row>
    <row r="5" customFormat="false" ht="13.5" hidden="false" customHeight="false" outlineLevel="0" collapsed="false">
      <c r="A5" s="0" t="s">
        <v>17</v>
      </c>
      <c r="B5" s="0" t="s">
        <v>18</v>
      </c>
      <c r="C5" s="0" t="s">
        <v>15</v>
      </c>
      <c r="D5" s="0" t="s">
        <v>19</v>
      </c>
    </row>
    <row r="6" customFormat="false" ht="13.5" hidden="false" customHeight="false" outlineLevel="0" collapsed="false">
      <c r="A6" s="0" t="s">
        <v>20</v>
      </c>
      <c r="B6" s="0" t="s">
        <v>21</v>
      </c>
      <c r="C6" s="0" t="s">
        <v>15</v>
      </c>
      <c r="D6" s="0" t="s">
        <v>19</v>
      </c>
    </row>
    <row r="7" customFormat="false" ht="13.5" hidden="false" customHeight="false" outlineLevel="0" collapsed="false">
      <c r="A7" s="0" t="s">
        <v>22</v>
      </c>
      <c r="B7" s="0" t="s">
        <v>23</v>
      </c>
      <c r="C7" s="0" t="s">
        <v>15</v>
      </c>
      <c r="D7" s="0" t="s">
        <v>24</v>
      </c>
    </row>
    <row r="8" customFormat="false" ht="13.5" hidden="false" customHeight="false" outlineLevel="0" collapsed="false">
      <c r="A8" s="0" t="s">
        <v>25</v>
      </c>
      <c r="B8" s="0" t="s">
        <v>26</v>
      </c>
      <c r="C8" s="0" t="s">
        <v>15</v>
      </c>
      <c r="D8" s="0" t="s">
        <v>24</v>
      </c>
    </row>
    <row r="9" customFormat="false" ht="13.5" hidden="false" customHeight="false" outlineLevel="0" collapsed="false">
      <c r="A9" s="0" t="s">
        <v>27</v>
      </c>
      <c r="B9" s="0" t="s">
        <v>28</v>
      </c>
      <c r="C9" s="0" t="s">
        <v>15</v>
      </c>
      <c r="D9" s="0" t="s">
        <v>24</v>
      </c>
    </row>
    <row r="10" customFormat="false" ht="13.5" hidden="false" customHeight="false" outlineLevel="0" collapsed="false">
      <c r="A10" s="0" t="s">
        <v>29</v>
      </c>
      <c r="B10" s="0" t="s">
        <v>30</v>
      </c>
      <c r="C10" s="0" t="s">
        <v>31</v>
      </c>
      <c r="D10" s="0" t="s">
        <v>19</v>
      </c>
      <c r="E10" s="0" t="s">
        <v>32</v>
      </c>
      <c r="F10" s="0" t="s">
        <v>33</v>
      </c>
    </row>
    <row r="11" customFormat="false" ht="13.5" hidden="false" customHeight="false" outlineLevel="0" collapsed="false">
      <c r="A11" s="0" t="s">
        <v>34</v>
      </c>
      <c r="B11" s="0" t="s">
        <v>35</v>
      </c>
      <c r="C11" s="0" t="s">
        <v>31</v>
      </c>
      <c r="D11" s="0" t="s">
        <v>16</v>
      </c>
      <c r="E11" s="0" t="s">
        <v>36</v>
      </c>
      <c r="F11" s="0" t="s">
        <v>37</v>
      </c>
    </row>
    <row r="12" customFormat="false" ht="13.5" hidden="false" customHeight="false" outlineLevel="0" collapsed="false">
      <c r="A12" s="0" t="s">
        <v>38</v>
      </c>
      <c r="B12" s="0" t="s">
        <v>39</v>
      </c>
      <c r="C12" s="0" t="s">
        <v>31</v>
      </c>
      <c r="D12" s="0" t="s">
        <v>16</v>
      </c>
      <c r="E12" s="0" t="s">
        <v>36</v>
      </c>
      <c r="F12" s="0" t="s">
        <v>37</v>
      </c>
    </row>
    <row r="13" customFormat="false" ht="13.5" hidden="false" customHeight="false" outlineLevel="0" collapsed="false">
      <c r="A13" s="0" t="s">
        <v>40</v>
      </c>
      <c r="B13" s="0" t="s">
        <v>41</v>
      </c>
      <c r="C13" s="0" t="s">
        <v>31</v>
      </c>
      <c r="D13" s="0" t="s">
        <v>16</v>
      </c>
      <c r="E13" s="0" t="s">
        <v>42</v>
      </c>
      <c r="F13" s="0" t="s">
        <v>43</v>
      </c>
    </row>
    <row r="14" customFormat="false" ht="13.5" hidden="false" customHeight="false" outlineLevel="0" collapsed="false">
      <c r="A14" s="0" t="s">
        <v>44</v>
      </c>
      <c r="B14" s="0" t="s">
        <v>45</v>
      </c>
      <c r="C14" s="0" t="s">
        <v>15</v>
      </c>
      <c r="D14" s="0" t="s">
        <v>46</v>
      </c>
      <c r="E14" s="0" t="s">
        <v>47</v>
      </c>
    </row>
    <row r="15" customFormat="false" ht="13.5" hidden="false" customHeight="false" outlineLevel="0" collapsed="false">
      <c r="A15" s="0" t="s">
        <v>48</v>
      </c>
      <c r="B15" s="0" t="s">
        <v>49</v>
      </c>
      <c r="C15" s="0" t="s">
        <v>15</v>
      </c>
      <c r="D15" s="0" t="s">
        <v>19</v>
      </c>
      <c r="E15" s="0" t="s">
        <v>50</v>
      </c>
    </row>
    <row r="16" customFormat="false" ht="13.5" hidden="false" customHeight="false" outlineLevel="0" collapsed="false">
      <c r="A16" s="0" t="s">
        <v>51</v>
      </c>
      <c r="B16" s="0" t="s">
        <v>52</v>
      </c>
      <c r="C16" s="0" t="s">
        <v>31</v>
      </c>
      <c r="D16" s="0" t="s">
        <v>16</v>
      </c>
      <c r="E16" s="0" t="s">
        <v>53</v>
      </c>
      <c r="F16" s="0" t="s">
        <v>37</v>
      </c>
    </row>
    <row r="17" customFormat="false" ht="13.5" hidden="false" customHeight="false" outlineLevel="0" collapsed="false">
      <c r="A17" s="0" t="s">
        <v>54</v>
      </c>
      <c r="B17" s="0" t="s">
        <v>55</v>
      </c>
      <c r="C17" s="0" t="s">
        <v>15</v>
      </c>
      <c r="D17" s="0" t="s">
        <v>19</v>
      </c>
      <c r="E17" s="0" t="s">
        <v>56</v>
      </c>
    </row>
    <row r="18" customFormat="false" ht="13.5" hidden="false" customHeight="false" outlineLevel="0" collapsed="false">
      <c r="A18" s="0" t="s">
        <v>57</v>
      </c>
      <c r="B18" s="0" t="s">
        <v>58</v>
      </c>
      <c r="C18" s="0" t="s">
        <v>31</v>
      </c>
      <c r="D18" s="0" t="s">
        <v>46</v>
      </c>
      <c r="E18" s="0" t="s">
        <v>59</v>
      </c>
      <c r="G18" s="0" t="s">
        <v>60</v>
      </c>
    </row>
    <row r="19" customFormat="false" ht="13.5" hidden="false" customHeight="false" outlineLevel="0" collapsed="false">
      <c r="A19" s="0" t="s">
        <v>61</v>
      </c>
      <c r="B19" s="0" t="s">
        <v>62</v>
      </c>
      <c r="C19" s="0" t="s">
        <v>15</v>
      </c>
      <c r="D19" s="0" t="s">
        <v>46</v>
      </c>
      <c r="E19" s="0" t="s">
        <v>63</v>
      </c>
    </row>
    <row r="20" customFormat="false" ht="13.5" hidden="false" customHeight="false" outlineLevel="0" collapsed="false">
      <c r="A20" s="0" t="s">
        <v>64</v>
      </c>
      <c r="B20" s="0" t="s">
        <v>65</v>
      </c>
      <c r="C20" s="0" t="s">
        <v>15</v>
      </c>
      <c r="D20" s="0" t="s">
        <v>16</v>
      </c>
      <c r="E20" s="0" t="s">
        <v>66</v>
      </c>
    </row>
    <row r="21" customFormat="false" ht="13.5" hidden="false" customHeight="false" outlineLevel="0" collapsed="false">
      <c r="A21" s="0" t="s">
        <v>67</v>
      </c>
      <c r="B21" s="0" t="s">
        <v>68</v>
      </c>
      <c r="C21" s="0" t="s">
        <v>31</v>
      </c>
      <c r="D21" s="0" t="s">
        <v>69</v>
      </c>
    </row>
    <row r="22" customFormat="false" ht="13.5" hidden="false" customHeight="false" outlineLevel="0" collapsed="false">
      <c r="A22" s="0" t="s">
        <v>70</v>
      </c>
      <c r="B22" s="0" t="s">
        <v>71</v>
      </c>
      <c r="C22" s="0" t="s">
        <v>15</v>
      </c>
      <c r="D22" s="0" t="s">
        <v>19</v>
      </c>
      <c r="E22" s="0" t="s">
        <v>32</v>
      </c>
    </row>
    <row r="23" customFormat="false" ht="13.5" hidden="false" customHeight="false" outlineLevel="0" collapsed="false">
      <c r="A23" s="0" t="s">
        <v>72</v>
      </c>
      <c r="B23" s="0" t="s">
        <v>73</v>
      </c>
      <c r="C23" s="0" t="s">
        <v>15</v>
      </c>
      <c r="D23" s="0" t="s">
        <v>19</v>
      </c>
      <c r="E23" s="0" t="s">
        <v>12</v>
      </c>
    </row>
    <row r="24" customFormat="false" ht="13.5" hidden="false" customHeight="false" outlineLevel="0" collapsed="false">
      <c r="A24" s="0" t="s">
        <v>74</v>
      </c>
      <c r="B24" s="0" t="s">
        <v>75</v>
      </c>
      <c r="C24" s="0" t="s">
        <v>15</v>
      </c>
      <c r="D24" s="0" t="s">
        <v>19</v>
      </c>
      <c r="E24" s="0" t="s">
        <v>76</v>
      </c>
    </row>
    <row r="25" customFormat="false" ht="13.5" hidden="false" customHeight="false" outlineLevel="0" collapsed="false">
      <c r="A25" s="0" t="s">
        <v>77</v>
      </c>
      <c r="B25" s="0" t="s">
        <v>78</v>
      </c>
      <c r="C25" s="0" t="s">
        <v>15</v>
      </c>
      <c r="D25" s="0" t="s">
        <v>19</v>
      </c>
      <c r="E25" s="0" t="s">
        <v>79</v>
      </c>
    </row>
    <row r="26" customFormat="false" ht="13.5" hidden="false" customHeight="false" outlineLevel="0" collapsed="false">
      <c r="A26" s="0" t="s">
        <v>80</v>
      </c>
      <c r="B26" s="0" t="s">
        <v>23</v>
      </c>
      <c r="C26" s="0" t="s">
        <v>15</v>
      </c>
      <c r="D26" s="0" t="s">
        <v>46</v>
      </c>
      <c r="E26" s="0" t="s">
        <v>81</v>
      </c>
    </row>
    <row r="27" customFormat="false" ht="13.5" hidden="false" customHeight="false" outlineLevel="0" collapsed="false">
      <c r="A27" s="0" t="s">
        <v>82</v>
      </c>
      <c r="B27" s="0" t="s">
        <v>83</v>
      </c>
      <c r="C27" s="0" t="s">
        <v>15</v>
      </c>
      <c r="D27" s="0" t="s">
        <v>19</v>
      </c>
      <c r="E27" s="0" t="s">
        <v>84</v>
      </c>
      <c r="F27" s="0" t="s">
        <v>85</v>
      </c>
    </row>
    <row r="28" customFormat="false" ht="13.5" hidden="false" customHeight="false" outlineLevel="0" collapsed="false">
      <c r="A28" s="0" t="s">
        <v>86</v>
      </c>
      <c r="B28" s="0" t="s">
        <v>87</v>
      </c>
      <c r="C28" s="0" t="s">
        <v>15</v>
      </c>
      <c r="D28" s="0" t="s">
        <v>19</v>
      </c>
      <c r="E28" s="0" t="s">
        <v>88</v>
      </c>
    </row>
    <row r="29" customFormat="false" ht="13.5" hidden="false" customHeight="false" outlineLevel="0" collapsed="false">
      <c r="A29" s="0" t="s">
        <v>89</v>
      </c>
      <c r="B29" s="0" t="s">
        <v>90</v>
      </c>
      <c r="C29" s="0" t="s">
        <v>15</v>
      </c>
      <c r="D29" s="0" t="s">
        <v>24</v>
      </c>
      <c r="E29" s="0" t="s">
        <v>81</v>
      </c>
    </row>
    <row r="30" customFormat="false" ht="13.5" hidden="false" customHeight="false" outlineLevel="0" collapsed="false">
      <c r="A30" s="0" t="s">
        <v>91</v>
      </c>
      <c r="B30" s="0" t="s">
        <v>92</v>
      </c>
      <c r="C30" s="0" t="s">
        <v>15</v>
      </c>
      <c r="D30" s="0" t="s">
        <v>19</v>
      </c>
      <c r="E30" s="0" t="s">
        <v>47</v>
      </c>
    </row>
    <row r="31" customFormat="false" ht="13.5" hidden="false" customHeight="false" outlineLevel="0" collapsed="false">
      <c r="A31" s="0" t="s">
        <v>93</v>
      </c>
      <c r="B31" s="0" t="s">
        <v>94</v>
      </c>
      <c r="C31" s="0" t="s">
        <v>15</v>
      </c>
      <c r="D31" s="0" t="s">
        <v>19</v>
      </c>
      <c r="E31" s="0" t="s">
        <v>95</v>
      </c>
    </row>
    <row r="32" customFormat="false" ht="13.5" hidden="false" customHeight="false" outlineLevel="0" collapsed="false">
      <c r="A32" s="0" t="s">
        <v>96</v>
      </c>
      <c r="B32" s="0" t="s">
        <v>97</v>
      </c>
      <c r="C32" s="0" t="s">
        <v>15</v>
      </c>
      <c r="D32" s="0" t="s">
        <v>19</v>
      </c>
      <c r="E32" s="0" t="s">
        <v>98</v>
      </c>
    </row>
    <row r="33" customFormat="false" ht="13.5" hidden="false" customHeight="false" outlineLevel="0" collapsed="false">
      <c r="A33" s="0" t="s">
        <v>99</v>
      </c>
      <c r="B33" s="0" t="s">
        <v>100</v>
      </c>
      <c r="C33" s="0" t="s">
        <v>15</v>
      </c>
      <c r="D33" s="0" t="s">
        <v>19</v>
      </c>
      <c r="E33" s="0" t="s">
        <v>101</v>
      </c>
    </row>
    <row r="34" customFormat="false" ht="13.5" hidden="false" customHeight="false" outlineLevel="0" collapsed="false">
      <c r="A34" s="0" t="s">
        <v>102</v>
      </c>
      <c r="B34" s="0" t="s">
        <v>103</v>
      </c>
      <c r="C34" s="0" t="s">
        <v>15</v>
      </c>
      <c r="D34" s="0" t="s">
        <v>19</v>
      </c>
      <c r="E34" s="0" t="s">
        <v>104</v>
      </c>
    </row>
    <row r="35" customFormat="false" ht="13.5" hidden="false" customHeight="false" outlineLevel="0" collapsed="false">
      <c r="A35" s="0" t="s">
        <v>105</v>
      </c>
      <c r="B35" s="0" t="s">
        <v>106</v>
      </c>
      <c r="C35" s="0" t="s">
        <v>15</v>
      </c>
      <c r="D35" s="0" t="s">
        <v>107</v>
      </c>
      <c r="E35" s="0" t="s">
        <v>12</v>
      </c>
    </row>
    <row r="36" customFormat="false" ht="13.5" hidden="false" customHeight="false" outlineLevel="0" collapsed="false">
      <c r="A36" s="0" t="s">
        <v>108</v>
      </c>
      <c r="B36" s="0" t="s">
        <v>109</v>
      </c>
      <c r="C36" s="0" t="s">
        <v>15</v>
      </c>
      <c r="D36" s="0" t="s">
        <v>19</v>
      </c>
      <c r="E36" s="0" t="s">
        <v>110</v>
      </c>
    </row>
    <row r="37" customFormat="false" ht="13.5" hidden="false" customHeight="false" outlineLevel="0" collapsed="false">
      <c r="A37" s="0" t="s">
        <v>111</v>
      </c>
      <c r="B37" s="0" t="s">
        <v>112</v>
      </c>
      <c r="C37" s="0" t="s">
        <v>15</v>
      </c>
      <c r="D37" s="0" t="s">
        <v>24</v>
      </c>
      <c r="E37" s="0" t="s">
        <v>113</v>
      </c>
    </row>
    <row r="38" customFormat="false" ht="13.5" hidden="false" customHeight="false" outlineLevel="0" collapsed="false">
      <c r="A38" s="0" t="s">
        <v>114</v>
      </c>
      <c r="B38" s="0" t="s">
        <v>115</v>
      </c>
      <c r="C38" s="0" t="s">
        <v>15</v>
      </c>
      <c r="D38" s="0" t="s">
        <v>19</v>
      </c>
      <c r="E38" s="0" t="s">
        <v>98</v>
      </c>
    </row>
    <row r="39" customFormat="false" ht="13.5" hidden="false" customHeight="false" outlineLevel="0" collapsed="false">
      <c r="A39" s="0" t="s">
        <v>116</v>
      </c>
      <c r="B39" s="0" t="s">
        <v>117</v>
      </c>
      <c r="C39" s="0" t="s">
        <v>15</v>
      </c>
      <c r="D39" s="0" t="s">
        <v>118</v>
      </c>
      <c r="E39" s="0" t="s">
        <v>119</v>
      </c>
    </row>
    <row r="40" customFormat="false" ht="13.5" hidden="false" customHeight="false" outlineLevel="0" collapsed="false">
      <c r="A40" s="0" t="s">
        <v>120</v>
      </c>
      <c r="B40" s="0" t="s">
        <v>121</v>
      </c>
      <c r="C40" s="0" t="s">
        <v>15</v>
      </c>
      <c r="D40" s="0" t="s">
        <v>24</v>
      </c>
      <c r="E40" s="0" t="s">
        <v>122</v>
      </c>
    </row>
    <row r="41" customFormat="false" ht="13.5" hidden="false" customHeight="false" outlineLevel="0" collapsed="false">
      <c r="A41" s="0" t="s">
        <v>123</v>
      </c>
      <c r="B41" s="0" t="s">
        <v>124</v>
      </c>
      <c r="C41" s="0" t="s">
        <v>15</v>
      </c>
      <c r="D41" s="0" t="s">
        <v>19</v>
      </c>
      <c r="E41" s="0" t="s">
        <v>32</v>
      </c>
    </row>
    <row r="42" customFormat="false" ht="13.5" hidden="false" customHeight="false" outlineLevel="0" collapsed="false">
      <c r="A42" s="0" t="s">
        <v>125</v>
      </c>
      <c r="B42" s="0" t="s">
        <v>126</v>
      </c>
      <c r="C42" s="0" t="s">
        <v>15</v>
      </c>
      <c r="D42" s="0" t="s">
        <v>24</v>
      </c>
      <c r="E42" s="0" t="s">
        <v>12</v>
      </c>
    </row>
    <row r="43" customFormat="false" ht="13.5" hidden="false" customHeight="false" outlineLevel="0" collapsed="false">
      <c r="A43" s="0" t="s">
        <v>127</v>
      </c>
      <c r="B43" s="0" t="s">
        <v>128</v>
      </c>
      <c r="C43" s="0" t="s">
        <v>31</v>
      </c>
      <c r="D43" s="0" t="s">
        <v>19</v>
      </c>
      <c r="E43" s="0" t="s">
        <v>76</v>
      </c>
      <c r="F43" s="0" t="s">
        <v>60</v>
      </c>
    </row>
    <row r="44" customFormat="false" ht="13.5" hidden="false" customHeight="false" outlineLevel="0" collapsed="false">
      <c r="A44" s="0" t="s">
        <v>129</v>
      </c>
      <c r="B44" s="0" t="s">
        <v>130</v>
      </c>
      <c r="C44" s="0" t="s">
        <v>15</v>
      </c>
      <c r="D44" s="0" t="s">
        <v>19</v>
      </c>
      <c r="E44" s="0" t="s">
        <v>131</v>
      </c>
    </row>
    <row r="45" customFormat="false" ht="13.5" hidden="false" customHeight="false" outlineLevel="0" collapsed="false">
      <c r="A45" s="0" t="s">
        <v>132</v>
      </c>
      <c r="B45" s="0" t="s">
        <v>133</v>
      </c>
      <c r="C45" s="0" t="s">
        <v>15</v>
      </c>
      <c r="D45" s="0" t="s">
        <v>16</v>
      </c>
      <c r="E45" s="0" t="s">
        <v>134</v>
      </c>
    </row>
    <row r="46" customFormat="false" ht="13.5" hidden="false" customHeight="false" outlineLevel="0" collapsed="false">
      <c r="A46" s="0" t="s">
        <v>135</v>
      </c>
      <c r="B46" s="0" t="s">
        <v>136</v>
      </c>
      <c r="C46" s="0" t="s">
        <v>15</v>
      </c>
      <c r="D46" s="0" t="s">
        <v>19</v>
      </c>
      <c r="E46" s="0" t="s">
        <v>47</v>
      </c>
    </row>
    <row r="47" customFormat="false" ht="13.5" hidden="false" customHeight="false" outlineLevel="0" collapsed="false">
      <c r="A47" s="0" t="s">
        <v>137</v>
      </c>
      <c r="B47" s="0" t="s">
        <v>138</v>
      </c>
      <c r="C47" s="0" t="s">
        <v>31</v>
      </c>
      <c r="D47" s="0" t="s">
        <v>19</v>
      </c>
      <c r="E47" s="0" t="s">
        <v>12</v>
      </c>
      <c r="F47" s="0" t="s">
        <v>60</v>
      </c>
    </row>
    <row r="48" customFormat="false" ht="13.5" hidden="false" customHeight="false" outlineLevel="0" collapsed="false">
      <c r="A48" s="0" t="s">
        <v>139</v>
      </c>
      <c r="B48" s="0" t="s">
        <v>140</v>
      </c>
      <c r="C48" s="0" t="s">
        <v>15</v>
      </c>
      <c r="D48" s="0" t="s">
        <v>19</v>
      </c>
      <c r="E48" s="0" t="s">
        <v>141</v>
      </c>
    </row>
    <row r="49" customFormat="false" ht="13.5" hidden="false" customHeight="false" outlineLevel="0" collapsed="false">
      <c r="A49" s="0" t="s">
        <v>142</v>
      </c>
      <c r="B49" s="0" t="s">
        <v>143</v>
      </c>
      <c r="C49" s="0" t="s">
        <v>15</v>
      </c>
      <c r="D49" s="0" t="s">
        <v>19</v>
      </c>
      <c r="E49" s="0" t="s">
        <v>144</v>
      </c>
    </row>
    <row r="50" customFormat="false" ht="13.5" hidden="false" customHeight="false" outlineLevel="0" collapsed="false">
      <c r="A50" s="0" t="s">
        <v>145</v>
      </c>
      <c r="B50" s="0" t="s">
        <v>146</v>
      </c>
      <c r="C50" s="0" t="s">
        <v>15</v>
      </c>
      <c r="D50" s="0" t="s">
        <v>19</v>
      </c>
      <c r="E50" s="0" t="s">
        <v>147</v>
      </c>
    </row>
    <row r="51" customFormat="false" ht="13.5" hidden="false" customHeight="false" outlineLevel="0" collapsed="false">
      <c r="A51" s="0" t="s">
        <v>148</v>
      </c>
      <c r="B51" s="0" t="s">
        <v>149</v>
      </c>
      <c r="C51" s="0" t="s">
        <v>15</v>
      </c>
      <c r="D51" s="0" t="s">
        <v>24</v>
      </c>
      <c r="E51" s="0" t="s">
        <v>150</v>
      </c>
    </row>
    <row r="52" customFormat="false" ht="13.5" hidden="false" customHeight="false" outlineLevel="0" collapsed="false">
      <c r="A52" s="0" t="s">
        <v>151</v>
      </c>
      <c r="B52" s="0" t="s">
        <v>152</v>
      </c>
      <c r="C52" s="0" t="s">
        <v>15</v>
      </c>
      <c r="D52" s="0" t="s">
        <v>19</v>
      </c>
      <c r="E52" s="0" t="s">
        <v>153</v>
      </c>
    </row>
    <row r="53" customFormat="false" ht="13.5" hidden="false" customHeight="false" outlineLevel="0" collapsed="false">
      <c r="A53" s="0" t="s">
        <v>154</v>
      </c>
      <c r="B53" s="0" t="s">
        <v>155</v>
      </c>
      <c r="C53" s="0" t="s">
        <v>15</v>
      </c>
      <c r="D53" s="0" t="s">
        <v>19</v>
      </c>
      <c r="E53" s="0" t="s">
        <v>59</v>
      </c>
    </row>
    <row r="54" customFormat="false" ht="13.5" hidden="false" customHeight="false" outlineLevel="0" collapsed="false">
      <c r="A54" s="0" t="s">
        <v>156</v>
      </c>
      <c r="B54" s="0" t="s">
        <v>157</v>
      </c>
      <c r="C54" s="0" t="s">
        <v>15</v>
      </c>
      <c r="D54" s="0" t="s">
        <v>19</v>
      </c>
      <c r="E54" s="0" t="s">
        <v>158</v>
      </c>
    </row>
    <row r="55" customFormat="false" ht="13.5" hidden="false" customHeight="false" outlineLevel="0" collapsed="false">
      <c r="A55" s="0" t="s">
        <v>159</v>
      </c>
      <c r="B55" s="0" t="s">
        <v>160</v>
      </c>
      <c r="C55" s="0" t="s">
        <v>15</v>
      </c>
      <c r="D55" s="0" t="s">
        <v>19</v>
      </c>
      <c r="E55" s="0" t="s">
        <v>47</v>
      </c>
    </row>
    <row r="56" customFormat="false" ht="13.5" hidden="false" customHeight="false" outlineLevel="0" collapsed="false">
      <c r="A56" s="0" t="s">
        <v>161</v>
      </c>
      <c r="B56" s="0" t="s">
        <v>162</v>
      </c>
      <c r="C56" s="0" t="s">
        <v>15</v>
      </c>
      <c r="D56" s="0" t="s">
        <v>16</v>
      </c>
      <c r="E56" s="0" t="s">
        <v>163</v>
      </c>
      <c r="F56" s="0" t="s">
        <v>164</v>
      </c>
    </row>
    <row r="57" customFormat="false" ht="13.5" hidden="false" customHeight="false" outlineLevel="0" collapsed="false">
      <c r="A57" s="0" t="s">
        <v>165</v>
      </c>
      <c r="B57" s="0" t="s">
        <v>166</v>
      </c>
      <c r="C57" s="0" t="s">
        <v>15</v>
      </c>
      <c r="D57" s="0" t="s">
        <v>19</v>
      </c>
      <c r="E57" s="0" t="s">
        <v>134</v>
      </c>
    </row>
    <row r="58" customFormat="false" ht="13.5" hidden="false" customHeight="false" outlineLevel="0" collapsed="false">
      <c r="A58" s="0" t="s">
        <v>167</v>
      </c>
      <c r="B58" s="0" t="s">
        <v>168</v>
      </c>
      <c r="C58" s="0" t="s">
        <v>15</v>
      </c>
      <c r="D58" s="0" t="s">
        <v>19</v>
      </c>
      <c r="E58" s="0" t="s">
        <v>150</v>
      </c>
    </row>
    <row r="59" customFormat="false" ht="13.5" hidden="false" customHeight="false" outlineLevel="0" collapsed="false">
      <c r="A59" s="0" t="s">
        <v>169</v>
      </c>
      <c r="B59" s="0" t="s">
        <v>170</v>
      </c>
      <c r="C59" s="0" t="s">
        <v>31</v>
      </c>
      <c r="D59" s="0" t="s">
        <v>171</v>
      </c>
      <c r="E59" s="0" t="s">
        <v>172</v>
      </c>
    </row>
    <row r="60" customFormat="false" ht="13.5" hidden="false" customHeight="false" outlineLevel="0" collapsed="false">
      <c r="A60" s="0" t="s">
        <v>173</v>
      </c>
      <c r="B60" s="0" t="s">
        <v>174</v>
      </c>
      <c r="C60" s="0" t="s">
        <v>15</v>
      </c>
      <c r="D60" s="0" t="s">
        <v>19</v>
      </c>
      <c r="E60" s="0" t="s">
        <v>12</v>
      </c>
    </row>
    <row r="61" customFormat="false" ht="13.5" hidden="false" customHeight="false" outlineLevel="0" collapsed="false">
      <c r="A61" s="0" t="s">
        <v>175</v>
      </c>
      <c r="B61" s="0" t="s">
        <v>176</v>
      </c>
      <c r="C61" s="0" t="s">
        <v>31</v>
      </c>
      <c r="D61" s="0" t="s">
        <v>19</v>
      </c>
      <c r="E61" s="0" t="s">
        <v>59</v>
      </c>
      <c r="F61" s="0" t="s">
        <v>60</v>
      </c>
    </row>
    <row r="62" customFormat="false" ht="13.5" hidden="false" customHeight="false" outlineLevel="0" collapsed="false">
      <c r="A62" s="0" t="s">
        <v>177</v>
      </c>
      <c r="B62" s="0" t="s">
        <v>178</v>
      </c>
      <c r="C62" s="0" t="s">
        <v>15</v>
      </c>
      <c r="D62" s="0" t="s">
        <v>19</v>
      </c>
      <c r="E62" s="0" t="s">
        <v>56</v>
      </c>
    </row>
    <row r="63" customFormat="false" ht="13.5" hidden="false" customHeight="false" outlineLevel="0" collapsed="false">
      <c r="A63" s="0" t="s">
        <v>179</v>
      </c>
      <c r="B63" s="0" t="s">
        <v>180</v>
      </c>
      <c r="C63" s="0" t="s">
        <v>15</v>
      </c>
      <c r="D63" s="0" t="s">
        <v>19</v>
      </c>
      <c r="E63" s="0" t="s">
        <v>181</v>
      </c>
    </row>
    <row r="64" customFormat="false" ht="13.5" hidden="false" customHeight="false" outlineLevel="0" collapsed="false">
      <c r="A64" s="0" t="s">
        <v>182</v>
      </c>
      <c r="B64" s="0" t="s">
        <v>183</v>
      </c>
      <c r="C64" s="0" t="s">
        <v>15</v>
      </c>
      <c r="D64" s="0" t="s">
        <v>19</v>
      </c>
      <c r="E64" s="0" t="s">
        <v>81</v>
      </c>
    </row>
    <row r="65" customFormat="false" ht="13.5" hidden="false" customHeight="false" outlineLevel="0" collapsed="false">
      <c r="A65" s="0" t="s">
        <v>184</v>
      </c>
      <c r="B65" s="0" t="s">
        <v>185</v>
      </c>
      <c r="C65" s="0" t="s">
        <v>15</v>
      </c>
      <c r="D65" s="0" t="s">
        <v>19</v>
      </c>
      <c r="E65" s="0" t="s">
        <v>186</v>
      </c>
    </row>
    <row r="66" customFormat="false" ht="13.5" hidden="false" customHeight="false" outlineLevel="0" collapsed="false">
      <c r="A66" s="0" t="s">
        <v>187</v>
      </c>
      <c r="B66" s="0" t="s">
        <v>188</v>
      </c>
      <c r="C66" s="0" t="s">
        <v>15</v>
      </c>
      <c r="D66" s="0" t="s">
        <v>24</v>
      </c>
      <c r="E66" s="0" t="s">
        <v>189</v>
      </c>
    </row>
    <row r="67" customFormat="false" ht="13.5" hidden="false" customHeight="false" outlineLevel="0" collapsed="false">
      <c r="A67" s="0" t="s">
        <v>190</v>
      </c>
      <c r="B67" s="0" t="s">
        <v>191</v>
      </c>
      <c r="C67" s="0" t="s">
        <v>15</v>
      </c>
      <c r="D67" s="0" t="s">
        <v>19</v>
      </c>
      <c r="E67" s="0" t="s">
        <v>192</v>
      </c>
    </row>
    <row r="68" customFormat="false" ht="13.5" hidden="false" customHeight="false" outlineLevel="0" collapsed="false">
      <c r="A68" s="0" t="s">
        <v>193</v>
      </c>
      <c r="B68" s="0" t="s">
        <v>194</v>
      </c>
      <c r="C68" s="0" t="s">
        <v>15</v>
      </c>
      <c r="D68" s="0" t="s">
        <v>19</v>
      </c>
      <c r="E68" s="0" t="s">
        <v>81</v>
      </c>
    </row>
    <row r="69" customFormat="false" ht="13.5" hidden="false" customHeight="false" outlineLevel="0" collapsed="false">
      <c r="A69" s="0" t="s">
        <v>195</v>
      </c>
      <c r="B69" s="0" t="s">
        <v>196</v>
      </c>
      <c r="C69" s="0" t="s">
        <v>15</v>
      </c>
      <c r="D69" s="0" t="s">
        <v>19</v>
      </c>
      <c r="E69" s="0" t="s">
        <v>197</v>
      </c>
    </row>
    <row r="70" customFormat="false" ht="13.5" hidden="false" customHeight="false" outlineLevel="0" collapsed="false">
      <c r="A70" s="0" t="s">
        <v>198</v>
      </c>
      <c r="B70" s="0" t="s">
        <v>199</v>
      </c>
      <c r="C70" s="0" t="s">
        <v>15</v>
      </c>
      <c r="D70" s="0" t="s">
        <v>19</v>
      </c>
      <c r="E70" s="0" t="s">
        <v>200</v>
      </c>
    </row>
    <row r="71" customFormat="false" ht="13.5" hidden="false" customHeight="false" outlineLevel="0" collapsed="false">
      <c r="A71" s="0" t="s">
        <v>201</v>
      </c>
      <c r="B71" s="0" t="s">
        <v>202</v>
      </c>
      <c r="C71" s="0" t="s">
        <v>15</v>
      </c>
      <c r="D71" s="0" t="s">
        <v>19</v>
      </c>
      <c r="E71" s="0" t="s">
        <v>32</v>
      </c>
    </row>
    <row r="72" customFormat="false" ht="13.5" hidden="false" customHeight="false" outlineLevel="0" collapsed="false">
      <c r="A72" s="0" t="s">
        <v>203</v>
      </c>
      <c r="B72" s="0" t="s">
        <v>204</v>
      </c>
      <c r="C72" s="0" t="s">
        <v>15</v>
      </c>
      <c r="D72" s="0" t="s">
        <v>19</v>
      </c>
      <c r="E72" s="0" t="s">
        <v>205</v>
      </c>
    </row>
    <row r="73" customFormat="false" ht="13.5" hidden="false" customHeight="false" outlineLevel="0" collapsed="false">
      <c r="A73" s="0" t="s">
        <v>206</v>
      </c>
      <c r="B73" s="0" t="s">
        <v>207</v>
      </c>
      <c r="C73" s="0" t="s">
        <v>15</v>
      </c>
      <c r="D73" s="0" t="s">
        <v>19</v>
      </c>
      <c r="E73" s="0" t="s">
        <v>208</v>
      </c>
    </row>
    <row r="74" customFormat="false" ht="13.5" hidden="false" customHeight="false" outlineLevel="0" collapsed="false">
      <c r="A74" s="0" t="s">
        <v>209</v>
      </c>
      <c r="B74" s="0" t="s">
        <v>210</v>
      </c>
      <c r="C74" s="0" t="s">
        <v>31</v>
      </c>
      <c r="D74" s="0" t="s">
        <v>19</v>
      </c>
      <c r="E74" s="0" t="s">
        <v>32</v>
      </c>
      <c r="F74" s="0" t="s">
        <v>211</v>
      </c>
    </row>
    <row r="75" customFormat="false" ht="13.5" hidden="false" customHeight="false" outlineLevel="0" collapsed="false">
      <c r="A75" s="0" t="s">
        <v>212</v>
      </c>
      <c r="B75" s="0" t="s">
        <v>213</v>
      </c>
      <c r="C75" s="0" t="s">
        <v>15</v>
      </c>
      <c r="D75" s="0" t="s">
        <v>19</v>
      </c>
      <c r="E75" s="0" t="s">
        <v>32</v>
      </c>
    </row>
    <row r="76" customFormat="false" ht="13.5" hidden="false" customHeight="false" outlineLevel="0" collapsed="false">
      <c r="A76" s="0" t="s">
        <v>214</v>
      </c>
      <c r="B76" s="0" t="s">
        <v>215</v>
      </c>
      <c r="C76" s="0" t="s">
        <v>15</v>
      </c>
      <c r="D76" s="0" t="s">
        <v>16</v>
      </c>
      <c r="E76" s="0" t="s">
        <v>36</v>
      </c>
      <c r="F76" s="0" t="s">
        <v>216</v>
      </c>
    </row>
    <row r="77" customFormat="false" ht="13.5" hidden="false" customHeight="false" outlineLevel="0" collapsed="false">
      <c r="A77" s="0" t="s">
        <v>217</v>
      </c>
      <c r="B77" s="0" t="s">
        <v>218</v>
      </c>
      <c r="C77" s="0" t="s">
        <v>15</v>
      </c>
      <c r="D77" s="0" t="s">
        <v>19</v>
      </c>
      <c r="E77" s="0" t="s">
        <v>219</v>
      </c>
    </row>
    <row r="78" customFormat="false" ht="13.5" hidden="false" customHeight="false" outlineLevel="0" collapsed="false">
      <c r="A78" s="0" t="s">
        <v>220</v>
      </c>
      <c r="B78" s="0" t="s">
        <v>221</v>
      </c>
      <c r="C78" s="0" t="s">
        <v>15</v>
      </c>
      <c r="D78" s="0" t="s">
        <v>19</v>
      </c>
      <c r="E78" s="0" t="s">
        <v>47</v>
      </c>
    </row>
    <row r="79" customFormat="false" ht="13.5" hidden="false" customHeight="false" outlineLevel="0" collapsed="false">
      <c r="A79" s="0" t="s">
        <v>222</v>
      </c>
      <c r="B79" s="0" t="s">
        <v>223</v>
      </c>
      <c r="C79" s="0" t="s">
        <v>15</v>
      </c>
      <c r="D79" s="0" t="s">
        <v>19</v>
      </c>
      <c r="E79" s="0" t="s">
        <v>81</v>
      </c>
    </row>
    <row r="80" customFormat="false" ht="13.5" hidden="false" customHeight="false" outlineLevel="0" collapsed="false">
      <c r="A80" s="0" t="s">
        <v>224</v>
      </c>
      <c r="B80" s="0" t="s">
        <v>225</v>
      </c>
      <c r="C80" s="0" t="s">
        <v>15</v>
      </c>
      <c r="D80" s="0" t="s">
        <v>19</v>
      </c>
      <c r="E80" s="0" t="s">
        <v>226</v>
      </c>
    </row>
    <row r="81" customFormat="false" ht="13.5" hidden="false" customHeight="false" outlineLevel="0" collapsed="false">
      <c r="A81" s="0" t="s">
        <v>227</v>
      </c>
      <c r="B81" s="0" t="s">
        <v>228</v>
      </c>
      <c r="C81" s="0" t="s">
        <v>15</v>
      </c>
      <c r="D81" s="0" t="s">
        <v>24</v>
      </c>
      <c r="E81" s="0" t="s">
        <v>229</v>
      </c>
      <c r="F81" s="0" t="s">
        <v>7</v>
      </c>
    </row>
    <row r="82" customFormat="false" ht="13.5" hidden="false" customHeight="false" outlineLevel="0" collapsed="false">
      <c r="A82" s="0" t="s">
        <v>230</v>
      </c>
      <c r="B82" s="0" t="s">
        <v>231</v>
      </c>
      <c r="C82" s="0" t="s">
        <v>15</v>
      </c>
      <c r="D82" s="0" t="s">
        <v>19</v>
      </c>
      <c r="E82" s="0" t="s">
        <v>12</v>
      </c>
    </row>
    <row r="83" customFormat="false" ht="13.5" hidden="false" customHeight="false" outlineLevel="0" collapsed="false">
      <c r="A83" s="0" t="s">
        <v>232</v>
      </c>
      <c r="B83" s="0" t="s">
        <v>233</v>
      </c>
      <c r="C83" s="0" t="s">
        <v>15</v>
      </c>
      <c r="D83" s="0" t="s">
        <v>19</v>
      </c>
      <c r="E83" s="0" t="s">
        <v>234</v>
      </c>
    </row>
    <row r="84" customFormat="false" ht="13.5" hidden="false" customHeight="false" outlineLevel="0" collapsed="false">
      <c r="A84" s="0" t="s">
        <v>235</v>
      </c>
      <c r="B84" s="0" t="s">
        <v>236</v>
      </c>
      <c r="C84" s="0" t="s">
        <v>15</v>
      </c>
      <c r="D84" s="0" t="s">
        <v>19</v>
      </c>
      <c r="E84" s="0" t="s">
        <v>47</v>
      </c>
    </row>
    <row r="85" customFormat="false" ht="13.5" hidden="false" customHeight="false" outlineLevel="0" collapsed="false">
      <c r="A85" s="0" t="s">
        <v>237</v>
      </c>
      <c r="B85" s="0" t="s">
        <v>238</v>
      </c>
      <c r="C85" s="0" t="s">
        <v>15</v>
      </c>
      <c r="D85" s="0" t="s">
        <v>19</v>
      </c>
      <c r="E85" s="0" t="s">
        <v>150</v>
      </c>
    </row>
    <row r="86" customFormat="false" ht="13.5" hidden="false" customHeight="false" outlineLevel="0" collapsed="false">
      <c r="A86" s="0" t="s">
        <v>239</v>
      </c>
      <c r="B86" s="0" t="s">
        <v>240</v>
      </c>
      <c r="C86" s="0" t="s">
        <v>15</v>
      </c>
      <c r="D86" s="0" t="s">
        <v>19</v>
      </c>
      <c r="E86" s="0" t="s">
        <v>241</v>
      </c>
    </row>
    <row r="87" customFormat="false" ht="13.5" hidden="false" customHeight="false" outlineLevel="0" collapsed="false">
      <c r="A87" s="0" t="s">
        <v>242</v>
      </c>
      <c r="B87" s="0" t="s">
        <v>243</v>
      </c>
      <c r="C87" s="0" t="s">
        <v>15</v>
      </c>
      <c r="D87" s="0" t="s">
        <v>19</v>
      </c>
      <c r="E87" s="0" t="s">
        <v>244</v>
      </c>
    </row>
    <row r="88" customFormat="false" ht="13.5" hidden="false" customHeight="false" outlineLevel="0" collapsed="false">
      <c r="A88" s="0" t="s">
        <v>245</v>
      </c>
      <c r="B88" s="0" t="s">
        <v>246</v>
      </c>
      <c r="C88" s="0" t="s">
        <v>15</v>
      </c>
      <c r="D88" s="0" t="s">
        <v>19</v>
      </c>
      <c r="E88" s="0" t="s">
        <v>32</v>
      </c>
    </row>
    <row r="89" customFormat="false" ht="13.5" hidden="false" customHeight="false" outlineLevel="0" collapsed="false">
      <c r="A89" s="0" t="s">
        <v>247</v>
      </c>
      <c r="B89" s="0" t="s">
        <v>248</v>
      </c>
      <c r="C89" s="0" t="s">
        <v>15</v>
      </c>
      <c r="D89" s="0" t="s">
        <v>19</v>
      </c>
      <c r="E89" s="0" t="s">
        <v>249</v>
      </c>
    </row>
    <row r="90" customFormat="false" ht="13.5" hidden="false" customHeight="false" outlineLevel="0" collapsed="false">
      <c r="A90" s="0" t="s">
        <v>250</v>
      </c>
      <c r="B90" s="0" t="s">
        <v>251</v>
      </c>
      <c r="C90" s="0" t="s">
        <v>15</v>
      </c>
      <c r="D90" s="0" t="s">
        <v>19</v>
      </c>
      <c r="E90" s="0" t="s">
        <v>252</v>
      </c>
    </row>
    <row r="91" customFormat="false" ht="13.5" hidden="false" customHeight="false" outlineLevel="0" collapsed="false">
      <c r="A91" s="0" t="s">
        <v>253</v>
      </c>
      <c r="B91" s="0" t="s">
        <v>254</v>
      </c>
      <c r="C91" s="0" t="s">
        <v>15</v>
      </c>
      <c r="D91" s="0" t="s">
        <v>19</v>
      </c>
      <c r="E91" s="0" t="s">
        <v>150</v>
      </c>
    </row>
    <row r="92" customFormat="false" ht="13.5" hidden="false" customHeight="false" outlineLevel="0" collapsed="false">
      <c r="A92" s="0" t="s">
        <v>255</v>
      </c>
      <c r="B92" s="0" t="s">
        <v>256</v>
      </c>
      <c r="C92" s="0" t="s">
        <v>15</v>
      </c>
      <c r="D92" s="0" t="s">
        <v>19</v>
      </c>
      <c r="E92" s="0" t="s">
        <v>47</v>
      </c>
    </row>
    <row r="93" customFormat="false" ht="13.5" hidden="false" customHeight="false" outlineLevel="0" collapsed="false">
      <c r="A93" s="0" t="s">
        <v>257</v>
      </c>
      <c r="B93" s="0" t="s">
        <v>258</v>
      </c>
      <c r="C93" s="0" t="s">
        <v>15</v>
      </c>
      <c r="D93" s="0" t="s">
        <v>19</v>
      </c>
      <c r="E93" s="0" t="s">
        <v>47</v>
      </c>
    </row>
    <row r="94" customFormat="false" ht="13.5" hidden="false" customHeight="false" outlineLevel="0" collapsed="false">
      <c r="A94" s="0" t="s">
        <v>259</v>
      </c>
      <c r="B94" s="0" t="s">
        <v>260</v>
      </c>
      <c r="C94" s="0" t="s">
        <v>15</v>
      </c>
      <c r="D94" s="0" t="s">
        <v>19</v>
      </c>
      <c r="E94" s="0" t="s">
        <v>47</v>
      </c>
    </row>
    <row r="95" customFormat="false" ht="13.5" hidden="false" customHeight="false" outlineLevel="0" collapsed="false">
      <c r="A95" s="0" t="s">
        <v>261</v>
      </c>
      <c r="B95" s="0" t="s">
        <v>262</v>
      </c>
      <c r="C95" s="0" t="s">
        <v>15</v>
      </c>
      <c r="D95" s="0" t="s">
        <v>19</v>
      </c>
      <c r="E95" s="0" t="s">
        <v>263</v>
      </c>
    </row>
    <row r="96" customFormat="false" ht="13.5" hidden="false" customHeight="false" outlineLevel="0" collapsed="false">
      <c r="A96" s="0" t="s">
        <v>264</v>
      </c>
      <c r="B96" s="0" t="s">
        <v>265</v>
      </c>
      <c r="C96" s="0" t="s">
        <v>15</v>
      </c>
      <c r="D96" s="0" t="s">
        <v>266</v>
      </c>
      <c r="E96" s="0" t="s">
        <v>267</v>
      </c>
    </row>
    <row r="97" customFormat="false" ht="13.5" hidden="false" customHeight="false" outlineLevel="0" collapsed="false">
      <c r="A97" s="0" t="s">
        <v>268</v>
      </c>
      <c r="B97" s="0" t="s">
        <v>269</v>
      </c>
      <c r="C97" s="0" t="s">
        <v>15</v>
      </c>
      <c r="D97" s="0" t="s">
        <v>19</v>
      </c>
      <c r="E97" s="0" t="s">
        <v>270</v>
      </c>
    </row>
    <row r="98" customFormat="false" ht="13.5" hidden="false" customHeight="false" outlineLevel="0" collapsed="false">
      <c r="A98" s="0" t="s">
        <v>271</v>
      </c>
      <c r="B98" s="0" t="s">
        <v>272</v>
      </c>
      <c r="C98" s="0" t="s">
        <v>15</v>
      </c>
      <c r="D98" s="0" t="s">
        <v>19</v>
      </c>
      <c r="E98" s="0" t="s">
        <v>273</v>
      </c>
    </row>
    <row r="99" customFormat="false" ht="13.5" hidden="false" customHeight="false" outlineLevel="0" collapsed="false">
      <c r="A99" s="0" t="s">
        <v>274</v>
      </c>
      <c r="B99" s="0" t="s">
        <v>275</v>
      </c>
      <c r="C99" s="0" t="s">
        <v>15</v>
      </c>
      <c r="D99" s="0" t="s">
        <v>19</v>
      </c>
      <c r="E99" s="0" t="s">
        <v>276</v>
      </c>
    </row>
    <row r="100" customFormat="false" ht="13.5" hidden="false" customHeight="false" outlineLevel="0" collapsed="false">
      <c r="A100" s="0" t="s">
        <v>277</v>
      </c>
      <c r="B100" s="0" t="s">
        <v>278</v>
      </c>
      <c r="C100" s="0" t="s">
        <v>31</v>
      </c>
      <c r="D100" s="0" t="s">
        <v>279</v>
      </c>
      <c r="E100" s="0" t="s">
        <v>280</v>
      </c>
    </row>
    <row r="101" customFormat="false" ht="13.5" hidden="false" customHeight="false" outlineLevel="0" collapsed="false">
      <c r="A101" s="0" t="s">
        <v>281</v>
      </c>
      <c r="B101" s="0" t="s">
        <v>282</v>
      </c>
      <c r="C101" s="0" t="s">
        <v>31</v>
      </c>
      <c r="D101" s="0" t="s">
        <v>19</v>
      </c>
      <c r="E101" s="0" t="s">
        <v>283</v>
      </c>
      <c r="F101" s="0" t="s">
        <v>284</v>
      </c>
    </row>
    <row r="102" customFormat="false" ht="13.5" hidden="false" customHeight="false" outlineLevel="0" collapsed="false">
      <c r="A102" s="0" t="s">
        <v>285</v>
      </c>
      <c r="B102" s="0" t="s">
        <v>286</v>
      </c>
      <c r="C102" s="0" t="s">
        <v>15</v>
      </c>
      <c r="D102" s="0" t="s">
        <v>19</v>
      </c>
      <c r="E102" s="0" t="s">
        <v>287</v>
      </c>
    </row>
    <row r="103" customFormat="false" ht="13.5" hidden="false" customHeight="false" outlineLevel="0" collapsed="false">
      <c r="A103" s="0" t="s">
        <v>288</v>
      </c>
      <c r="B103" s="0" t="s">
        <v>289</v>
      </c>
      <c r="C103" s="0" t="s">
        <v>15</v>
      </c>
      <c r="D103" s="0" t="s">
        <v>19</v>
      </c>
      <c r="E103" s="0" t="s">
        <v>290</v>
      </c>
    </row>
    <row r="104" customFormat="false" ht="13.5" hidden="false" customHeight="false" outlineLevel="0" collapsed="false">
      <c r="A104" s="0" t="s">
        <v>291</v>
      </c>
      <c r="B104" s="0" t="s">
        <v>292</v>
      </c>
      <c r="C104" s="0" t="s">
        <v>15</v>
      </c>
      <c r="D104" s="0" t="s">
        <v>19</v>
      </c>
      <c r="E104" s="0" t="s">
        <v>32</v>
      </c>
    </row>
    <row r="105" customFormat="false" ht="13.5" hidden="false" customHeight="false" outlineLevel="0" collapsed="false">
      <c r="A105" s="0" t="s">
        <v>293</v>
      </c>
      <c r="B105" s="0" t="s">
        <v>294</v>
      </c>
      <c r="C105" s="0" t="s">
        <v>15</v>
      </c>
      <c r="D105" s="0" t="s">
        <v>19</v>
      </c>
      <c r="E105" s="0" t="s">
        <v>12</v>
      </c>
    </row>
    <row r="106" customFormat="false" ht="13.5" hidden="false" customHeight="false" outlineLevel="0" collapsed="false">
      <c r="A106" s="0" t="s">
        <v>295</v>
      </c>
      <c r="B106" s="0" t="s">
        <v>296</v>
      </c>
      <c r="C106" s="0" t="s">
        <v>15</v>
      </c>
      <c r="D106" s="0" t="s">
        <v>19</v>
      </c>
      <c r="E106" s="0" t="s">
        <v>297</v>
      </c>
    </row>
    <row r="107" customFormat="false" ht="13.5" hidden="false" customHeight="false" outlineLevel="0" collapsed="false">
      <c r="A107" s="0" t="s">
        <v>298</v>
      </c>
      <c r="B107" s="0" t="s">
        <v>299</v>
      </c>
      <c r="C107" s="0" t="s">
        <v>15</v>
      </c>
      <c r="D107" s="0" t="s">
        <v>19</v>
      </c>
      <c r="E107" s="0" t="s">
        <v>300</v>
      </c>
    </row>
    <row r="108" customFormat="false" ht="13.5" hidden="false" customHeight="false" outlineLevel="0" collapsed="false">
      <c r="A108" s="0" t="s">
        <v>301</v>
      </c>
      <c r="B108" s="0" t="s">
        <v>302</v>
      </c>
      <c r="C108" s="0" t="s">
        <v>15</v>
      </c>
      <c r="D108" s="0" t="s">
        <v>19</v>
      </c>
      <c r="E108" s="0" t="s">
        <v>47</v>
      </c>
    </row>
    <row r="109" customFormat="false" ht="13.5" hidden="false" customHeight="false" outlineLevel="0" collapsed="false">
      <c r="A109" s="0" t="s">
        <v>303</v>
      </c>
      <c r="B109" s="0" t="s">
        <v>304</v>
      </c>
      <c r="C109" s="0" t="s">
        <v>15</v>
      </c>
      <c r="D109" s="0" t="s">
        <v>19</v>
      </c>
      <c r="E109" s="0" t="s">
        <v>47</v>
      </c>
    </row>
    <row r="110" customFormat="false" ht="13.5" hidden="false" customHeight="false" outlineLevel="0" collapsed="false">
      <c r="A110" s="0" t="s">
        <v>305</v>
      </c>
      <c r="B110" s="0" t="s">
        <v>306</v>
      </c>
      <c r="C110" s="0" t="s">
        <v>15</v>
      </c>
      <c r="D110" s="0" t="s">
        <v>19</v>
      </c>
      <c r="E110" s="0" t="s">
        <v>307</v>
      </c>
    </row>
    <row r="111" customFormat="false" ht="13.5" hidden="false" customHeight="false" outlineLevel="0" collapsed="false">
      <c r="A111" s="0" t="s">
        <v>308</v>
      </c>
      <c r="B111" s="0" t="s">
        <v>309</v>
      </c>
      <c r="C111" s="0" t="s">
        <v>15</v>
      </c>
      <c r="D111" s="0" t="s">
        <v>19</v>
      </c>
      <c r="E111" s="0" t="s">
        <v>122</v>
      </c>
    </row>
    <row r="112" customFormat="false" ht="13.5" hidden="false" customHeight="false" outlineLevel="0" collapsed="false">
      <c r="A112" s="0" t="s">
        <v>310</v>
      </c>
      <c r="B112" s="0" t="s">
        <v>311</v>
      </c>
      <c r="C112" s="0" t="s">
        <v>15</v>
      </c>
      <c r="D112" s="0" t="s">
        <v>19</v>
      </c>
      <c r="E112" s="0" t="s">
        <v>312</v>
      </c>
    </row>
    <row r="113" customFormat="false" ht="13.5" hidden="false" customHeight="false" outlineLevel="0" collapsed="false">
      <c r="A113" s="0" t="s">
        <v>313</v>
      </c>
      <c r="B113" s="0" t="s">
        <v>314</v>
      </c>
      <c r="C113" s="0" t="s">
        <v>15</v>
      </c>
      <c r="D113" s="0" t="s">
        <v>19</v>
      </c>
      <c r="E113" s="0" t="s">
        <v>56</v>
      </c>
    </row>
    <row r="114" customFormat="false" ht="13.5" hidden="false" customHeight="false" outlineLevel="0" collapsed="false">
      <c r="A114" s="0" t="s">
        <v>315</v>
      </c>
      <c r="B114" s="0" t="s">
        <v>316</v>
      </c>
      <c r="C114" s="0" t="s">
        <v>15</v>
      </c>
      <c r="D114" s="0" t="s">
        <v>19</v>
      </c>
      <c r="E114" s="0" t="s">
        <v>317</v>
      </c>
    </row>
    <row r="115" customFormat="false" ht="13.5" hidden="false" customHeight="false" outlineLevel="0" collapsed="false">
      <c r="A115" s="0" t="s">
        <v>318</v>
      </c>
      <c r="B115" s="0" t="s">
        <v>256</v>
      </c>
      <c r="C115" s="0" t="s">
        <v>15</v>
      </c>
      <c r="D115" s="0" t="s">
        <v>19</v>
      </c>
      <c r="E115" s="0" t="s">
        <v>47</v>
      </c>
    </row>
    <row r="116" customFormat="false" ht="13.5" hidden="false" customHeight="false" outlineLevel="0" collapsed="false">
      <c r="A116" s="0" t="s">
        <v>319</v>
      </c>
      <c r="B116" s="0" t="s">
        <v>320</v>
      </c>
      <c r="C116" s="0" t="s">
        <v>15</v>
      </c>
      <c r="D116" s="0" t="s">
        <v>19</v>
      </c>
      <c r="E116" s="0" t="s">
        <v>150</v>
      </c>
    </row>
    <row r="117" customFormat="false" ht="13.5" hidden="false" customHeight="false" outlineLevel="0" collapsed="false">
      <c r="A117" s="0" t="s">
        <v>321</v>
      </c>
      <c r="B117" s="0" t="s">
        <v>322</v>
      </c>
      <c r="C117" s="0" t="s">
        <v>15</v>
      </c>
      <c r="D117" s="0" t="s">
        <v>19</v>
      </c>
      <c r="E117" s="0" t="s">
        <v>32</v>
      </c>
    </row>
    <row r="118" customFormat="false" ht="13.5" hidden="false" customHeight="false" outlineLevel="0" collapsed="false">
      <c r="A118" s="0" t="s">
        <v>323</v>
      </c>
      <c r="B118" s="0" t="s">
        <v>324</v>
      </c>
      <c r="C118" s="0" t="s">
        <v>15</v>
      </c>
      <c r="D118" s="0" t="s">
        <v>19</v>
      </c>
      <c r="E118" s="0" t="s">
        <v>12</v>
      </c>
    </row>
    <row r="119" customFormat="false" ht="13.5" hidden="false" customHeight="false" outlineLevel="0" collapsed="false">
      <c r="A119" s="0" t="s">
        <v>325</v>
      </c>
      <c r="B119" s="0" t="s">
        <v>326</v>
      </c>
      <c r="C119" s="0" t="s">
        <v>15</v>
      </c>
      <c r="D119" s="0" t="s">
        <v>19</v>
      </c>
      <c r="E119" s="0" t="s">
        <v>327</v>
      </c>
    </row>
    <row r="120" customFormat="false" ht="13.5" hidden="false" customHeight="false" outlineLevel="0" collapsed="false">
      <c r="A120" s="0" t="s">
        <v>328</v>
      </c>
      <c r="B120" s="0" t="s">
        <v>329</v>
      </c>
      <c r="C120" s="0" t="s">
        <v>15</v>
      </c>
      <c r="D120" s="0" t="s">
        <v>19</v>
      </c>
      <c r="E120" s="0" t="s">
        <v>81</v>
      </c>
    </row>
    <row r="121" customFormat="false" ht="13.5" hidden="false" customHeight="false" outlineLevel="0" collapsed="false">
      <c r="A121" s="0" t="s">
        <v>330</v>
      </c>
      <c r="B121" s="0" t="s">
        <v>331</v>
      </c>
      <c r="C121" s="0" t="s">
        <v>15</v>
      </c>
      <c r="D121" s="0" t="s">
        <v>19</v>
      </c>
      <c r="E121" s="0" t="s">
        <v>122</v>
      </c>
    </row>
    <row r="122" customFormat="false" ht="13.5" hidden="false" customHeight="false" outlineLevel="0" collapsed="false">
      <c r="A122" s="0" t="s">
        <v>332</v>
      </c>
      <c r="B122" s="0" t="s">
        <v>333</v>
      </c>
      <c r="C122" s="0" t="s">
        <v>15</v>
      </c>
      <c r="D122" s="0" t="s">
        <v>19</v>
      </c>
      <c r="E122" s="0" t="s">
        <v>47</v>
      </c>
    </row>
    <row r="123" customFormat="false" ht="13.5" hidden="false" customHeight="false" outlineLevel="0" collapsed="false">
      <c r="A123" s="0" t="s">
        <v>334</v>
      </c>
      <c r="B123" s="0" t="s">
        <v>335</v>
      </c>
      <c r="C123" s="0" t="s">
        <v>15</v>
      </c>
      <c r="D123" s="0" t="s">
        <v>19</v>
      </c>
      <c r="E123" s="0" t="s">
        <v>47</v>
      </c>
    </row>
    <row r="124" customFormat="false" ht="13.5" hidden="false" customHeight="false" outlineLevel="0" collapsed="false">
      <c r="A124" s="0" t="s">
        <v>336</v>
      </c>
      <c r="B124" s="0" t="s">
        <v>337</v>
      </c>
      <c r="C124" s="0" t="s">
        <v>15</v>
      </c>
      <c r="D124" s="0" t="s">
        <v>19</v>
      </c>
      <c r="E124" s="0" t="s">
        <v>32</v>
      </c>
    </row>
    <row r="125" customFormat="false" ht="13.5" hidden="false" customHeight="false" outlineLevel="0" collapsed="false">
      <c r="A125" s="0" t="s">
        <v>338</v>
      </c>
      <c r="B125" s="0" t="s">
        <v>339</v>
      </c>
      <c r="C125" s="0" t="s">
        <v>15</v>
      </c>
      <c r="D125" s="0" t="s">
        <v>19</v>
      </c>
      <c r="E125" s="0" t="s">
        <v>98</v>
      </c>
    </row>
    <row r="126" customFormat="false" ht="13.5" hidden="false" customHeight="false" outlineLevel="0" collapsed="false">
      <c r="A126" s="0" t="s">
        <v>340</v>
      </c>
      <c r="B126" s="0" t="s">
        <v>341</v>
      </c>
      <c r="C126" s="0" t="s">
        <v>15</v>
      </c>
      <c r="D126" s="0" t="s">
        <v>19</v>
      </c>
      <c r="E126" s="0" t="s">
        <v>342</v>
      </c>
    </row>
    <row r="127" customFormat="false" ht="13.5" hidden="false" customHeight="false" outlineLevel="0" collapsed="false">
      <c r="A127" s="0" t="s">
        <v>343</v>
      </c>
      <c r="B127" s="0" t="s">
        <v>344</v>
      </c>
      <c r="C127" s="0" t="s">
        <v>15</v>
      </c>
      <c r="D127" s="0" t="s">
        <v>19</v>
      </c>
      <c r="E127" s="0" t="s">
        <v>345</v>
      </c>
    </row>
    <row r="128" customFormat="false" ht="13.5" hidden="false" customHeight="false" outlineLevel="0" collapsed="false">
      <c r="A128" s="0" t="s">
        <v>346</v>
      </c>
      <c r="B128" s="0" t="s">
        <v>347</v>
      </c>
      <c r="C128" s="0" t="s">
        <v>15</v>
      </c>
      <c r="D128" s="0" t="s">
        <v>19</v>
      </c>
      <c r="E128" s="0" t="s">
        <v>348</v>
      </c>
    </row>
    <row r="129" customFormat="false" ht="13.5" hidden="false" customHeight="false" outlineLevel="0" collapsed="false">
      <c r="A129" s="0" t="s">
        <v>349</v>
      </c>
      <c r="B129" s="0" t="s">
        <v>350</v>
      </c>
      <c r="C129" s="0" t="s">
        <v>15</v>
      </c>
      <c r="D129" s="0" t="s">
        <v>19</v>
      </c>
      <c r="E129" s="0" t="s">
        <v>351</v>
      </c>
    </row>
    <row r="130" customFormat="false" ht="13.5" hidden="false" customHeight="false" outlineLevel="0" collapsed="false">
      <c r="A130" s="0" t="s">
        <v>352</v>
      </c>
      <c r="B130" s="0" t="s">
        <v>353</v>
      </c>
      <c r="C130" s="0" t="s">
        <v>15</v>
      </c>
      <c r="D130" s="0" t="s">
        <v>19</v>
      </c>
      <c r="E130" s="0" t="s">
        <v>32</v>
      </c>
    </row>
    <row r="131" customFormat="false" ht="13.5" hidden="false" customHeight="false" outlineLevel="0" collapsed="false">
      <c r="A131" s="0" t="s">
        <v>354</v>
      </c>
      <c r="B131" s="0" t="s">
        <v>355</v>
      </c>
      <c r="C131" s="0" t="s">
        <v>15</v>
      </c>
      <c r="D131" s="0" t="s">
        <v>19</v>
      </c>
      <c r="E131" s="0" t="s">
        <v>356</v>
      </c>
    </row>
    <row r="132" customFormat="false" ht="13.5" hidden="false" customHeight="false" outlineLevel="0" collapsed="false">
      <c r="A132" s="0" t="s">
        <v>357</v>
      </c>
      <c r="B132" s="0" t="s">
        <v>358</v>
      </c>
      <c r="C132" s="0" t="s">
        <v>15</v>
      </c>
      <c r="D132" s="0" t="s">
        <v>19</v>
      </c>
      <c r="E132" s="0" t="s">
        <v>12</v>
      </c>
    </row>
    <row r="133" customFormat="false" ht="13.5" hidden="false" customHeight="false" outlineLevel="0" collapsed="false">
      <c r="A133" s="0" t="s">
        <v>359</v>
      </c>
      <c r="B133" s="0" t="s">
        <v>360</v>
      </c>
      <c r="C133" s="0" t="s">
        <v>15</v>
      </c>
      <c r="D133" s="0" t="s">
        <v>19</v>
      </c>
      <c r="E133" s="0" t="s">
        <v>361</v>
      </c>
    </row>
    <row r="134" customFormat="false" ht="13.5" hidden="false" customHeight="false" outlineLevel="0" collapsed="false">
      <c r="A134" s="0" t="s">
        <v>362</v>
      </c>
      <c r="B134" s="0" t="s">
        <v>363</v>
      </c>
      <c r="C134" s="0" t="s">
        <v>15</v>
      </c>
      <c r="D134" s="0" t="s">
        <v>19</v>
      </c>
      <c r="E134" s="0" t="s">
        <v>12</v>
      </c>
    </row>
    <row r="135" customFormat="false" ht="13.5" hidden="false" customHeight="false" outlineLevel="0" collapsed="false">
      <c r="A135" s="0" t="s">
        <v>93</v>
      </c>
      <c r="B135" s="0" t="s">
        <v>364</v>
      </c>
      <c r="C135" s="0" t="s">
        <v>15</v>
      </c>
      <c r="D135" s="0" t="s">
        <v>19</v>
      </c>
      <c r="E135" s="0" t="s">
        <v>365</v>
      </c>
    </row>
    <row r="136" customFormat="false" ht="13.5" hidden="false" customHeight="false" outlineLevel="0" collapsed="false">
      <c r="A136" s="0" t="s">
        <v>366</v>
      </c>
      <c r="B136" s="0" t="s">
        <v>367</v>
      </c>
      <c r="C136" s="0" t="s">
        <v>15</v>
      </c>
      <c r="D136" s="0" t="s">
        <v>19</v>
      </c>
      <c r="E136" s="0" t="s">
        <v>98</v>
      </c>
    </row>
    <row r="137" customFormat="false" ht="13.5" hidden="false" customHeight="false" outlineLevel="0" collapsed="false">
      <c r="A137" s="0" t="s">
        <v>368</v>
      </c>
      <c r="B137" s="0" t="s">
        <v>369</v>
      </c>
      <c r="C137" s="0" t="s">
        <v>15</v>
      </c>
      <c r="D137" s="0" t="s">
        <v>19</v>
      </c>
      <c r="E137" s="0" t="s">
        <v>370</v>
      </c>
    </row>
    <row r="138" customFormat="false" ht="13.5" hidden="false" customHeight="false" outlineLevel="0" collapsed="false">
      <c r="A138" s="0" t="s">
        <v>371</v>
      </c>
      <c r="B138" s="0" t="s">
        <v>372</v>
      </c>
      <c r="C138" s="0" t="s">
        <v>15</v>
      </c>
      <c r="D138" s="0" t="s">
        <v>19</v>
      </c>
      <c r="E138" s="0" t="s">
        <v>12</v>
      </c>
    </row>
    <row r="139" customFormat="false" ht="13.5" hidden="false" customHeight="false" outlineLevel="0" collapsed="false">
      <c r="A139" s="0" t="s">
        <v>373</v>
      </c>
      <c r="B139" s="0" t="s">
        <v>374</v>
      </c>
      <c r="C139" s="0" t="s">
        <v>15</v>
      </c>
      <c r="D139" s="0" t="s">
        <v>19</v>
      </c>
      <c r="E139" s="0" t="s">
        <v>32</v>
      </c>
    </row>
    <row r="140" customFormat="false" ht="13.5" hidden="false" customHeight="false" outlineLevel="0" collapsed="false">
      <c r="A140" s="0" t="s">
        <v>375</v>
      </c>
      <c r="B140" s="0" t="s">
        <v>376</v>
      </c>
      <c r="C140" s="0" t="s">
        <v>15</v>
      </c>
      <c r="D140" s="0" t="s">
        <v>19</v>
      </c>
      <c r="E140" s="0" t="s">
        <v>377</v>
      </c>
    </row>
    <row r="141" customFormat="false" ht="13.5" hidden="false" customHeight="false" outlineLevel="0" collapsed="false">
      <c r="A141" s="0" t="s">
        <v>378</v>
      </c>
      <c r="B141" s="0" t="s">
        <v>379</v>
      </c>
      <c r="C141" s="0" t="s">
        <v>15</v>
      </c>
      <c r="D141" s="0" t="s">
        <v>19</v>
      </c>
      <c r="E141" s="0" t="s">
        <v>263</v>
      </c>
    </row>
    <row r="142" customFormat="false" ht="13.5" hidden="false" customHeight="false" outlineLevel="0" collapsed="false">
      <c r="A142" s="0" t="s">
        <v>380</v>
      </c>
      <c r="B142" s="0" t="s">
        <v>381</v>
      </c>
      <c r="C142" s="0" t="s">
        <v>15</v>
      </c>
      <c r="D142" s="0" t="s">
        <v>19</v>
      </c>
      <c r="E142" s="0" t="s">
        <v>122</v>
      </c>
    </row>
    <row r="143" customFormat="false" ht="13.5" hidden="false" customHeight="false" outlineLevel="0" collapsed="false">
      <c r="A143" s="0" t="s">
        <v>382</v>
      </c>
      <c r="B143" s="0" t="s">
        <v>383</v>
      </c>
      <c r="C143" s="0" t="s">
        <v>15</v>
      </c>
      <c r="D143" s="0" t="s">
        <v>19</v>
      </c>
      <c r="E143" s="0" t="s">
        <v>12</v>
      </c>
    </row>
    <row r="144" customFormat="false" ht="13.5" hidden="false" customHeight="false" outlineLevel="0" collapsed="false">
      <c r="A144" s="0" t="s">
        <v>384</v>
      </c>
      <c r="B144" s="0" t="s">
        <v>385</v>
      </c>
      <c r="C144" s="0" t="s">
        <v>15</v>
      </c>
      <c r="D144" s="0" t="s">
        <v>24</v>
      </c>
      <c r="E144" s="0" t="s">
        <v>131</v>
      </c>
    </row>
    <row r="145" customFormat="false" ht="13.5" hidden="false" customHeight="false" outlineLevel="0" collapsed="false">
      <c r="A145" s="0" t="s">
        <v>386</v>
      </c>
      <c r="B145" s="0" t="s">
        <v>387</v>
      </c>
      <c r="C145" s="0" t="s">
        <v>15</v>
      </c>
      <c r="D145" s="0" t="s">
        <v>19</v>
      </c>
      <c r="E145" s="0" t="s">
        <v>32</v>
      </c>
    </row>
    <row r="146" customFormat="false" ht="13.5" hidden="false" customHeight="false" outlineLevel="0" collapsed="false">
      <c r="A146" s="0" t="s">
        <v>388</v>
      </c>
      <c r="B146" s="0" t="s">
        <v>389</v>
      </c>
      <c r="C146" s="0" t="s">
        <v>15</v>
      </c>
      <c r="D146" s="0" t="s">
        <v>19</v>
      </c>
      <c r="E146" s="0" t="s">
        <v>390</v>
      </c>
    </row>
    <row r="147" customFormat="false" ht="13.5" hidden="false" customHeight="false" outlineLevel="0" collapsed="false">
      <c r="A147" s="0" t="s">
        <v>391</v>
      </c>
      <c r="B147" s="0" t="s">
        <v>392</v>
      </c>
      <c r="C147" s="0" t="s">
        <v>15</v>
      </c>
      <c r="D147" s="0" t="s">
        <v>19</v>
      </c>
      <c r="E147" s="0" t="s">
        <v>263</v>
      </c>
    </row>
    <row r="148" customFormat="false" ht="13.5" hidden="false" customHeight="false" outlineLevel="0" collapsed="false">
      <c r="A148" s="0" t="s">
        <v>393</v>
      </c>
      <c r="B148" s="0" t="s">
        <v>394</v>
      </c>
      <c r="C148" s="0" t="s">
        <v>15</v>
      </c>
      <c r="D148" s="0" t="s">
        <v>19</v>
      </c>
      <c r="E148" s="0" t="s">
        <v>150</v>
      </c>
    </row>
    <row r="149" customFormat="false" ht="13.5" hidden="false" customHeight="false" outlineLevel="0" collapsed="false">
      <c r="A149" s="0" t="s">
        <v>395</v>
      </c>
      <c r="B149" s="0" t="s">
        <v>396</v>
      </c>
      <c r="C149" s="0" t="s">
        <v>15</v>
      </c>
      <c r="D149" s="0" t="s">
        <v>19</v>
      </c>
      <c r="E149" s="0" t="s">
        <v>98</v>
      </c>
    </row>
    <row r="150" customFormat="false" ht="13.5" hidden="false" customHeight="false" outlineLevel="0" collapsed="false">
      <c r="A150" s="0" t="s">
        <v>397</v>
      </c>
      <c r="B150" s="0" t="s">
        <v>372</v>
      </c>
      <c r="C150" s="0" t="s">
        <v>15</v>
      </c>
      <c r="D150" s="0" t="s">
        <v>19</v>
      </c>
      <c r="E150" s="0" t="s">
        <v>12</v>
      </c>
    </row>
    <row r="151" customFormat="false" ht="13.5" hidden="false" customHeight="false" outlineLevel="0" collapsed="false">
      <c r="A151" s="0" t="s">
        <v>398</v>
      </c>
      <c r="B151" s="0" t="s">
        <v>399</v>
      </c>
      <c r="C151" s="0" t="s">
        <v>15</v>
      </c>
      <c r="D151" s="0" t="s">
        <v>19</v>
      </c>
      <c r="E151" s="0" t="s">
        <v>400</v>
      </c>
    </row>
    <row r="152" customFormat="false" ht="13.5" hidden="false" customHeight="false" outlineLevel="0" collapsed="false">
      <c r="A152" s="0" t="s">
        <v>401</v>
      </c>
      <c r="B152" s="0" t="s">
        <v>402</v>
      </c>
      <c r="C152" s="0" t="s">
        <v>15</v>
      </c>
      <c r="D152" s="0" t="s">
        <v>19</v>
      </c>
      <c r="E152" s="0" t="s">
        <v>32</v>
      </c>
    </row>
    <row r="153" customFormat="false" ht="13.5" hidden="false" customHeight="false" outlineLevel="0" collapsed="false">
      <c r="A153" s="0" t="s">
        <v>403</v>
      </c>
      <c r="B153" s="0" t="s">
        <v>404</v>
      </c>
      <c r="C153" s="0" t="s">
        <v>15</v>
      </c>
      <c r="D153" s="0" t="s">
        <v>19</v>
      </c>
      <c r="E153" s="0" t="s">
        <v>12</v>
      </c>
    </row>
    <row r="154" customFormat="false" ht="13.5" hidden="false" customHeight="false" outlineLevel="0" collapsed="false">
      <c r="A154" s="0" t="s">
        <v>405</v>
      </c>
      <c r="B154" s="0" t="s">
        <v>406</v>
      </c>
      <c r="C154" s="0" t="s">
        <v>15</v>
      </c>
      <c r="D154" s="0" t="s">
        <v>19</v>
      </c>
      <c r="E154" s="0" t="s">
        <v>407</v>
      </c>
    </row>
    <row r="155" customFormat="false" ht="13.5" hidden="false" customHeight="false" outlineLevel="0" collapsed="false">
      <c r="A155" s="0" t="s">
        <v>408</v>
      </c>
      <c r="B155" s="0" t="s">
        <v>409</v>
      </c>
      <c r="C155" s="0" t="s">
        <v>15</v>
      </c>
      <c r="D155" s="0" t="s">
        <v>19</v>
      </c>
      <c r="E155" s="0" t="s">
        <v>410</v>
      </c>
    </row>
    <row r="156" customFormat="false" ht="13.5" hidden="false" customHeight="false" outlineLevel="0" collapsed="false">
      <c r="A156" s="0" t="s">
        <v>411</v>
      </c>
      <c r="B156" s="0" t="s">
        <v>412</v>
      </c>
      <c r="C156" s="0" t="s">
        <v>31</v>
      </c>
      <c r="D156" s="0" t="s">
        <v>413</v>
      </c>
      <c r="E156" s="0" t="s">
        <v>32</v>
      </c>
    </row>
    <row r="157" customFormat="false" ht="13.5" hidden="false" customHeight="false" outlineLevel="0" collapsed="false">
      <c r="A157" s="0" t="s">
        <v>414</v>
      </c>
      <c r="B157" s="0" t="s">
        <v>415</v>
      </c>
      <c r="C157" s="0" t="s">
        <v>15</v>
      </c>
      <c r="D157" s="0" t="s">
        <v>19</v>
      </c>
      <c r="E157" s="0" t="s">
        <v>122</v>
      </c>
    </row>
    <row r="158" customFormat="false" ht="13.5" hidden="false" customHeight="false" outlineLevel="0" collapsed="false">
      <c r="A158" s="0" t="s">
        <v>416</v>
      </c>
      <c r="B158" s="0" t="s">
        <v>417</v>
      </c>
      <c r="C158" s="0" t="s">
        <v>15</v>
      </c>
      <c r="D158" s="0" t="s">
        <v>19</v>
      </c>
      <c r="E158" s="0" t="s">
        <v>47</v>
      </c>
    </row>
    <row r="159" customFormat="false" ht="13.5" hidden="false" customHeight="false" outlineLevel="0" collapsed="false">
      <c r="A159" s="0" t="s">
        <v>418</v>
      </c>
      <c r="B159" s="0" t="s">
        <v>419</v>
      </c>
      <c r="C159" s="0" t="s">
        <v>31</v>
      </c>
      <c r="D159" s="0" t="s">
        <v>19</v>
      </c>
      <c r="E159" s="0" t="s">
        <v>420</v>
      </c>
      <c r="F159" s="0" t="s">
        <v>60</v>
      </c>
    </row>
    <row r="160" customFormat="false" ht="13.5" hidden="false" customHeight="false" outlineLevel="0" collapsed="false">
      <c r="A160" s="0" t="s">
        <v>421</v>
      </c>
      <c r="B160" s="0" t="s">
        <v>422</v>
      </c>
      <c r="C160" s="0" t="s">
        <v>15</v>
      </c>
      <c r="D160" s="0" t="s">
        <v>19</v>
      </c>
      <c r="E160" s="0" t="s">
        <v>47</v>
      </c>
    </row>
    <row r="161" customFormat="false" ht="13.5" hidden="false" customHeight="false" outlineLevel="0" collapsed="false">
      <c r="A161" s="0" t="s">
        <v>423</v>
      </c>
      <c r="B161" s="0" t="s">
        <v>424</v>
      </c>
      <c r="C161" s="0" t="s">
        <v>15</v>
      </c>
      <c r="D161" s="0" t="s">
        <v>19</v>
      </c>
      <c r="E161" s="0" t="s">
        <v>425</v>
      </c>
    </row>
    <row r="162" customFormat="false" ht="13.5" hidden="false" customHeight="false" outlineLevel="0" collapsed="false">
      <c r="A162" s="0" t="s">
        <v>426</v>
      </c>
      <c r="B162" s="0" t="s">
        <v>427</v>
      </c>
      <c r="C162" s="0" t="s">
        <v>15</v>
      </c>
      <c r="D162" s="0" t="s">
        <v>19</v>
      </c>
      <c r="E162" s="0" t="s">
        <v>300</v>
      </c>
    </row>
    <row r="163" customFormat="false" ht="13.5" hidden="false" customHeight="false" outlineLevel="0" collapsed="false">
      <c r="A163" s="0" t="s">
        <v>428</v>
      </c>
      <c r="B163" s="0" t="s">
        <v>429</v>
      </c>
      <c r="C163" s="0" t="s">
        <v>15</v>
      </c>
      <c r="D163" s="0" t="s">
        <v>19</v>
      </c>
      <c r="E163" s="0" t="s">
        <v>122</v>
      </c>
    </row>
    <row r="164" customFormat="false" ht="13.5" hidden="false" customHeight="false" outlineLevel="0" collapsed="false">
      <c r="A164" s="0" t="s">
        <v>430</v>
      </c>
      <c r="B164" s="0" t="s">
        <v>431</v>
      </c>
      <c r="C164" s="0" t="s">
        <v>15</v>
      </c>
      <c r="D164" s="0" t="s">
        <v>19</v>
      </c>
      <c r="E164" s="0" t="s">
        <v>263</v>
      </c>
    </row>
    <row r="165" customFormat="false" ht="13.5" hidden="false" customHeight="false" outlineLevel="0" collapsed="false">
      <c r="A165" s="0" t="s">
        <v>432</v>
      </c>
      <c r="B165" s="0" t="s">
        <v>433</v>
      </c>
      <c r="C165" s="0" t="s">
        <v>15</v>
      </c>
      <c r="D165" s="0" t="s">
        <v>19</v>
      </c>
      <c r="E165" s="0" t="s">
        <v>122</v>
      </c>
    </row>
    <row r="166" customFormat="false" ht="13.5" hidden="false" customHeight="false" outlineLevel="0" collapsed="false">
      <c r="A166" s="0" t="s">
        <v>434</v>
      </c>
      <c r="B166" s="0" t="s">
        <v>435</v>
      </c>
      <c r="C166" s="0" t="s">
        <v>15</v>
      </c>
      <c r="D166" s="0" t="s">
        <v>19</v>
      </c>
      <c r="E166" s="0" t="s">
        <v>98</v>
      </c>
    </row>
    <row r="167" customFormat="false" ht="13.5" hidden="false" customHeight="false" outlineLevel="0" collapsed="false">
      <c r="A167" s="0" t="s">
        <v>436</v>
      </c>
      <c r="B167" s="0" t="s">
        <v>437</v>
      </c>
      <c r="C167" s="0" t="s">
        <v>15</v>
      </c>
      <c r="D167" s="0" t="s">
        <v>19</v>
      </c>
      <c r="E167" s="0" t="s">
        <v>122</v>
      </c>
    </row>
    <row r="168" customFormat="false" ht="13.5" hidden="false" customHeight="false" outlineLevel="0" collapsed="false">
      <c r="A168" s="0" t="s">
        <v>438</v>
      </c>
      <c r="B168" s="0" t="s">
        <v>439</v>
      </c>
      <c r="C168" s="0" t="s">
        <v>15</v>
      </c>
      <c r="D168" s="0" t="s">
        <v>19</v>
      </c>
      <c r="E168" s="0" t="s">
        <v>32</v>
      </c>
    </row>
    <row r="169" customFormat="false" ht="13.5" hidden="false" customHeight="false" outlineLevel="0" collapsed="false">
      <c r="A169" s="0" t="s">
        <v>440</v>
      </c>
      <c r="B169" s="0" t="s">
        <v>441</v>
      </c>
      <c r="C169" s="0" t="s">
        <v>15</v>
      </c>
      <c r="D169" s="0" t="s">
        <v>19</v>
      </c>
      <c r="E169" s="0" t="s">
        <v>122</v>
      </c>
    </row>
    <row r="170" customFormat="false" ht="13.5" hidden="false" customHeight="false" outlineLevel="0" collapsed="false">
      <c r="A170" s="0" t="s">
        <v>442</v>
      </c>
      <c r="B170" s="0" t="s">
        <v>443</v>
      </c>
      <c r="C170" s="0" t="s">
        <v>31</v>
      </c>
      <c r="D170" s="0" t="s">
        <v>19</v>
      </c>
      <c r="E170" s="0" t="s">
        <v>444</v>
      </c>
      <c r="F170" s="0" t="s">
        <v>60</v>
      </c>
    </row>
    <row r="171" customFormat="false" ht="13.5" hidden="false" customHeight="false" outlineLevel="0" collapsed="false">
      <c r="A171" s="0" t="s">
        <v>445</v>
      </c>
      <c r="B171" s="0" t="s">
        <v>446</v>
      </c>
      <c r="C171" s="0" t="s">
        <v>15</v>
      </c>
      <c r="D171" s="0" t="s">
        <v>19</v>
      </c>
      <c r="E171" s="0" t="s">
        <v>131</v>
      </c>
    </row>
    <row r="172" customFormat="false" ht="13.5" hidden="false" customHeight="false" outlineLevel="0" collapsed="false">
      <c r="A172" s="0" t="s">
        <v>447</v>
      </c>
      <c r="B172" s="0" t="s">
        <v>448</v>
      </c>
      <c r="C172" s="0" t="s">
        <v>31</v>
      </c>
      <c r="D172" s="0" t="s">
        <v>19</v>
      </c>
      <c r="E172" s="0" t="s">
        <v>449</v>
      </c>
      <c r="F172" s="0" t="s">
        <v>450</v>
      </c>
    </row>
    <row r="173" customFormat="false" ht="13.5" hidden="false" customHeight="false" outlineLevel="0" collapsed="false">
      <c r="A173" s="0" t="s">
        <v>451</v>
      </c>
      <c r="B173" s="0" t="s">
        <v>452</v>
      </c>
      <c r="C173" s="0" t="s">
        <v>15</v>
      </c>
      <c r="D173" s="0" t="s">
        <v>19</v>
      </c>
      <c r="E173" s="0" t="s">
        <v>32</v>
      </c>
    </row>
    <row r="174" customFormat="false" ht="13.5" hidden="false" customHeight="false" outlineLevel="0" collapsed="false">
      <c r="A174" s="0" t="s">
        <v>453</v>
      </c>
      <c r="B174" s="0" t="s">
        <v>454</v>
      </c>
      <c r="C174" s="0" t="s">
        <v>15</v>
      </c>
      <c r="D174" s="0" t="s">
        <v>19</v>
      </c>
      <c r="E174" s="0" t="s">
        <v>455</v>
      </c>
    </row>
    <row r="175" customFormat="false" ht="13.5" hidden="false" customHeight="false" outlineLevel="0" collapsed="false">
      <c r="A175" s="0" t="s">
        <v>456</v>
      </c>
      <c r="B175" s="0" t="s">
        <v>457</v>
      </c>
      <c r="C175" s="0" t="s">
        <v>15</v>
      </c>
      <c r="D175" s="0" t="s">
        <v>19</v>
      </c>
      <c r="E175" s="0" t="s">
        <v>32</v>
      </c>
    </row>
    <row r="176" customFormat="false" ht="13.5" hidden="false" customHeight="false" outlineLevel="0" collapsed="false">
      <c r="A176" s="0" t="s">
        <v>458</v>
      </c>
      <c r="B176" s="0" t="s">
        <v>459</v>
      </c>
      <c r="C176" s="0" t="s">
        <v>15</v>
      </c>
      <c r="D176" s="0" t="s">
        <v>19</v>
      </c>
      <c r="E176" s="0" t="s">
        <v>98</v>
      </c>
    </row>
    <row r="177" customFormat="false" ht="13.5" hidden="false" customHeight="false" outlineLevel="0" collapsed="false">
      <c r="A177" s="0" t="s">
        <v>460</v>
      </c>
      <c r="B177" s="0" t="s">
        <v>461</v>
      </c>
      <c r="C177" s="0" t="s">
        <v>15</v>
      </c>
      <c r="D177" s="0" t="s">
        <v>19</v>
      </c>
      <c r="E177" s="0" t="s">
        <v>122</v>
      </c>
    </row>
    <row r="178" customFormat="false" ht="13.5" hidden="false" customHeight="false" outlineLevel="0" collapsed="false">
      <c r="A178" s="0" t="s">
        <v>462</v>
      </c>
      <c r="B178" s="0" t="s">
        <v>463</v>
      </c>
      <c r="C178" s="0" t="s">
        <v>15</v>
      </c>
      <c r="D178" s="0" t="s">
        <v>19</v>
      </c>
      <c r="E178" s="0" t="s">
        <v>32</v>
      </c>
    </row>
    <row r="179" customFormat="false" ht="13.5" hidden="false" customHeight="false" outlineLevel="0" collapsed="false">
      <c r="A179" s="0" t="s">
        <v>464</v>
      </c>
      <c r="B179" s="0" t="s">
        <v>465</v>
      </c>
      <c r="C179" s="0" t="s">
        <v>15</v>
      </c>
      <c r="D179" s="0" t="s">
        <v>19</v>
      </c>
      <c r="E179" s="0" t="s">
        <v>98</v>
      </c>
    </row>
    <row r="180" customFormat="false" ht="13.5" hidden="false" customHeight="false" outlineLevel="0" collapsed="false">
      <c r="A180" s="0" t="s">
        <v>466</v>
      </c>
      <c r="B180" s="0" t="s">
        <v>467</v>
      </c>
      <c r="C180" s="0" t="s">
        <v>15</v>
      </c>
      <c r="D180" s="0" t="s">
        <v>19</v>
      </c>
      <c r="E180" s="0" t="s">
        <v>370</v>
      </c>
    </row>
    <row r="181" customFormat="false" ht="13.5" hidden="false" customHeight="false" outlineLevel="0" collapsed="false">
      <c r="A181" s="0" t="s">
        <v>468</v>
      </c>
      <c r="B181" s="0" t="s">
        <v>469</v>
      </c>
      <c r="C181" s="0" t="s">
        <v>15</v>
      </c>
      <c r="D181" s="0" t="s">
        <v>19</v>
      </c>
      <c r="E181" s="0" t="s">
        <v>150</v>
      </c>
    </row>
    <row r="182" customFormat="false" ht="13.5" hidden="false" customHeight="false" outlineLevel="0" collapsed="false">
      <c r="A182" s="0" t="s">
        <v>470</v>
      </c>
      <c r="B182" s="0" t="s">
        <v>471</v>
      </c>
      <c r="C182" s="0" t="s">
        <v>15</v>
      </c>
      <c r="D182" s="0" t="s">
        <v>19</v>
      </c>
      <c r="E182" s="0" t="s">
        <v>131</v>
      </c>
    </row>
    <row r="183" customFormat="false" ht="13.5" hidden="false" customHeight="false" outlineLevel="0" collapsed="false">
      <c r="A183" s="0" t="s">
        <v>472</v>
      </c>
      <c r="B183" s="0" t="s">
        <v>473</v>
      </c>
      <c r="C183" s="0" t="s">
        <v>15</v>
      </c>
      <c r="D183" s="0" t="s">
        <v>19</v>
      </c>
      <c r="E183" s="0" t="s">
        <v>150</v>
      </c>
    </row>
    <row r="184" customFormat="false" ht="13.5" hidden="false" customHeight="false" outlineLevel="0" collapsed="false">
      <c r="A184" s="0" t="s">
        <v>474</v>
      </c>
      <c r="B184" s="0" t="s">
        <v>475</v>
      </c>
      <c r="C184" s="0" t="s">
        <v>15</v>
      </c>
      <c r="D184" s="0" t="s">
        <v>19</v>
      </c>
      <c r="E184" s="0" t="s">
        <v>12</v>
      </c>
    </row>
    <row r="185" customFormat="false" ht="13.5" hidden="false" customHeight="false" outlineLevel="0" collapsed="false">
      <c r="A185" s="0" t="s">
        <v>476</v>
      </c>
      <c r="B185" s="0" t="s">
        <v>477</v>
      </c>
      <c r="C185" s="0" t="s">
        <v>15</v>
      </c>
      <c r="D185" s="0" t="s">
        <v>19</v>
      </c>
      <c r="E185" s="0" t="s">
        <v>263</v>
      </c>
    </row>
    <row r="186" customFormat="false" ht="13.5" hidden="false" customHeight="false" outlineLevel="0" collapsed="false">
      <c r="A186" s="0" t="s">
        <v>478</v>
      </c>
      <c r="B186" s="0" t="s">
        <v>479</v>
      </c>
      <c r="C186" s="0" t="s">
        <v>15</v>
      </c>
      <c r="D186" s="0" t="s">
        <v>19</v>
      </c>
      <c r="E186" s="0" t="s">
        <v>480</v>
      </c>
    </row>
    <row r="187" customFormat="false" ht="13.5" hidden="false" customHeight="false" outlineLevel="0" collapsed="false">
      <c r="A187" s="0" t="s">
        <v>481</v>
      </c>
      <c r="B187" s="0" t="s">
        <v>482</v>
      </c>
      <c r="C187" s="0" t="s">
        <v>15</v>
      </c>
      <c r="D187" s="0" t="s">
        <v>19</v>
      </c>
      <c r="E187" s="0" t="s">
        <v>483</v>
      </c>
    </row>
    <row r="188" customFormat="false" ht="13.5" hidden="false" customHeight="false" outlineLevel="0" collapsed="false">
      <c r="A188" s="0" t="s">
        <v>484</v>
      </c>
      <c r="B188" s="0" t="s">
        <v>485</v>
      </c>
      <c r="C188" s="0" t="s">
        <v>15</v>
      </c>
      <c r="D188" s="0" t="s">
        <v>19</v>
      </c>
      <c r="E188" s="0" t="s">
        <v>486</v>
      </c>
    </row>
    <row r="189" customFormat="false" ht="13.5" hidden="false" customHeight="false" outlineLevel="0" collapsed="false">
      <c r="A189" s="0" t="s">
        <v>487</v>
      </c>
      <c r="B189" s="0" t="s">
        <v>488</v>
      </c>
      <c r="C189" s="0" t="s">
        <v>15</v>
      </c>
      <c r="D189" s="0" t="s">
        <v>19</v>
      </c>
      <c r="E189" s="0" t="s">
        <v>150</v>
      </c>
    </row>
    <row r="190" customFormat="false" ht="13.5" hidden="false" customHeight="false" outlineLevel="0" collapsed="false">
      <c r="A190" s="0" t="s">
        <v>489</v>
      </c>
      <c r="B190" s="0" t="s">
        <v>490</v>
      </c>
      <c r="C190" s="0" t="s">
        <v>15</v>
      </c>
      <c r="D190" s="0" t="s">
        <v>19</v>
      </c>
      <c r="E190" s="0" t="s">
        <v>122</v>
      </c>
    </row>
    <row r="191" customFormat="false" ht="13.5" hidden="false" customHeight="false" outlineLevel="0" collapsed="false">
      <c r="A191" s="0" t="s">
        <v>491</v>
      </c>
      <c r="B191" s="0" t="s">
        <v>492</v>
      </c>
      <c r="C191" s="0" t="s">
        <v>15</v>
      </c>
      <c r="D191" s="0" t="s">
        <v>19</v>
      </c>
      <c r="E191" s="0" t="s">
        <v>493</v>
      </c>
    </row>
    <row r="192" customFormat="false" ht="13.5" hidden="false" customHeight="false" outlineLevel="0" collapsed="false">
      <c r="A192" s="0" t="s">
        <v>494</v>
      </c>
      <c r="B192" s="0" t="s">
        <v>495</v>
      </c>
      <c r="C192" s="0" t="s">
        <v>15</v>
      </c>
      <c r="D192" s="0" t="s">
        <v>19</v>
      </c>
      <c r="E192" s="0" t="s">
        <v>12</v>
      </c>
    </row>
    <row r="193" customFormat="false" ht="13.5" hidden="false" customHeight="false" outlineLevel="0" collapsed="false">
      <c r="A193" s="0" t="s">
        <v>496</v>
      </c>
      <c r="B193" s="0" t="s">
        <v>497</v>
      </c>
      <c r="C193" s="0" t="s">
        <v>15</v>
      </c>
      <c r="D193" s="0" t="s">
        <v>19</v>
      </c>
      <c r="E193" s="0" t="s">
        <v>498</v>
      </c>
    </row>
    <row r="194" customFormat="false" ht="13.5" hidden="false" customHeight="false" outlineLevel="0" collapsed="false">
      <c r="A194" s="0" t="s">
        <v>499</v>
      </c>
      <c r="B194" s="0" t="s">
        <v>500</v>
      </c>
      <c r="C194" s="0" t="s">
        <v>15</v>
      </c>
      <c r="D194" s="0" t="s">
        <v>19</v>
      </c>
      <c r="E194" s="0" t="s">
        <v>501</v>
      </c>
    </row>
    <row r="195" customFormat="false" ht="13.5" hidden="false" customHeight="false" outlineLevel="0" collapsed="false">
      <c r="A195" s="0" t="s">
        <v>502</v>
      </c>
      <c r="B195" s="0" t="s">
        <v>503</v>
      </c>
      <c r="C195" s="0" t="s">
        <v>15</v>
      </c>
      <c r="D195" s="0" t="s">
        <v>19</v>
      </c>
      <c r="E195" s="0" t="s">
        <v>47</v>
      </c>
    </row>
    <row r="196" customFormat="false" ht="13.5" hidden="false" customHeight="false" outlineLevel="0" collapsed="false">
      <c r="A196" s="0" t="s">
        <v>504</v>
      </c>
      <c r="B196" s="0" t="s">
        <v>505</v>
      </c>
      <c r="C196" s="0" t="s">
        <v>15</v>
      </c>
      <c r="D196" s="0" t="s">
        <v>19</v>
      </c>
      <c r="E196" s="0" t="s">
        <v>98</v>
      </c>
    </row>
    <row r="197" customFormat="false" ht="13.5" hidden="false" customHeight="false" outlineLevel="0" collapsed="false">
      <c r="A197" s="0" t="s">
        <v>506</v>
      </c>
      <c r="B197" s="0" t="s">
        <v>507</v>
      </c>
      <c r="C197" s="0" t="s">
        <v>15</v>
      </c>
      <c r="D197" s="0" t="s">
        <v>19</v>
      </c>
      <c r="E197" s="0" t="s">
        <v>47</v>
      </c>
    </row>
    <row r="198" customFormat="false" ht="13.5" hidden="false" customHeight="false" outlineLevel="0" collapsed="false">
      <c r="A198" s="0" t="s">
        <v>508</v>
      </c>
      <c r="B198" s="0" t="s">
        <v>509</v>
      </c>
      <c r="C198" s="0" t="s">
        <v>15</v>
      </c>
      <c r="D198" s="0" t="s">
        <v>19</v>
      </c>
      <c r="E198" s="0" t="s">
        <v>510</v>
      </c>
    </row>
    <row r="199" customFormat="false" ht="13.5" hidden="false" customHeight="false" outlineLevel="0" collapsed="false">
      <c r="A199" s="0" t="s">
        <v>511</v>
      </c>
      <c r="B199" s="0" t="s">
        <v>512</v>
      </c>
      <c r="C199" s="0" t="s">
        <v>15</v>
      </c>
      <c r="D199" s="0" t="s">
        <v>19</v>
      </c>
      <c r="E199" s="0" t="s">
        <v>32</v>
      </c>
    </row>
    <row r="200" customFormat="false" ht="13.5" hidden="false" customHeight="false" outlineLevel="0" collapsed="false">
      <c r="A200" s="0" t="s">
        <v>513</v>
      </c>
      <c r="B200" s="0" t="s">
        <v>514</v>
      </c>
      <c r="C200" s="0" t="s">
        <v>15</v>
      </c>
      <c r="D200" s="0" t="s">
        <v>515</v>
      </c>
      <c r="E200" s="0" t="s">
        <v>47</v>
      </c>
    </row>
    <row r="201" customFormat="false" ht="13.5" hidden="false" customHeight="false" outlineLevel="0" collapsed="false">
      <c r="A201" s="0" t="s">
        <v>516</v>
      </c>
      <c r="B201" s="0" t="s">
        <v>517</v>
      </c>
      <c r="C201" s="0" t="s">
        <v>15</v>
      </c>
      <c r="D201" s="0" t="s">
        <v>19</v>
      </c>
      <c r="E201" s="0" t="s">
        <v>518</v>
      </c>
    </row>
    <row r="202" customFormat="false" ht="13.5" hidden="false" customHeight="false" outlineLevel="0" collapsed="false">
      <c r="A202" s="0" t="s">
        <v>519</v>
      </c>
      <c r="B202" s="0" t="s">
        <v>520</v>
      </c>
      <c r="C202" s="0" t="s">
        <v>15</v>
      </c>
      <c r="D202" s="0" t="s">
        <v>19</v>
      </c>
      <c r="E202" s="0" t="s">
        <v>521</v>
      </c>
    </row>
    <row r="203" customFormat="false" ht="13.5" hidden="false" customHeight="false" outlineLevel="0" collapsed="false">
      <c r="A203" s="0" t="s">
        <v>522</v>
      </c>
      <c r="B203" s="0" t="s">
        <v>523</v>
      </c>
      <c r="C203" s="0" t="s">
        <v>15</v>
      </c>
      <c r="D203" s="0" t="s">
        <v>19</v>
      </c>
      <c r="E203" s="0" t="s">
        <v>47</v>
      </c>
    </row>
    <row r="204" customFormat="false" ht="13.5" hidden="false" customHeight="false" outlineLevel="0" collapsed="false">
      <c r="A204" s="0" t="s">
        <v>524</v>
      </c>
      <c r="B204" s="0" t="s">
        <v>525</v>
      </c>
      <c r="C204" s="0" t="s">
        <v>15</v>
      </c>
      <c r="D204" s="0" t="s">
        <v>19</v>
      </c>
      <c r="E204" s="0" t="s">
        <v>32</v>
      </c>
    </row>
    <row r="205" customFormat="false" ht="13.5" hidden="false" customHeight="false" outlineLevel="0" collapsed="false">
      <c r="A205" s="0" t="s">
        <v>526</v>
      </c>
      <c r="B205" s="0" t="s">
        <v>527</v>
      </c>
      <c r="C205" s="0" t="s">
        <v>15</v>
      </c>
      <c r="D205" s="0" t="s">
        <v>19</v>
      </c>
      <c r="E205" s="0" t="s">
        <v>12</v>
      </c>
    </row>
    <row r="206" customFormat="false" ht="13.5" hidden="false" customHeight="false" outlineLevel="0" collapsed="false">
      <c r="A206" s="0" t="s">
        <v>528</v>
      </c>
      <c r="B206" s="0" t="s">
        <v>529</v>
      </c>
      <c r="C206" s="0" t="s">
        <v>15</v>
      </c>
      <c r="D206" s="0" t="s">
        <v>19</v>
      </c>
      <c r="E206" s="0" t="s">
        <v>370</v>
      </c>
    </row>
    <row r="207" customFormat="false" ht="13.5" hidden="false" customHeight="false" outlineLevel="0" collapsed="false">
      <c r="A207" s="0" t="s">
        <v>530</v>
      </c>
      <c r="B207" s="0" t="s">
        <v>531</v>
      </c>
      <c r="C207" s="0" t="s">
        <v>15</v>
      </c>
      <c r="D207" s="0" t="s">
        <v>19</v>
      </c>
      <c r="E207" s="0" t="s">
        <v>131</v>
      </c>
    </row>
    <row r="208" customFormat="false" ht="13.5" hidden="false" customHeight="false" outlineLevel="0" collapsed="false">
      <c r="A208" s="0" t="s">
        <v>532</v>
      </c>
      <c r="B208" s="0" t="s">
        <v>533</v>
      </c>
      <c r="C208" s="0" t="s">
        <v>15</v>
      </c>
      <c r="D208" s="0" t="s">
        <v>19</v>
      </c>
      <c r="E208" s="0" t="s">
        <v>252</v>
      </c>
    </row>
    <row r="209" customFormat="false" ht="13.5" hidden="false" customHeight="false" outlineLevel="0" collapsed="false">
      <c r="A209" s="0" t="s">
        <v>534</v>
      </c>
      <c r="B209" s="0" t="s">
        <v>535</v>
      </c>
      <c r="C209" s="0" t="s">
        <v>15</v>
      </c>
      <c r="D209" s="0" t="s">
        <v>19</v>
      </c>
      <c r="E209" s="0" t="s">
        <v>536</v>
      </c>
    </row>
    <row r="210" customFormat="false" ht="13.5" hidden="false" customHeight="false" outlineLevel="0" collapsed="false">
      <c r="A210" s="0" t="s">
        <v>537</v>
      </c>
      <c r="B210" s="0" t="s">
        <v>538</v>
      </c>
      <c r="C210" s="0" t="s">
        <v>15</v>
      </c>
      <c r="D210" s="0" t="s">
        <v>19</v>
      </c>
      <c r="E210" s="0" t="s">
        <v>12</v>
      </c>
    </row>
    <row r="211" customFormat="false" ht="13.5" hidden="false" customHeight="false" outlineLevel="0" collapsed="false">
      <c r="A211" s="0" t="s">
        <v>539</v>
      </c>
      <c r="B211" s="0" t="s">
        <v>540</v>
      </c>
      <c r="C211" s="0" t="s">
        <v>15</v>
      </c>
      <c r="D211" s="0" t="s">
        <v>19</v>
      </c>
      <c r="E211" s="0" t="s">
        <v>541</v>
      </c>
    </row>
    <row r="212" customFormat="false" ht="13.5" hidden="false" customHeight="false" outlineLevel="0" collapsed="false">
      <c r="A212" s="0" t="s">
        <v>542</v>
      </c>
      <c r="B212" s="0" t="s">
        <v>543</v>
      </c>
      <c r="C212" s="0" t="s">
        <v>15</v>
      </c>
      <c r="D212" s="0" t="s">
        <v>19</v>
      </c>
      <c r="E212" s="0" t="s">
        <v>544</v>
      </c>
    </row>
    <row r="213" customFormat="false" ht="13.5" hidden="false" customHeight="false" outlineLevel="0" collapsed="false">
      <c r="A213" s="0" t="s">
        <v>545</v>
      </c>
      <c r="B213" s="0" t="s">
        <v>546</v>
      </c>
      <c r="C213" s="0" t="s">
        <v>15</v>
      </c>
      <c r="D213" s="0" t="s">
        <v>19</v>
      </c>
      <c r="E213" s="0" t="s">
        <v>12</v>
      </c>
    </row>
    <row r="214" customFormat="false" ht="13.5" hidden="false" customHeight="false" outlineLevel="0" collapsed="false">
      <c r="A214" s="0" t="s">
        <v>547</v>
      </c>
      <c r="B214" s="0" t="s">
        <v>548</v>
      </c>
      <c r="C214" s="0" t="s">
        <v>15</v>
      </c>
      <c r="D214" s="0" t="s">
        <v>19</v>
      </c>
      <c r="E214" s="0" t="s">
        <v>98</v>
      </c>
    </row>
    <row r="215" customFormat="false" ht="13.5" hidden="false" customHeight="false" outlineLevel="0" collapsed="false">
      <c r="A215" s="0" t="s">
        <v>549</v>
      </c>
      <c r="B215" s="0" t="s">
        <v>550</v>
      </c>
      <c r="C215" s="0" t="s">
        <v>15</v>
      </c>
      <c r="D215" s="0" t="s">
        <v>19</v>
      </c>
      <c r="E215" s="0" t="s">
        <v>32</v>
      </c>
    </row>
    <row r="216" customFormat="false" ht="13.5" hidden="false" customHeight="false" outlineLevel="0" collapsed="false">
      <c r="A216" s="0" t="s">
        <v>551</v>
      </c>
      <c r="B216" s="0" t="s">
        <v>552</v>
      </c>
      <c r="C216" s="0" t="s">
        <v>15</v>
      </c>
      <c r="D216" s="0" t="s">
        <v>19</v>
      </c>
      <c r="E216" s="0" t="s">
        <v>226</v>
      </c>
    </row>
    <row r="217" customFormat="false" ht="13.5" hidden="false" customHeight="false" outlineLevel="0" collapsed="false">
      <c r="A217" s="0" t="s">
        <v>553</v>
      </c>
      <c r="B217" s="0" t="s">
        <v>554</v>
      </c>
      <c r="C217" s="0" t="s">
        <v>15</v>
      </c>
      <c r="D217" s="0" t="s">
        <v>19</v>
      </c>
      <c r="E217" s="0" t="s">
        <v>555</v>
      </c>
    </row>
    <row r="218" customFormat="false" ht="13.5" hidden="false" customHeight="false" outlineLevel="0" collapsed="false">
      <c r="A218" s="0" t="s">
        <v>556</v>
      </c>
      <c r="B218" s="0" t="s">
        <v>557</v>
      </c>
      <c r="C218" s="0" t="s">
        <v>15</v>
      </c>
      <c r="D218" s="0" t="s">
        <v>19</v>
      </c>
      <c r="E218" s="0" t="s">
        <v>263</v>
      </c>
    </row>
    <row r="219" customFormat="false" ht="13.5" hidden="false" customHeight="false" outlineLevel="0" collapsed="false">
      <c r="A219" s="0" t="s">
        <v>558</v>
      </c>
      <c r="B219" s="0" t="s">
        <v>559</v>
      </c>
      <c r="C219" s="0" t="s">
        <v>15</v>
      </c>
      <c r="D219" s="0" t="s">
        <v>19</v>
      </c>
      <c r="E219" s="0" t="s">
        <v>131</v>
      </c>
    </row>
    <row r="220" customFormat="false" ht="13.5" hidden="false" customHeight="false" outlineLevel="0" collapsed="false">
      <c r="A220" s="0" t="s">
        <v>560</v>
      </c>
      <c r="B220" s="0" t="s">
        <v>561</v>
      </c>
      <c r="C220" s="0" t="s">
        <v>15</v>
      </c>
      <c r="D220" s="0" t="s">
        <v>19</v>
      </c>
      <c r="E220" s="0" t="s">
        <v>47</v>
      </c>
    </row>
    <row r="221" customFormat="false" ht="13.5" hidden="false" customHeight="false" outlineLevel="0" collapsed="false">
      <c r="A221" s="0" t="s">
        <v>562</v>
      </c>
      <c r="B221" s="0" t="s">
        <v>563</v>
      </c>
      <c r="C221" s="0" t="s">
        <v>15</v>
      </c>
      <c r="D221" s="0" t="s">
        <v>19</v>
      </c>
      <c r="E221" s="0" t="s">
        <v>564</v>
      </c>
    </row>
    <row r="222" customFormat="false" ht="13.5" hidden="false" customHeight="false" outlineLevel="0" collapsed="false">
      <c r="A222" s="0" t="s">
        <v>565</v>
      </c>
      <c r="B222" s="0" t="s">
        <v>566</v>
      </c>
      <c r="C222" s="0" t="s">
        <v>15</v>
      </c>
      <c r="D222" s="0" t="s">
        <v>19</v>
      </c>
      <c r="E222" s="0" t="s">
        <v>567</v>
      </c>
    </row>
    <row r="223" customFormat="false" ht="13.5" hidden="false" customHeight="false" outlineLevel="0" collapsed="false">
      <c r="A223" s="0" t="s">
        <v>568</v>
      </c>
      <c r="B223" s="0" t="s">
        <v>569</v>
      </c>
      <c r="C223" s="0" t="s">
        <v>15</v>
      </c>
      <c r="D223" s="0" t="s">
        <v>19</v>
      </c>
      <c r="E223" s="0" t="s">
        <v>150</v>
      </c>
    </row>
    <row r="224" customFormat="false" ht="13.5" hidden="false" customHeight="false" outlineLevel="0" collapsed="false">
      <c r="A224" s="0" t="s">
        <v>570</v>
      </c>
      <c r="B224" s="0" t="s">
        <v>136</v>
      </c>
      <c r="C224" s="0" t="s">
        <v>15</v>
      </c>
      <c r="D224" s="0" t="s">
        <v>19</v>
      </c>
      <c r="E224" s="0" t="s">
        <v>273</v>
      </c>
    </row>
    <row r="225" customFormat="false" ht="13.5" hidden="false" customHeight="false" outlineLevel="0" collapsed="false">
      <c r="A225" s="0" t="s">
        <v>571</v>
      </c>
      <c r="B225" s="0" t="s">
        <v>572</v>
      </c>
      <c r="C225" s="0" t="s">
        <v>15</v>
      </c>
      <c r="D225" s="0" t="s">
        <v>19</v>
      </c>
      <c r="E225" s="0" t="s">
        <v>47</v>
      </c>
    </row>
    <row r="226" customFormat="false" ht="13.5" hidden="false" customHeight="false" outlineLevel="0" collapsed="false">
      <c r="A226" s="0" t="s">
        <v>573</v>
      </c>
      <c r="B226" s="0" t="s">
        <v>574</v>
      </c>
      <c r="C226" s="0" t="s">
        <v>15</v>
      </c>
      <c r="D226" s="0" t="s">
        <v>19</v>
      </c>
      <c r="E226" s="0" t="s">
        <v>32</v>
      </c>
    </row>
    <row r="227" customFormat="false" ht="13.5" hidden="false" customHeight="false" outlineLevel="0" collapsed="false">
      <c r="A227" s="0" t="s">
        <v>575</v>
      </c>
      <c r="B227" s="0" t="s">
        <v>576</v>
      </c>
      <c r="C227" s="0" t="s">
        <v>15</v>
      </c>
      <c r="D227" s="0" t="s">
        <v>19</v>
      </c>
      <c r="E227" s="0" t="s">
        <v>47</v>
      </c>
      <c r="F227" s="0" t="s">
        <v>577</v>
      </c>
    </row>
    <row r="228" customFormat="false" ht="13.5" hidden="false" customHeight="false" outlineLevel="0" collapsed="false">
      <c r="A228" s="0" t="s">
        <v>578</v>
      </c>
      <c r="B228" s="0" t="s">
        <v>579</v>
      </c>
      <c r="C228" s="0" t="s">
        <v>15</v>
      </c>
      <c r="D228" s="0" t="s">
        <v>19</v>
      </c>
      <c r="E228" s="0" t="s">
        <v>580</v>
      </c>
      <c r="F228" s="0" t="s">
        <v>581</v>
      </c>
    </row>
    <row r="229" customFormat="false" ht="13.5" hidden="false" customHeight="false" outlineLevel="0" collapsed="false">
      <c r="A229" s="0" t="s">
        <v>582</v>
      </c>
      <c r="B229" s="0" t="s">
        <v>583</v>
      </c>
      <c r="C229" s="0" t="s">
        <v>15</v>
      </c>
      <c r="D229" s="0" t="s">
        <v>19</v>
      </c>
      <c r="E229" s="0" t="s">
        <v>122</v>
      </c>
    </row>
    <row r="230" customFormat="false" ht="13.5" hidden="false" customHeight="false" outlineLevel="0" collapsed="false">
      <c r="A230" s="0" t="s">
        <v>584</v>
      </c>
      <c r="B230" s="0" t="s">
        <v>585</v>
      </c>
      <c r="C230" s="0" t="s">
        <v>15</v>
      </c>
      <c r="D230" s="0" t="s">
        <v>19</v>
      </c>
      <c r="E230" s="0" t="s">
        <v>32</v>
      </c>
    </row>
    <row r="231" customFormat="false" ht="13.5" hidden="false" customHeight="false" outlineLevel="0" collapsed="false">
      <c r="A231" s="0" t="s">
        <v>586</v>
      </c>
      <c r="B231" s="0" t="s">
        <v>495</v>
      </c>
      <c r="C231" s="0" t="s">
        <v>15</v>
      </c>
      <c r="D231" s="0" t="s">
        <v>19</v>
      </c>
      <c r="E231" s="0" t="s">
        <v>12</v>
      </c>
    </row>
    <row r="232" customFormat="false" ht="13.5" hidden="false" customHeight="false" outlineLevel="0" collapsed="false">
      <c r="A232" s="0" t="s">
        <v>587</v>
      </c>
      <c r="B232" s="0" t="s">
        <v>588</v>
      </c>
      <c r="C232" s="0" t="s">
        <v>15</v>
      </c>
      <c r="D232" s="0" t="s">
        <v>19</v>
      </c>
      <c r="E232" s="0" t="s">
        <v>589</v>
      </c>
    </row>
    <row r="233" customFormat="false" ht="13.5" hidden="false" customHeight="false" outlineLevel="0" collapsed="false">
      <c r="A233" s="0" t="s">
        <v>590</v>
      </c>
      <c r="B233" s="0" t="s">
        <v>591</v>
      </c>
      <c r="C233" s="0" t="s">
        <v>15</v>
      </c>
      <c r="D233" s="0" t="s">
        <v>19</v>
      </c>
      <c r="E233" s="0" t="s">
        <v>407</v>
      </c>
    </row>
    <row r="234" customFormat="false" ht="13.5" hidden="false" customHeight="false" outlineLevel="0" collapsed="false">
      <c r="A234" s="0" t="s">
        <v>592</v>
      </c>
      <c r="B234" s="0" t="s">
        <v>593</v>
      </c>
      <c r="C234" s="0" t="s">
        <v>15</v>
      </c>
      <c r="D234" s="0" t="s">
        <v>19</v>
      </c>
      <c r="E234" s="0" t="s">
        <v>150</v>
      </c>
      <c r="F234" s="0" t="s">
        <v>577</v>
      </c>
    </row>
    <row r="235" customFormat="false" ht="13.5" hidden="false" customHeight="false" outlineLevel="0" collapsed="false">
      <c r="A235" s="0" t="s">
        <v>594</v>
      </c>
      <c r="B235" s="0" t="s">
        <v>595</v>
      </c>
      <c r="C235" s="0" t="s">
        <v>15</v>
      </c>
      <c r="D235" s="0" t="s">
        <v>19</v>
      </c>
      <c r="E235" s="0" t="s">
        <v>596</v>
      </c>
    </row>
    <row r="236" customFormat="false" ht="13.5" hidden="false" customHeight="false" outlineLevel="0" collapsed="false">
      <c r="A236" s="0" t="s">
        <v>597</v>
      </c>
      <c r="B236" s="0" t="s">
        <v>598</v>
      </c>
      <c r="C236" s="0" t="s">
        <v>15</v>
      </c>
      <c r="D236" s="0" t="s">
        <v>19</v>
      </c>
      <c r="E236" s="0" t="s">
        <v>599</v>
      </c>
    </row>
    <row r="237" customFormat="false" ht="13.5" hidden="false" customHeight="false" outlineLevel="0" collapsed="false">
      <c r="A237" s="0" t="s">
        <v>600</v>
      </c>
      <c r="B237" s="0" t="s">
        <v>601</v>
      </c>
      <c r="C237" s="0" t="s">
        <v>15</v>
      </c>
      <c r="D237" s="0" t="s">
        <v>19</v>
      </c>
      <c r="E237" s="0" t="s">
        <v>12</v>
      </c>
    </row>
    <row r="238" customFormat="false" ht="13.5" hidden="false" customHeight="false" outlineLevel="0" collapsed="false">
      <c r="A238" s="0" t="s">
        <v>602</v>
      </c>
      <c r="B238" s="0" t="s">
        <v>603</v>
      </c>
      <c r="C238" s="0" t="s">
        <v>15</v>
      </c>
      <c r="D238" s="0" t="s">
        <v>19</v>
      </c>
      <c r="E238" s="0" t="s">
        <v>351</v>
      </c>
    </row>
    <row r="239" customFormat="false" ht="13.5" hidden="false" customHeight="false" outlineLevel="0" collapsed="false">
      <c r="A239" s="0" t="s">
        <v>604</v>
      </c>
      <c r="B239" s="0" t="s">
        <v>605</v>
      </c>
      <c r="C239" s="0" t="s">
        <v>15</v>
      </c>
      <c r="D239" s="0" t="s">
        <v>19</v>
      </c>
      <c r="E239" s="0" t="s">
        <v>32</v>
      </c>
    </row>
    <row r="240" customFormat="false" ht="13.5" hidden="false" customHeight="false" outlineLevel="0" collapsed="false">
      <c r="A240" s="0" t="s">
        <v>606</v>
      </c>
      <c r="B240" s="0" t="s">
        <v>607</v>
      </c>
      <c r="C240" s="0" t="s">
        <v>15</v>
      </c>
      <c r="D240" s="0" t="s">
        <v>19</v>
      </c>
      <c r="E240" s="0" t="s">
        <v>370</v>
      </c>
    </row>
    <row r="241" customFormat="false" ht="13.5" hidden="false" customHeight="false" outlineLevel="0" collapsed="false">
      <c r="A241" s="0" t="s">
        <v>608</v>
      </c>
      <c r="B241" s="0" t="s">
        <v>609</v>
      </c>
      <c r="C241" s="0" t="s">
        <v>15</v>
      </c>
      <c r="D241" s="0" t="s">
        <v>19</v>
      </c>
      <c r="E241" s="0" t="s">
        <v>610</v>
      </c>
    </row>
    <row r="242" customFormat="false" ht="13.5" hidden="false" customHeight="false" outlineLevel="0" collapsed="false">
      <c r="A242" s="0" t="s">
        <v>611</v>
      </c>
      <c r="B242" s="0" t="s">
        <v>404</v>
      </c>
      <c r="C242" s="0" t="s">
        <v>15</v>
      </c>
      <c r="D242" s="0" t="s">
        <v>19</v>
      </c>
      <c r="E242" s="0" t="s">
        <v>12</v>
      </c>
    </row>
    <row r="243" customFormat="false" ht="13.5" hidden="false" customHeight="false" outlineLevel="0" collapsed="false">
      <c r="A243" s="0" t="s">
        <v>612</v>
      </c>
      <c r="B243" s="0" t="s">
        <v>613</v>
      </c>
      <c r="C243" s="0" t="s">
        <v>15</v>
      </c>
      <c r="D243" s="0" t="s">
        <v>19</v>
      </c>
      <c r="E243" s="0" t="s">
        <v>307</v>
      </c>
    </row>
    <row r="244" customFormat="false" ht="13.5" hidden="false" customHeight="false" outlineLevel="0" collapsed="false">
      <c r="A244" s="0" t="s">
        <v>614</v>
      </c>
      <c r="B244" s="0" t="s">
        <v>615</v>
      </c>
      <c r="C244" s="0" t="s">
        <v>15</v>
      </c>
      <c r="D244" s="0" t="s">
        <v>19</v>
      </c>
      <c r="E244" s="0" t="s">
        <v>616</v>
      </c>
    </row>
    <row r="245" customFormat="false" ht="13.5" hidden="false" customHeight="false" outlineLevel="0" collapsed="false">
      <c r="A245" s="0" t="s">
        <v>617</v>
      </c>
      <c r="B245" s="0" t="s">
        <v>618</v>
      </c>
      <c r="C245" s="0" t="s">
        <v>15</v>
      </c>
      <c r="D245" s="0" t="s">
        <v>19</v>
      </c>
      <c r="E245" s="0" t="s">
        <v>226</v>
      </c>
    </row>
    <row r="246" customFormat="false" ht="13.5" hidden="false" customHeight="false" outlineLevel="0" collapsed="false">
      <c r="A246" s="0" t="s">
        <v>619</v>
      </c>
      <c r="B246" s="0" t="s">
        <v>620</v>
      </c>
      <c r="C246" s="0" t="s">
        <v>15</v>
      </c>
      <c r="D246" s="0" t="s">
        <v>19</v>
      </c>
      <c r="E246" s="0" t="s">
        <v>32</v>
      </c>
    </row>
    <row r="247" customFormat="false" ht="13.5" hidden="false" customHeight="false" outlineLevel="0" collapsed="false">
      <c r="A247" s="0" t="s">
        <v>621</v>
      </c>
      <c r="B247" s="0" t="s">
        <v>622</v>
      </c>
      <c r="C247" s="0" t="s">
        <v>15</v>
      </c>
      <c r="D247" s="0" t="s">
        <v>19</v>
      </c>
      <c r="E247" s="0" t="s">
        <v>98</v>
      </c>
    </row>
    <row r="248" customFormat="false" ht="13.5" hidden="false" customHeight="false" outlineLevel="0" collapsed="false">
      <c r="A248" s="0" t="s">
        <v>623</v>
      </c>
      <c r="B248" s="0" t="s">
        <v>624</v>
      </c>
      <c r="C248" s="0" t="s">
        <v>15</v>
      </c>
      <c r="D248" s="0" t="s">
        <v>19</v>
      </c>
      <c r="E248" s="0" t="s">
        <v>625</v>
      </c>
    </row>
    <row r="249" customFormat="false" ht="13.5" hidden="false" customHeight="false" outlineLevel="0" collapsed="false">
      <c r="A249" s="0" t="s">
        <v>626</v>
      </c>
      <c r="B249" s="0" t="s">
        <v>627</v>
      </c>
      <c r="C249" s="0" t="s">
        <v>15</v>
      </c>
      <c r="D249" s="0" t="s">
        <v>19</v>
      </c>
      <c r="E249" s="0" t="s">
        <v>351</v>
      </c>
    </row>
    <row r="250" customFormat="false" ht="13.5" hidden="false" customHeight="false" outlineLevel="0" collapsed="false">
      <c r="A250" s="0" t="s">
        <v>628</v>
      </c>
      <c r="B250" s="0" t="s">
        <v>629</v>
      </c>
      <c r="C250" s="0" t="s">
        <v>15</v>
      </c>
      <c r="D250" s="0" t="s">
        <v>19</v>
      </c>
      <c r="E250" s="0" t="s">
        <v>32</v>
      </c>
    </row>
    <row r="251" customFormat="false" ht="13.5" hidden="false" customHeight="false" outlineLevel="0" collapsed="false">
      <c r="A251" s="0" t="s">
        <v>630</v>
      </c>
      <c r="B251" s="0" t="s">
        <v>631</v>
      </c>
      <c r="C251" s="0" t="s">
        <v>15</v>
      </c>
      <c r="D251" s="0" t="s">
        <v>19</v>
      </c>
      <c r="E251" s="0" t="s">
        <v>589</v>
      </c>
    </row>
    <row r="252" customFormat="false" ht="13.5" hidden="false" customHeight="false" outlineLevel="0" collapsed="false">
      <c r="A252" s="0" t="s">
        <v>632</v>
      </c>
      <c r="B252" s="0" t="s">
        <v>633</v>
      </c>
      <c r="C252" s="0" t="s">
        <v>15</v>
      </c>
      <c r="D252" s="0" t="s">
        <v>19</v>
      </c>
      <c r="E252" s="0" t="s">
        <v>625</v>
      </c>
    </row>
    <row r="253" customFormat="false" ht="13.5" hidden="false" customHeight="false" outlineLevel="0" collapsed="false">
      <c r="A253" s="0" t="s">
        <v>634</v>
      </c>
      <c r="B253" s="0" t="s">
        <v>635</v>
      </c>
      <c r="C253" s="0" t="s">
        <v>15</v>
      </c>
      <c r="D253" s="0" t="s">
        <v>19</v>
      </c>
      <c r="E253" s="0" t="s">
        <v>47</v>
      </c>
    </row>
    <row r="254" customFormat="false" ht="13.5" hidden="false" customHeight="false" outlineLevel="0" collapsed="false">
      <c r="A254" s="0" t="s">
        <v>636</v>
      </c>
      <c r="B254" s="0" t="s">
        <v>637</v>
      </c>
      <c r="C254" s="0" t="s">
        <v>15</v>
      </c>
      <c r="D254" s="0" t="s">
        <v>19</v>
      </c>
      <c r="E254" s="0" t="s">
        <v>226</v>
      </c>
    </row>
    <row r="255" customFormat="false" ht="13.5" hidden="false" customHeight="false" outlineLevel="0" collapsed="false">
      <c r="A255" s="0" t="s">
        <v>638</v>
      </c>
      <c r="B255" s="0" t="s">
        <v>639</v>
      </c>
      <c r="C255" s="0" t="s">
        <v>15</v>
      </c>
      <c r="D255" s="0" t="s">
        <v>19</v>
      </c>
      <c r="E255" s="0" t="s">
        <v>47</v>
      </c>
    </row>
    <row r="256" customFormat="false" ht="13.5" hidden="false" customHeight="false" outlineLevel="0" collapsed="false">
      <c r="A256" s="0" t="s">
        <v>640</v>
      </c>
      <c r="B256" s="0" t="s">
        <v>641</v>
      </c>
      <c r="C256" s="0" t="s">
        <v>15</v>
      </c>
      <c r="D256" s="0" t="s">
        <v>19</v>
      </c>
      <c r="E256" s="0" t="s">
        <v>642</v>
      </c>
    </row>
    <row r="257" customFormat="false" ht="13.5" hidden="false" customHeight="false" outlineLevel="0" collapsed="false">
      <c r="A257" s="0" t="s">
        <v>643</v>
      </c>
      <c r="B257" s="0" t="s">
        <v>644</v>
      </c>
      <c r="C257" s="0" t="s">
        <v>15</v>
      </c>
      <c r="D257" s="0" t="s">
        <v>19</v>
      </c>
      <c r="E257" s="0" t="s">
        <v>98</v>
      </c>
    </row>
    <row r="258" customFormat="false" ht="13.5" hidden="false" customHeight="false" outlineLevel="0" collapsed="false">
      <c r="A258" s="0" t="s">
        <v>645</v>
      </c>
      <c r="B258" s="0" t="s">
        <v>646</v>
      </c>
      <c r="C258" s="0" t="s">
        <v>15</v>
      </c>
      <c r="D258" s="0" t="s">
        <v>19</v>
      </c>
      <c r="E258" s="0" t="s">
        <v>98</v>
      </c>
    </row>
    <row r="259" customFormat="false" ht="13.5" hidden="false" customHeight="false" outlineLevel="0" collapsed="false">
      <c r="A259" s="0" t="s">
        <v>647</v>
      </c>
      <c r="B259" s="0" t="s">
        <v>648</v>
      </c>
      <c r="C259" s="0" t="s">
        <v>15</v>
      </c>
      <c r="D259" s="0" t="s">
        <v>19</v>
      </c>
      <c r="E259" s="0" t="s">
        <v>649</v>
      </c>
    </row>
    <row r="260" customFormat="false" ht="13.5" hidden="false" customHeight="false" outlineLevel="0" collapsed="false">
      <c r="A260" s="0" t="s">
        <v>650</v>
      </c>
      <c r="B260" s="0" t="s">
        <v>651</v>
      </c>
      <c r="C260" s="0" t="s">
        <v>15</v>
      </c>
      <c r="D260" s="0" t="s">
        <v>19</v>
      </c>
      <c r="E260" s="0" t="s">
        <v>652</v>
      </c>
    </row>
    <row r="261" customFormat="false" ht="13.5" hidden="false" customHeight="false" outlineLevel="0" collapsed="false">
      <c r="A261" s="0" t="s">
        <v>653</v>
      </c>
      <c r="B261" s="0" t="s">
        <v>654</v>
      </c>
      <c r="C261" s="0" t="s">
        <v>15</v>
      </c>
      <c r="D261" s="0" t="s">
        <v>19</v>
      </c>
      <c r="E261" s="0" t="s">
        <v>655</v>
      </c>
    </row>
    <row r="262" customFormat="false" ht="13.5" hidden="false" customHeight="false" outlineLevel="0" collapsed="false">
      <c r="A262" s="0" t="s">
        <v>656</v>
      </c>
      <c r="B262" s="0" t="s">
        <v>657</v>
      </c>
      <c r="C262" s="0" t="s">
        <v>15</v>
      </c>
      <c r="D262" s="0" t="s">
        <v>24</v>
      </c>
      <c r="E262" s="0" t="s">
        <v>32</v>
      </c>
    </row>
    <row r="263" customFormat="false" ht="13.5" hidden="false" customHeight="false" outlineLevel="0" collapsed="false">
      <c r="A263" s="0" t="s">
        <v>658</v>
      </c>
      <c r="B263" s="0" t="s">
        <v>659</v>
      </c>
      <c r="C263" s="0" t="s">
        <v>15</v>
      </c>
      <c r="D263" s="0" t="s">
        <v>19</v>
      </c>
      <c r="E263" s="0" t="s">
        <v>660</v>
      </c>
    </row>
    <row r="264" customFormat="false" ht="13.5" hidden="false" customHeight="false" outlineLevel="0" collapsed="false">
      <c r="A264" s="0" t="s">
        <v>661</v>
      </c>
      <c r="B264" s="0" t="s">
        <v>662</v>
      </c>
      <c r="C264" s="0" t="s">
        <v>15</v>
      </c>
      <c r="D264" s="0" t="s">
        <v>19</v>
      </c>
      <c r="E264" s="0" t="s">
        <v>47</v>
      </c>
    </row>
    <row r="265" customFormat="false" ht="13.5" hidden="false" customHeight="false" outlineLevel="0" collapsed="false">
      <c r="A265" s="0" t="s">
        <v>663</v>
      </c>
      <c r="B265" s="0" t="s">
        <v>664</v>
      </c>
      <c r="C265" s="0" t="s">
        <v>15</v>
      </c>
      <c r="D265" s="0" t="s">
        <v>19</v>
      </c>
      <c r="E265" s="0" t="s">
        <v>47</v>
      </c>
    </row>
    <row r="266" customFormat="false" ht="13.5" hidden="false" customHeight="false" outlineLevel="0" collapsed="false">
      <c r="A266" s="0" t="s">
        <v>665</v>
      </c>
      <c r="B266" s="0" t="s">
        <v>666</v>
      </c>
      <c r="C266" s="0" t="s">
        <v>15</v>
      </c>
      <c r="D266" s="0" t="s">
        <v>19</v>
      </c>
      <c r="E266" s="0" t="s">
        <v>263</v>
      </c>
    </row>
    <row r="267" customFormat="false" ht="13.5" hidden="false" customHeight="false" outlineLevel="0" collapsed="false">
      <c r="A267" s="0" t="s">
        <v>667</v>
      </c>
      <c r="B267" s="0" t="s">
        <v>668</v>
      </c>
      <c r="C267" s="0" t="s">
        <v>15</v>
      </c>
      <c r="D267" s="0" t="s">
        <v>19</v>
      </c>
      <c r="E267" s="0" t="s">
        <v>669</v>
      </c>
    </row>
    <row r="268" customFormat="false" ht="13.5" hidden="false" customHeight="false" outlineLevel="0" collapsed="false">
      <c r="A268" s="0" t="s">
        <v>670</v>
      </c>
      <c r="B268" s="0" t="s">
        <v>671</v>
      </c>
      <c r="C268" s="0" t="s">
        <v>15</v>
      </c>
      <c r="D268" s="0" t="s">
        <v>19</v>
      </c>
      <c r="E268" s="0" t="s">
        <v>672</v>
      </c>
    </row>
    <row r="269" customFormat="false" ht="13.5" hidden="false" customHeight="false" outlineLevel="0" collapsed="false">
      <c r="A269" s="0" t="s">
        <v>673</v>
      </c>
      <c r="B269" s="0" t="s">
        <v>674</v>
      </c>
      <c r="C269" s="0" t="s">
        <v>15</v>
      </c>
      <c r="D269" s="0" t="s">
        <v>19</v>
      </c>
      <c r="E269" s="0" t="s">
        <v>655</v>
      </c>
    </row>
    <row r="270" customFormat="false" ht="13.5" hidden="false" customHeight="false" outlineLevel="0" collapsed="false">
      <c r="A270" s="0" t="s">
        <v>675</v>
      </c>
      <c r="B270" s="0" t="s">
        <v>676</v>
      </c>
      <c r="C270" s="0" t="s">
        <v>15</v>
      </c>
      <c r="D270" s="0" t="s">
        <v>19</v>
      </c>
      <c r="E270" s="0" t="s">
        <v>32</v>
      </c>
    </row>
    <row r="271" customFormat="false" ht="13.5" hidden="false" customHeight="false" outlineLevel="0" collapsed="false">
      <c r="A271" s="0" t="s">
        <v>677</v>
      </c>
      <c r="B271" s="0" t="s">
        <v>678</v>
      </c>
      <c r="C271" s="0" t="s">
        <v>15</v>
      </c>
      <c r="D271" s="0" t="s">
        <v>19</v>
      </c>
      <c r="E271" s="0" t="s">
        <v>679</v>
      </c>
    </row>
    <row r="272" customFormat="false" ht="13.5" hidden="false" customHeight="false" outlineLevel="0" collapsed="false">
      <c r="A272" s="0" t="s">
        <v>680</v>
      </c>
      <c r="B272" s="0" t="s">
        <v>681</v>
      </c>
      <c r="C272" s="0" t="s">
        <v>15</v>
      </c>
      <c r="D272" s="0" t="s">
        <v>19</v>
      </c>
      <c r="E272" s="0" t="s">
        <v>682</v>
      </c>
    </row>
    <row r="273" customFormat="false" ht="13.5" hidden="false" customHeight="false" outlineLevel="0" collapsed="false">
      <c r="A273" s="0" t="s">
        <v>683</v>
      </c>
      <c r="B273" s="0" t="s">
        <v>684</v>
      </c>
      <c r="C273" s="0" t="s">
        <v>15</v>
      </c>
      <c r="D273" s="0" t="s">
        <v>19</v>
      </c>
      <c r="E273" s="0" t="s">
        <v>98</v>
      </c>
    </row>
    <row r="274" customFormat="false" ht="13.5" hidden="false" customHeight="false" outlineLevel="0" collapsed="false">
      <c r="A274" s="0" t="s">
        <v>685</v>
      </c>
      <c r="B274" s="0" t="s">
        <v>686</v>
      </c>
      <c r="C274" s="0" t="s">
        <v>15</v>
      </c>
      <c r="D274" s="0" t="s">
        <v>19</v>
      </c>
      <c r="E274" s="0" t="s">
        <v>625</v>
      </c>
    </row>
    <row r="275" customFormat="false" ht="13.5" hidden="false" customHeight="false" outlineLevel="0" collapsed="false">
      <c r="A275" s="0" t="s">
        <v>687</v>
      </c>
      <c r="B275" s="0" t="s">
        <v>688</v>
      </c>
      <c r="C275" s="0" t="s">
        <v>15</v>
      </c>
      <c r="D275" s="0" t="s">
        <v>24</v>
      </c>
      <c r="E275" s="0" t="s">
        <v>47</v>
      </c>
    </row>
    <row r="276" customFormat="false" ht="13.5" hidden="false" customHeight="false" outlineLevel="0" collapsed="false">
      <c r="A276" s="0" t="s">
        <v>689</v>
      </c>
      <c r="B276" s="0" t="s">
        <v>690</v>
      </c>
      <c r="C276" s="0" t="s">
        <v>15</v>
      </c>
      <c r="D276" s="0" t="s">
        <v>24</v>
      </c>
      <c r="E276" s="0" t="s">
        <v>12</v>
      </c>
    </row>
    <row r="277" customFormat="false" ht="13.5" hidden="false" customHeight="false" outlineLevel="0" collapsed="false">
      <c r="A277" s="0" t="s">
        <v>691</v>
      </c>
      <c r="B277" s="0" t="s">
        <v>692</v>
      </c>
      <c r="C277" s="0" t="s">
        <v>15</v>
      </c>
      <c r="D277" s="0" t="s">
        <v>19</v>
      </c>
      <c r="E277" s="0" t="s">
        <v>47</v>
      </c>
    </row>
    <row r="278" customFormat="false" ht="13.5" hidden="false" customHeight="false" outlineLevel="0" collapsed="false">
      <c r="A278" s="0" t="s">
        <v>693</v>
      </c>
      <c r="B278" s="0" t="s">
        <v>694</v>
      </c>
      <c r="C278" s="0" t="s">
        <v>15</v>
      </c>
      <c r="D278" s="0" t="s">
        <v>19</v>
      </c>
      <c r="E278" s="0" t="s">
        <v>695</v>
      </c>
    </row>
    <row r="279" customFormat="false" ht="13.5" hidden="false" customHeight="false" outlineLevel="0" collapsed="false">
      <c r="A279" s="0" t="s">
        <v>696</v>
      </c>
      <c r="B279" s="0" t="s">
        <v>697</v>
      </c>
      <c r="C279" s="0" t="s">
        <v>15</v>
      </c>
      <c r="D279" s="0" t="s">
        <v>19</v>
      </c>
      <c r="E279" s="0" t="s">
        <v>287</v>
      </c>
    </row>
    <row r="280" customFormat="false" ht="13.5" hidden="false" customHeight="false" outlineLevel="0" collapsed="false">
      <c r="A280" s="0" t="s">
        <v>698</v>
      </c>
      <c r="B280" s="0" t="s">
        <v>699</v>
      </c>
      <c r="C280" s="0" t="s">
        <v>15</v>
      </c>
      <c r="D280" s="0" t="s">
        <v>19</v>
      </c>
      <c r="E280" s="0" t="s">
        <v>150</v>
      </c>
    </row>
    <row r="281" customFormat="false" ht="13.5" hidden="false" customHeight="false" outlineLevel="0" collapsed="false">
      <c r="A281" s="0" t="s">
        <v>700</v>
      </c>
      <c r="B281" s="0" t="s">
        <v>701</v>
      </c>
      <c r="C281" s="0" t="s">
        <v>15</v>
      </c>
      <c r="D281" s="0" t="s">
        <v>19</v>
      </c>
      <c r="E281" s="0" t="s">
        <v>702</v>
      </c>
    </row>
    <row r="282" customFormat="false" ht="13.5" hidden="false" customHeight="false" outlineLevel="0" collapsed="false">
      <c r="A282" s="0" t="s">
        <v>703</v>
      </c>
      <c r="B282" s="0" t="s">
        <v>704</v>
      </c>
      <c r="C282" s="0" t="s">
        <v>15</v>
      </c>
      <c r="D282" s="0" t="s">
        <v>19</v>
      </c>
      <c r="E282" s="0" t="s">
        <v>705</v>
      </c>
    </row>
    <row r="283" customFormat="false" ht="13.5" hidden="false" customHeight="false" outlineLevel="0" collapsed="false">
      <c r="A283" s="0" t="s">
        <v>706</v>
      </c>
      <c r="B283" s="0" t="s">
        <v>707</v>
      </c>
      <c r="C283" s="0" t="s">
        <v>15</v>
      </c>
      <c r="D283" s="0" t="s">
        <v>24</v>
      </c>
      <c r="E283" s="0" t="s">
        <v>200</v>
      </c>
    </row>
    <row r="284" customFormat="false" ht="13.5" hidden="false" customHeight="false" outlineLevel="0" collapsed="false">
      <c r="A284" s="0" t="s">
        <v>708</v>
      </c>
      <c r="B284" s="0" t="s">
        <v>709</v>
      </c>
      <c r="C284" s="0" t="s">
        <v>15</v>
      </c>
      <c r="D284" s="0" t="s">
        <v>19</v>
      </c>
      <c r="E284" s="0" t="s">
        <v>710</v>
      </c>
    </row>
    <row r="285" customFormat="false" ht="13.5" hidden="false" customHeight="false" outlineLevel="0" collapsed="false">
      <c r="A285" s="0" t="s">
        <v>711</v>
      </c>
      <c r="B285" s="0" t="s">
        <v>712</v>
      </c>
      <c r="C285" s="0" t="s">
        <v>15</v>
      </c>
      <c r="D285" s="0" t="s">
        <v>24</v>
      </c>
      <c r="E285" s="0" t="s">
        <v>713</v>
      </c>
    </row>
    <row r="286" customFormat="false" ht="13.5" hidden="false" customHeight="false" outlineLevel="0" collapsed="false">
      <c r="A286" s="0" t="s">
        <v>714</v>
      </c>
      <c r="B286" s="0" t="s">
        <v>715</v>
      </c>
      <c r="C286" s="0" t="s">
        <v>15</v>
      </c>
      <c r="D286" s="0" t="s">
        <v>19</v>
      </c>
      <c r="E286" s="0" t="s">
        <v>226</v>
      </c>
    </row>
    <row r="287" customFormat="false" ht="13.5" hidden="false" customHeight="false" outlineLevel="0" collapsed="false">
      <c r="A287" s="0" t="s">
        <v>716</v>
      </c>
      <c r="B287" s="0" t="s">
        <v>717</v>
      </c>
      <c r="C287" s="0" t="s">
        <v>15</v>
      </c>
      <c r="D287" s="0" t="s">
        <v>19</v>
      </c>
      <c r="E287" s="0" t="s">
        <v>480</v>
      </c>
    </row>
    <row r="288" customFormat="false" ht="13.5" hidden="false" customHeight="false" outlineLevel="0" collapsed="false">
      <c r="A288" s="0" t="s">
        <v>718</v>
      </c>
      <c r="B288" s="0" t="s">
        <v>719</v>
      </c>
      <c r="C288" s="0" t="s">
        <v>15</v>
      </c>
      <c r="D288" s="0" t="s">
        <v>19</v>
      </c>
      <c r="E288" s="0" t="s">
        <v>695</v>
      </c>
    </row>
    <row r="289" customFormat="false" ht="13.5" hidden="false" customHeight="false" outlineLevel="0" collapsed="false">
      <c r="A289" s="0" t="s">
        <v>720</v>
      </c>
      <c r="B289" s="0" t="s">
        <v>721</v>
      </c>
      <c r="C289" s="0" t="s">
        <v>15</v>
      </c>
      <c r="D289" s="0" t="s">
        <v>19</v>
      </c>
      <c r="E289" s="0" t="s">
        <v>722</v>
      </c>
    </row>
    <row r="290" customFormat="false" ht="13.5" hidden="false" customHeight="false" outlineLevel="0" collapsed="false">
      <c r="A290" s="0" t="s">
        <v>723</v>
      </c>
      <c r="B290" s="0" t="s">
        <v>724</v>
      </c>
      <c r="C290" s="0" t="s">
        <v>15</v>
      </c>
      <c r="D290" s="0" t="s">
        <v>725</v>
      </c>
      <c r="E290" s="0" t="s">
        <v>12</v>
      </c>
    </row>
    <row r="291" customFormat="false" ht="13.5" hidden="false" customHeight="false" outlineLevel="0" collapsed="false">
      <c r="A291" s="0" t="s">
        <v>726</v>
      </c>
      <c r="B291" s="0" t="s">
        <v>727</v>
      </c>
      <c r="C291" s="0" t="s">
        <v>15</v>
      </c>
      <c r="D291" s="0" t="s">
        <v>24</v>
      </c>
      <c r="E291" s="0" t="s">
        <v>728</v>
      </c>
    </row>
    <row r="292" customFormat="false" ht="13.5" hidden="false" customHeight="false" outlineLevel="0" collapsed="false">
      <c r="A292" s="0" t="s">
        <v>729</v>
      </c>
      <c r="B292" s="0" t="s">
        <v>730</v>
      </c>
      <c r="C292" s="0" t="s">
        <v>15</v>
      </c>
      <c r="D292" s="0" t="s">
        <v>19</v>
      </c>
      <c r="E292" s="0" t="s">
        <v>122</v>
      </c>
    </row>
    <row r="293" customFormat="false" ht="13.5" hidden="false" customHeight="false" outlineLevel="0" collapsed="false">
      <c r="A293" s="0" t="s">
        <v>731</v>
      </c>
      <c r="B293" s="0" t="s">
        <v>732</v>
      </c>
      <c r="C293" s="0" t="s">
        <v>15</v>
      </c>
      <c r="D293" s="0" t="s">
        <v>19</v>
      </c>
      <c r="E293" s="0" t="s">
        <v>695</v>
      </c>
    </row>
    <row r="294" customFormat="false" ht="13.5" hidden="false" customHeight="false" outlineLevel="0" collapsed="false">
      <c r="A294" s="0" t="s">
        <v>733</v>
      </c>
      <c r="B294" s="0" t="s">
        <v>734</v>
      </c>
      <c r="C294" s="0" t="s">
        <v>15</v>
      </c>
      <c r="D294" s="0" t="s">
        <v>19</v>
      </c>
      <c r="E294" s="0" t="s">
        <v>98</v>
      </c>
    </row>
    <row r="295" customFormat="false" ht="13.5" hidden="false" customHeight="false" outlineLevel="0" collapsed="false">
      <c r="A295" s="0" t="s">
        <v>735</v>
      </c>
      <c r="B295" s="0" t="s">
        <v>736</v>
      </c>
      <c r="C295" s="0" t="s">
        <v>15</v>
      </c>
      <c r="D295" s="0" t="s">
        <v>19</v>
      </c>
      <c r="E295" s="0" t="s">
        <v>98</v>
      </c>
    </row>
    <row r="296" customFormat="false" ht="13.5" hidden="false" customHeight="false" outlineLevel="0" collapsed="false">
      <c r="A296" s="0" t="s">
        <v>737</v>
      </c>
      <c r="B296" s="0" t="s">
        <v>738</v>
      </c>
      <c r="C296" s="0" t="s">
        <v>15</v>
      </c>
      <c r="D296" s="0" t="s">
        <v>19</v>
      </c>
      <c r="E296" s="0" t="s">
        <v>122</v>
      </c>
    </row>
    <row r="297" customFormat="false" ht="13.5" hidden="false" customHeight="false" outlineLevel="0" collapsed="false">
      <c r="A297" s="0" t="s">
        <v>739</v>
      </c>
      <c r="B297" s="0" t="s">
        <v>740</v>
      </c>
      <c r="C297" s="0" t="s">
        <v>15</v>
      </c>
      <c r="D297" s="0" t="s">
        <v>19</v>
      </c>
      <c r="E297" s="0" t="s">
        <v>705</v>
      </c>
    </row>
    <row r="298" customFormat="false" ht="13.5" hidden="false" customHeight="false" outlineLevel="0" collapsed="false">
      <c r="A298" s="0" t="s">
        <v>741</v>
      </c>
      <c r="B298" s="0" t="s">
        <v>742</v>
      </c>
      <c r="C298" s="0" t="s">
        <v>15</v>
      </c>
      <c r="D298" s="0" t="s">
        <v>24</v>
      </c>
      <c r="E298" s="0" t="s">
        <v>98</v>
      </c>
    </row>
    <row r="299" customFormat="false" ht="13.5" hidden="false" customHeight="false" outlineLevel="0" collapsed="false">
      <c r="A299" s="0" t="s">
        <v>743</v>
      </c>
      <c r="B299" s="0" t="s">
        <v>744</v>
      </c>
      <c r="C299" s="0" t="s">
        <v>15</v>
      </c>
      <c r="D299" s="0" t="s">
        <v>19</v>
      </c>
      <c r="E299" s="0" t="s">
        <v>695</v>
      </c>
    </row>
    <row r="300" customFormat="false" ht="13.5" hidden="false" customHeight="false" outlineLevel="0" collapsed="false">
      <c r="A300" s="0" t="s">
        <v>745</v>
      </c>
      <c r="B300" s="0" t="s">
        <v>746</v>
      </c>
      <c r="C300" s="0" t="s">
        <v>15</v>
      </c>
      <c r="D300" s="0" t="s">
        <v>19</v>
      </c>
      <c r="E300" s="0" t="s">
        <v>200</v>
      </c>
    </row>
    <row r="301" customFormat="false" ht="13.5" hidden="false" customHeight="false" outlineLevel="0" collapsed="false">
      <c r="A301" s="0" t="s">
        <v>747</v>
      </c>
      <c r="B301" s="0" t="s">
        <v>748</v>
      </c>
      <c r="C301" s="0" t="s">
        <v>15</v>
      </c>
      <c r="D301" s="0" t="s">
        <v>19</v>
      </c>
      <c r="E301" s="0" t="s">
        <v>682</v>
      </c>
    </row>
    <row r="302" customFormat="false" ht="13.5" hidden="false" customHeight="false" outlineLevel="0" collapsed="false">
      <c r="A302" s="0" t="s">
        <v>749</v>
      </c>
      <c r="B302" s="0" t="s">
        <v>750</v>
      </c>
      <c r="C302" s="0" t="s">
        <v>15</v>
      </c>
      <c r="D302" s="0" t="s">
        <v>19</v>
      </c>
      <c r="E302" s="0" t="s">
        <v>47</v>
      </c>
    </row>
    <row r="303" customFormat="false" ht="13.5" hidden="false" customHeight="false" outlineLevel="0" collapsed="false">
      <c r="A303" s="0" t="s">
        <v>751</v>
      </c>
      <c r="B303" s="0" t="s">
        <v>752</v>
      </c>
      <c r="C303" s="0" t="s">
        <v>15</v>
      </c>
      <c r="D303" s="0" t="s">
        <v>19</v>
      </c>
      <c r="E303" s="0" t="s">
        <v>47</v>
      </c>
    </row>
    <row r="304" customFormat="false" ht="13.5" hidden="false" customHeight="false" outlineLevel="0" collapsed="false">
      <c r="A304" s="0" t="s">
        <v>753</v>
      </c>
      <c r="B304" s="0" t="s">
        <v>754</v>
      </c>
      <c r="C304" s="0" t="s">
        <v>15</v>
      </c>
      <c r="D304" s="0" t="s">
        <v>19</v>
      </c>
      <c r="E304" s="0" t="s">
        <v>122</v>
      </c>
    </row>
    <row r="305" customFormat="false" ht="13.5" hidden="false" customHeight="false" outlineLevel="0" collapsed="false">
      <c r="A305" s="0" t="s">
        <v>755</v>
      </c>
      <c r="B305" s="0" t="s">
        <v>756</v>
      </c>
      <c r="C305" s="0" t="s">
        <v>15</v>
      </c>
      <c r="D305" s="0" t="s">
        <v>19</v>
      </c>
      <c r="E305" s="0" t="s">
        <v>150</v>
      </c>
    </row>
    <row r="306" customFormat="false" ht="13.5" hidden="false" customHeight="false" outlineLevel="0" collapsed="false">
      <c r="A306" s="0" t="s">
        <v>757</v>
      </c>
      <c r="B306" s="0" t="s">
        <v>758</v>
      </c>
      <c r="C306" s="0" t="s">
        <v>15</v>
      </c>
      <c r="D306" s="0" t="s">
        <v>19</v>
      </c>
      <c r="E306" s="0" t="s">
        <v>370</v>
      </c>
    </row>
    <row r="307" customFormat="false" ht="13.5" hidden="false" customHeight="false" outlineLevel="0" collapsed="false">
      <c r="A307" s="0" t="s">
        <v>759</v>
      </c>
      <c r="B307" s="0" t="s">
        <v>760</v>
      </c>
      <c r="C307" s="0" t="s">
        <v>15</v>
      </c>
      <c r="D307" s="0" t="s">
        <v>19</v>
      </c>
      <c r="E307" s="0" t="s">
        <v>761</v>
      </c>
    </row>
    <row r="308" customFormat="false" ht="13.5" hidden="false" customHeight="false" outlineLevel="0" collapsed="false">
      <c r="A308" s="0" t="s">
        <v>762</v>
      </c>
      <c r="B308" s="0" t="s">
        <v>763</v>
      </c>
      <c r="C308" s="0" t="s">
        <v>15</v>
      </c>
      <c r="D308" s="0" t="s">
        <v>19</v>
      </c>
      <c r="E308" s="0" t="s">
        <v>263</v>
      </c>
    </row>
    <row r="309" customFormat="false" ht="13.5" hidden="false" customHeight="false" outlineLevel="0" collapsed="false">
      <c r="A309" s="0" t="s">
        <v>764</v>
      </c>
      <c r="B309" s="0" t="s">
        <v>765</v>
      </c>
      <c r="C309" s="0" t="s">
        <v>15</v>
      </c>
      <c r="D309" s="0" t="s">
        <v>19</v>
      </c>
      <c r="E309" s="0" t="s">
        <v>766</v>
      </c>
    </row>
    <row r="310" customFormat="false" ht="13.5" hidden="false" customHeight="false" outlineLevel="0" collapsed="false">
      <c r="A310" s="0" t="s">
        <v>767</v>
      </c>
      <c r="B310" s="0" t="s">
        <v>768</v>
      </c>
      <c r="C310" s="0" t="s">
        <v>15</v>
      </c>
      <c r="D310" s="0" t="s">
        <v>19</v>
      </c>
      <c r="E310" s="0" t="s">
        <v>76</v>
      </c>
    </row>
    <row r="311" customFormat="false" ht="13.5" hidden="false" customHeight="false" outlineLevel="0" collapsed="false">
      <c r="A311" s="0" t="s">
        <v>769</v>
      </c>
      <c r="B311" s="0" t="s">
        <v>770</v>
      </c>
      <c r="C311" s="0" t="s">
        <v>15</v>
      </c>
      <c r="D311" s="0" t="s">
        <v>19</v>
      </c>
      <c r="E311" s="0" t="s">
        <v>32</v>
      </c>
    </row>
    <row r="312" customFormat="false" ht="13.5" hidden="false" customHeight="false" outlineLevel="0" collapsed="false">
      <c r="A312" s="0" t="s">
        <v>771</v>
      </c>
      <c r="B312" s="0" t="s">
        <v>772</v>
      </c>
      <c r="C312" s="0" t="s">
        <v>15</v>
      </c>
      <c r="D312" s="0" t="s">
        <v>19</v>
      </c>
      <c r="E312" s="0" t="s">
        <v>200</v>
      </c>
    </row>
    <row r="313" customFormat="false" ht="13.5" hidden="false" customHeight="false" outlineLevel="0" collapsed="false">
      <c r="A313" s="0" t="s">
        <v>773</v>
      </c>
      <c r="B313" s="0" t="s">
        <v>774</v>
      </c>
      <c r="C313" s="0" t="s">
        <v>15</v>
      </c>
      <c r="D313" s="0" t="s">
        <v>19</v>
      </c>
      <c r="E313" s="0" t="s">
        <v>775</v>
      </c>
    </row>
    <row r="314" customFormat="false" ht="13.5" hidden="false" customHeight="false" outlineLevel="0" collapsed="false">
      <c r="A314" s="0" t="s">
        <v>776</v>
      </c>
      <c r="B314" s="0" t="s">
        <v>777</v>
      </c>
      <c r="C314" s="0" t="s">
        <v>15</v>
      </c>
      <c r="D314" s="0" t="s">
        <v>19</v>
      </c>
      <c r="E314" s="0" t="s">
        <v>778</v>
      </c>
    </row>
    <row r="315" customFormat="false" ht="13.5" hidden="false" customHeight="false" outlineLevel="0" collapsed="false">
      <c r="A315" s="0" t="s">
        <v>779</v>
      </c>
      <c r="B315" s="0" t="s">
        <v>780</v>
      </c>
      <c r="C315" s="0" t="s">
        <v>15</v>
      </c>
      <c r="D315" s="0" t="s">
        <v>19</v>
      </c>
      <c r="E315" s="0" t="s">
        <v>12</v>
      </c>
    </row>
    <row r="316" customFormat="false" ht="13.5" hidden="false" customHeight="false" outlineLevel="0" collapsed="false">
      <c r="A316" s="0" t="s">
        <v>781</v>
      </c>
      <c r="B316" s="0" t="s">
        <v>782</v>
      </c>
      <c r="C316" s="0" t="s">
        <v>15</v>
      </c>
      <c r="D316" s="0" t="s">
        <v>19</v>
      </c>
      <c r="E316" s="0" t="s">
        <v>783</v>
      </c>
    </row>
    <row r="317" customFormat="false" ht="13.5" hidden="false" customHeight="false" outlineLevel="0" collapsed="false">
      <c r="A317" s="0" t="s">
        <v>784</v>
      </c>
      <c r="B317" s="0" t="s">
        <v>785</v>
      </c>
      <c r="C317" s="0" t="s">
        <v>15</v>
      </c>
      <c r="D317" s="0" t="s">
        <v>19</v>
      </c>
      <c r="E317" s="0" t="s">
        <v>783</v>
      </c>
    </row>
    <row r="318" customFormat="false" ht="13.5" hidden="false" customHeight="false" outlineLevel="0" collapsed="false">
      <c r="A318" s="0" t="s">
        <v>786</v>
      </c>
      <c r="B318" s="0" t="s">
        <v>787</v>
      </c>
      <c r="C318" s="0" t="s">
        <v>15</v>
      </c>
      <c r="D318" s="0" t="s">
        <v>19</v>
      </c>
      <c r="E318" s="0" t="s">
        <v>98</v>
      </c>
    </row>
    <row r="319" customFormat="false" ht="13.5" hidden="false" customHeight="false" outlineLevel="0" collapsed="false">
      <c r="A319" s="0" t="s">
        <v>788</v>
      </c>
      <c r="B319" s="0" t="s">
        <v>789</v>
      </c>
      <c r="C319" s="0" t="s">
        <v>15</v>
      </c>
      <c r="D319" s="0" t="s">
        <v>19</v>
      </c>
      <c r="E319" s="0" t="s">
        <v>98</v>
      </c>
    </row>
    <row r="320" customFormat="false" ht="13.5" hidden="false" customHeight="false" outlineLevel="0" collapsed="false">
      <c r="A320" s="0" t="s">
        <v>790</v>
      </c>
      <c r="B320" s="0" t="s">
        <v>791</v>
      </c>
      <c r="C320" s="0" t="s">
        <v>15</v>
      </c>
      <c r="D320" s="0" t="s">
        <v>19</v>
      </c>
      <c r="E320" s="0" t="s">
        <v>150</v>
      </c>
    </row>
    <row r="321" customFormat="false" ht="13.5" hidden="false" customHeight="false" outlineLevel="0" collapsed="false">
      <c r="A321" s="0" t="s">
        <v>792</v>
      </c>
      <c r="B321" s="0" t="s">
        <v>793</v>
      </c>
      <c r="C321" s="0" t="s">
        <v>15</v>
      </c>
      <c r="D321" s="0" t="s">
        <v>19</v>
      </c>
      <c r="E321" s="0" t="s">
        <v>32</v>
      </c>
    </row>
    <row r="322" customFormat="false" ht="13.5" hidden="false" customHeight="false" outlineLevel="0" collapsed="false">
      <c r="A322" s="0" t="s">
        <v>794</v>
      </c>
      <c r="B322" s="0" t="s">
        <v>795</v>
      </c>
      <c r="C322" s="0" t="s">
        <v>15</v>
      </c>
      <c r="D322" s="0" t="s">
        <v>19</v>
      </c>
      <c r="E322" s="0" t="s">
        <v>47</v>
      </c>
    </row>
    <row r="323" customFormat="false" ht="13.5" hidden="false" customHeight="false" outlineLevel="0" collapsed="false">
      <c r="A323" s="0" t="s">
        <v>796</v>
      </c>
      <c r="B323" s="0" t="s">
        <v>797</v>
      </c>
      <c r="C323" s="0" t="s">
        <v>15</v>
      </c>
      <c r="D323" s="0" t="s">
        <v>19</v>
      </c>
      <c r="E323" s="0" t="s">
        <v>263</v>
      </c>
    </row>
    <row r="324" customFormat="false" ht="13.5" hidden="false" customHeight="false" outlineLevel="0" collapsed="false">
      <c r="A324" s="0" t="s">
        <v>798</v>
      </c>
      <c r="B324" s="0" t="s">
        <v>799</v>
      </c>
      <c r="C324" s="0" t="s">
        <v>15</v>
      </c>
      <c r="D324" s="0" t="s">
        <v>19</v>
      </c>
      <c r="E324" s="0" t="s">
        <v>32</v>
      </c>
    </row>
    <row r="325" customFormat="false" ht="13.5" hidden="false" customHeight="false" outlineLevel="0" collapsed="false">
      <c r="A325" s="0" t="s">
        <v>800</v>
      </c>
      <c r="B325" s="0" t="s">
        <v>801</v>
      </c>
      <c r="C325" s="0" t="s">
        <v>15</v>
      </c>
      <c r="D325" s="0" t="s">
        <v>19</v>
      </c>
      <c r="E325" s="0" t="s">
        <v>695</v>
      </c>
    </row>
    <row r="326" customFormat="false" ht="13.5" hidden="false" customHeight="false" outlineLevel="0" collapsed="false">
      <c r="A326" s="0" t="s">
        <v>802</v>
      </c>
      <c r="B326" s="0" t="s">
        <v>803</v>
      </c>
      <c r="C326" s="0" t="s">
        <v>15</v>
      </c>
      <c r="D326" s="0" t="s">
        <v>19</v>
      </c>
      <c r="E326" s="0" t="s">
        <v>200</v>
      </c>
    </row>
    <row r="327" customFormat="false" ht="13.5" hidden="false" customHeight="false" outlineLevel="0" collapsed="false">
      <c r="A327" s="0" t="s">
        <v>804</v>
      </c>
      <c r="B327" s="0" t="s">
        <v>709</v>
      </c>
      <c r="C327" s="0" t="s">
        <v>15</v>
      </c>
      <c r="D327" s="0" t="s">
        <v>19</v>
      </c>
      <c r="E327" s="0" t="s">
        <v>710</v>
      </c>
    </row>
    <row r="328" customFormat="false" ht="13.5" hidden="false" customHeight="false" outlineLevel="0" collapsed="false">
      <c r="A328" s="0" t="s">
        <v>805</v>
      </c>
      <c r="B328" s="0" t="s">
        <v>806</v>
      </c>
      <c r="C328" s="0" t="s">
        <v>15</v>
      </c>
      <c r="D328" s="0" t="s">
        <v>19</v>
      </c>
      <c r="E328" s="0" t="s">
        <v>807</v>
      </c>
    </row>
    <row r="329" customFormat="false" ht="13.5" hidden="false" customHeight="false" outlineLevel="0" collapsed="false">
      <c r="A329" s="0" t="s">
        <v>808</v>
      </c>
      <c r="B329" s="0" t="s">
        <v>809</v>
      </c>
      <c r="C329" s="0" t="s">
        <v>15</v>
      </c>
      <c r="D329" s="0" t="s">
        <v>19</v>
      </c>
      <c r="E329" s="0" t="s">
        <v>810</v>
      </c>
    </row>
    <row r="330" customFormat="false" ht="13.5" hidden="false" customHeight="false" outlineLevel="0" collapsed="false">
      <c r="A330" s="0" t="s">
        <v>811</v>
      </c>
      <c r="B330" s="0" t="s">
        <v>812</v>
      </c>
      <c r="C330" s="0" t="s">
        <v>15</v>
      </c>
      <c r="D330" s="0" t="s">
        <v>19</v>
      </c>
      <c r="E330" s="0" t="s">
        <v>263</v>
      </c>
    </row>
    <row r="331" customFormat="false" ht="13.5" hidden="false" customHeight="false" outlineLevel="0" collapsed="false">
      <c r="A331" s="0" t="s">
        <v>813</v>
      </c>
      <c r="B331" s="0" t="s">
        <v>814</v>
      </c>
      <c r="C331" s="0" t="s">
        <v>15</v>
      </c>
      <c r="D331" s="0" t="s">
        <v>19</v>
      </c>
      <c r="E331" s="0" t="s">
        <v>200</v>
      </c>
    </row>
    <row r="332" customFormat="false" ht="13.5" hidden="false" customHeight="false" outlineLevel="0" collapsed="false">
      <c r="A332" s="0" t="s">
        <v>815</v>
      </c>
      <c r="B332" s="0" t="s">
        <v>816</v>
      </c>
      <c r="C332" s="0" t="s">
        <v>15</v>
      </c>
      <c r="D332" s="0" t="s">
        <v>19</v>
      </c>
      <c r="E332" s="0" t="s">
        <v>200</v>
      </c>
    </row>
    <row r="333" customFormat="false" ht="13.5" hidden="false" customHeight="false" outlineLevel="0" collapsed="false">
      <c r="A333" s="0" t="s">
        <v>817</v>
      </c>
      <c r="B333" s="0" t="s">
        <v>818</v>
      </c>
      <c r="C333" s="0" t="s">
        <v>15</v>
      </c>
      <c r="D333" s="0" t="s">
        <v>19</v>
      </c>
      <c r="E333" s="0" t="s">
        <v>98</v>
      </c>
    </row>
    <row r="334" customFormat="false" ht="13.5" hidden="false" customHeight="false" outlineLevel="0" collapsed="false">
      <c r="A334" s="0" t="s">
        <v>819</v>
      </c>
      <c r="B334" s="0" t="s">
        <v>820</v>
      </c>
      <c r="C334" s="0" t="s">
        <v>15</v>
      </c>
      <c r="D334" s="0" t="s">
        <v>19</v>
      </c>
      <c r="E334" s="0" t="s">
        <v>821</v>
      </c>
    </row>
    <row r="335" customFormat="false" ht="13.5" hidden="false" customHeight="false" outlineLevel="0" collapsed="false">
      <c r="A335" s="0" t="s">
        <v>822</v>
      </c>
      <c r="B335" s="0" t="s">
        <v>793</v>
      </c>
      <c r="C335" s="0" t="s">
        <v>15</v>
      </c>
      <c r="D335" s="0" t="s">
        <v>19</v>
      </c>
      <c r="E335" s="0" t="s">
        <v>32</v>
      </c>
    </row>
    <row r="336" customFormat="false" ht="13.5" hidden="false" customHeight="false" outlineLevel="0" collapsed="false">
      <c r="A336" s="0" t="s">
        <v>823</v>
      </c>
      <c r="B336" s="0" t="s">
        <v>824</v>
      </c>
      <c r="C336" s="0" t="s">
        <v>15</v>
      </c>
      <c r="D336" s="0" t="s">
        <v>19</v>
      </c>
      <c r="E336" s="0" t="s">
        <v>825</v>
      </c>
    </row>
    <row r="337" customFormat="false" ht="13.5" hidden="false" customHeight="false" outlineLevel="0" collapsed="false">
      <c r="A337" s="0" t="s">
        <v>826</v>
      </c>
      <c r="B337" s="0" t="s">
        <v>827</v>
      </c>
      <c r="C337" s="0" t="s">
        <v>15</v>
      </c>
      <c r="D337" s="0" t="s">
        <v>19</v>
      </c>
      <c r="E337" s="0" t="s">
        <v>12</v>
      </c>
    </row>
    <row r="338" customFormat="false" ht="13.5" hidden="false" customHeight="false" outlineLevel="0" collapsed="false">
      <c r="A338" s="0" t="s">
        <v>828</v>
      </c>
      <c r="B338" s="0" t="s">
        <v>829</v>
      </c>
      <c r="C338" s="0" t="s">
        <v>15</v>
      </c>
      <c r="D338" s="0" t="s">
        <v>19</v>
      </c>
      <c r="E338" s="0" t="s">
        <v>830</v>
      </c>
    </row>
    <row r="339" customFormat="false" ht="13.5" hidden="false" customHeight="false" outlineLevel="0" collapsed="false">
      <c r="A339" s="0" t="s">
        <v>831</v>
      </c>
      <c r="B339" s="0" t="s">
        <v>832</v>
      </c>
      <c r="C339" s="0" t="s">
        <v>15</v>
      </c>
      <c r="D339" s="0" t="s">
        <v>19</v>
      </c>
      <c r="E339" s="0" t="s">
        <v>200</v>
      </c>
    </row>
    <row r="340" customFormat="false" ht="13.5" hidden="false" customHeight="false" outlineLevel="0" collapsed="false">
      <c r="A340" s="0" t="s">
        <v>833</v>
      </c>
      <c r="B340" s="0" t="s">
        <v>834</v>
      </c>
      <c r="C340" s="0" t="s">
        <v>15</v>
      </c>
      <c r="D340" s="0" t="s">
        <v>19</v>
      </c>
      <c r="E340" s="0" t="s">
        <v>32</v>
      </c>
      <c r="F340" s="0" t="s">
        <v>211</v>
      </c>
    </row>
    <row r="341" customFormat="false" ht="13.5" hidden="false" customHeight="false" outlineLevel="0" collapsed="false">
      <c r="A341" s="0" t="s">
        <v>835</v>
      </c>
      <c r="B341" s="0" t="s">
        <v>836</v>
      </c>
      <c r="C341" s="0" t="s">
        <v>15</v>
      </c>
      <c r="D341" s="0" t="s">
        <v>19</v>
      </c>
      <c r="E341" s="0" t="s">
        <v>837</v>
      </c>
    </row>
    <row r="342" customFormat="false" ht="13.5" hidden="false" customHeight="false" outlineLevel="0" collapsed="false">
      <c r="A342" s="0" t="s">
        <v>838</v>
      </c>
      <c r="B342" s="0" t="s">
        <v>839</v>
      </c>
      <c r="C342" s="0" t="s">
        <v>15</v>
      </c>
      <c r="D342" s="0" t="s">
        <v>19</v>
      </c>
      <c r="E342" s="0" t="s">
        <v>98</v>
      </c>
    </row>
    <row r="343" customFormat="false" ht="13.5" hidden="false" customHeight="false" outlineLevel="0" collapsed="false">
      <c r="A343" s="0" t="s">
        <v>840</v>
      </c>
      <c r="B343" s="0" t="s">
        <v>836</v>
      </c>
      <c r="C343" s="0" t="s">
        <v>15</v>
      </c>
      <c r="D343" s="0" t="s">
        <v>19</v>
      </c>
      <c r="E343" s="0" t="s">
        <v>98</v>
      </c>
    </row>
    <row r="344" customFormat="false" ht="13.5" hidden="false" customHeight="false" outlineLevel="0" collapsed="false">
      <c r="A344" s="0" t="s">
        <v>841</v>
      </c>
      <c r="B344" s="0" t="s">
        <v>842</v>
      </c>
      <c r="C344" s="0" t="s">
        <v>15</v>
      </c>
      <c r="D344" s="0" t="s">
        <v>19</v>
      </c>
      <c r="E344" s="0" t="s">
        <v>200</v>
      </c>
    </row>
    <row r="345" customFormat="false" ht="13.5" hidden="false" customHeight="false" outlineLevel="0" collapsed="false">
      <c r="A345" s="0" t="s">
        <v>843</v>
      </c>
      <c r="B345" s="0" t="s">
        <v>844</v>
      </c>
      <c r="C345" s="0" t="s">
        <v>15</v>
      </c>
      <c r="D345" s="0" t="s">
        <v>19</v>
      </c>
      <c r="E345" s="0" t="s">
        <v>845</v>
      </c>
    </row>
    <row r="346" customFormat="false" ht="13.5" hidden="false" customHeight="false" outlineLevel="0" collapsed="false">
      <c r="A346" s="0" t="s">
        <v>846</v>
      </c>
      <c r="B346" s="0" t="s">
        <v>847</v>
      </c>
      <c r="C346" s="0" t="s">
        <v>15</v>
      </c>
      <c r="D346" s="0" t="s">
        <v>19</v>
      </c>
      <c r="E346" s="0" t="s">
        <v>53</v>
      </c>
    </row>
    <row r="347" customFormat="false" ht="13.5" hidden="false" customHeight="false" outlineLevel="0" collapsed="false">
      <c r="A347" s="0" t="s">
        <v>848</v>
      </c>
      <c r="B347" s="0" t="s">
        <v>849</v>
      </c>
      <c r="C347" s="0" t="s">
        <v>15</v>
      </c>
      <c r="D347" s="0" t="s">
        <v>24</v>
      </c>
      <c r="E347" s="0" t="s">
        <v>850</v>
      </c>
    </row>
    <row r="348" customFormat="false" ht="13.5" hidden="false" customHeight="false" outlineLevel="0" collapsed="false">
      <c r="A348" s="0" t="s">
        <v>851</v>
      </c>
      <c r="B348" s="0" t="s">
        <v>852</v>
      </c>
      <c r="C348" s="0" t="s">
        <v>15</v>
      </c>
      <c r="D348" s="0" t="s">
        <v>19</v>
      </c>
      <c r="E348" s="0" t="s">
        <v>853</v>
      </c>
    </row>
    <row r="349" customFormat="false" ht="13.5" hidden="false" customHeight="false" outlineLevel="0" collapsed="false">
      <c r="A349" s="0" t="s">
        <v>854</v>
      </c>
      <c r="B349" s="0" t="s">
        <v>855</v>
      </c>
      <c r="C349" s="0" t="s">
        <v>15</v>
      </c>
      <c r="D349" s="0" t="s">
        <v>24</v>
      </c>
      <c r="E349" s="0" t="s">
        <v>501</v>
      </c>
    </row>
    <row r="350" customFormat="false" ht="13.5" hidden="false" customHeight="false" outlineLevel="0" collapsed="false">
      <c r="A350" s="0" t="s">
        <v>856</v>
      </c>
      <c r="B350" s="0" t="s">
        <v>857</v>
      </c>
      <c r="C350" s="0" t="s">
        <v>15</v>
      </c>
      <c r="D350" s="0" t="s">
        <v>19</v>
      </c>
      <c r="E350" s="0" t="s">
        <v>150</v>
      </c>
    </row>
    <row r="351" customFormat="false" ht="13.5" hidden="false" customHeight="false" outlineLevel="0" collapsed="false">
      <c r="A351" s="0" t="s">
        <v>858</v>
      </c>
      <c r="B351" s="0" t="s">
        <v>859</v>
      </c>
      <c r="C351" s="0" t="s">
        <v>15</v>
      </c>
      <c r="D351" s="0" t="s">
        <v>19</v>
      </c>
      <c r="E351" s="0" t="s">
        <v>498</v>
      </c>
    </row>
    <row r="352" customFormat="false" ht="13.5" hidden="false" customHeight="false" outlineLevel="0" collapsed="false">
      <c r="A352" s="0" t="s">
        <v>860</v>
      </c>
      <c r="B352" s="0" t="s">
        <v>861</v>
      </c>
      <c r="C352" s="0" t="s">
        <v>15</v>
      </c>
      <c r="D352" s="0" t="s">
        <v>19</v>
      </c>
      <c r="E352" s="0" t="s">
        <v>862</v>
      </c>
    </row>
    <row r="353" customFormat="false" ht="13.5" hidden="false" customHeight="false" outlineLevel="0" collapsed="false">
      <c r="A353" s="0" t="s">
        <v>863</v>
      </c>
      <c r="B353" s="0" t="s">
        <v>864</v>
      </c>
      <c r="C353" s="0" t="s">
        <v>15</v>
      </c>
      <c r="D353" s="0" t="s">
        <v>19</v>
      </c>
      <c r="E353" s="0" t="s">
        <v>98</v>
      </c>
    </row>
    <row r="354" customFormat="false" ht="13.5" hidden="false" customHeight="false" outlineLevel="0" collapsed="false">
      <c r="A354" s="0" t="s">
        <v>865</v>
      </c>
      <c r="B354" s="0" t="s">
        <v>866</v>
      </c>
      <c r="C354" s="0" t="s">
        <v>15</v>
      </c>
      <c r="D354" s="0" t="s">
        <v>19</v>
      </c>
      <c r="E354" s="0" t="s">
        <v>47</v>
      </c>
    </row>
    <row r="355" customFormat="false" ht="13.5" hidden="false" customHeight="false" outlineLevel="0" collapsed="false">
      <c r="A355" s="0" t="s">
        <v>867</v>
      </c>
      <c r="B355" s="0" t="s">
        <v>868</v>
      </c>
      <c r="C355" s="0" t="s">
        <v>15</v>
      </c>
      <c r="D355" s="0" t="s">
        <v>19</v>
      </c>
      <c r="E355" s="0" t="s">
        <v>869</v>
      </c>
    </row>
    <row r="356" customFormat="false" ht="13.5" hidden="false" customHeight="false" outlineLevel="0" collapsed="false">
      <c r="A356" s="0" t="s">
        <v>870</v>
      </c>
      <c r="B356" s="0" t="s">
        <v>871</v>
      </c>
      <c r="C356" s="0" t="s">
        <v>15</v>
      </c>
      <c r="D356" s="0" t="s">
        <v>19</v>
      </c>
      <c r="E356" s="0" t="s">
        <v>872</v>
      </c>
    </row>
    <row r="357" customFormat="false" ht="13.5" hidden="false" customHeight="false" outlineLevel="0" collapsed="false">
      <c r="A357" s="0" t="s">
        <v>873</v>
      </c>
      <c r="B357" s="0" t="s">
        <v>874</v>
      </c>
      <c r="C357" s="0" t="s">
        <v>15</v>
      </c>
      <c r="D357" s="0" t="s">
        <v>19</v>
      </c>
      <c r="E357" s="0" t="s">
        <v>122</v>
      </c>
    </row>
    <row r="358" customFormat="false" ht="13.5" hidden="false" customHeight="false" outlineLevel="0" collapsed="false">
      <c r="A358" s="0" t="s">
        <v>875</v>
      </c>
      <c r="B358" s="0" t="s">
        <v>876</v>
      </c>
      <c r="C358" s="0" t="s">
        <v>15</v>
      </c>
      <c r="D358" s="0" t="s">
        <v>19</v>
      </c>
      <c r="E358" s="0" t="s">
        <v>877</v>
      </c>
    </row>
    <row r="359" customFormat="false" ht="13.5" hidden="false" customHeight="false" outlineLevel="0" collapsed="false">
      <c r="A359" s="0" t="s">
        <v>878</v>
      </c>
      <c r="B359" s="0" t="s">
        <v>879</v>
      </c>
      <c r="C359" s="0" t="s">
        <v>15</v>
      </c>
      <c r="D359" s="0" t="s">
        <v>19</v>
      </c>
      <c r="E359" s="0" t="s">
        <v>122</v>
      </c>
    </row>
    <row r="360" customFormat="false" ht="13.5" hidden="false" customHeight="false" outlineLevel="0" collapsed="false">
      <c r="A360" s="0" t="s">
        <v>880</v>
      </c>
      <c r="B360" s="0" t="s">
        <v>881</v>
      </c>
      <c r="C360" s="0" t="s">
        <v>15</v>
      </c>
      <c r="D360" s="0" t="s">
        <v>19</v>
      </c>
      <c r="E360" s="0" t="s">
        <v>882</v>
      </c>
    </row>
    <row r="361" customFormat="false" ht="13.5" hidden="false" customHeight="false" outlineLevel="0" collapsed="false">
      <c r="A361" s="0" t="s">
        <v>883</v>
      </c>
      <c r="B361" s="0" t="s">
        <v>884</v>
      </c>
      <c r="C361" s="0" t="s">
        <v>15</v>
      </c>
      <c r="D361" s="0" t="s">
        <v>19</v>
      </c>
      <c r="E361" s="0" t="s">
        <v>32</v>
      </c>
    </row>
    <row r="362" customFormat="false" ht="13.5" hidden="false" customHeight="false" outlineLevel="0" collapsed="false">
      <c r="A362" s="0" t="s">
        <v>885</v>
      </c>
      <c r="B362" s="0" t="s">
        <v>886</v>
      </c>
      <c r="C362" s="0" t="s">
        <v>15</v>
      </c>
      <c r="D362" s="0" t="s">
        <v>24</v>
      </c>
      <c r="E362" s="0" t="s">
        <v>98</v>
      </c>
    </row>
    <row r="363" customFormat="false" ht="13.5" hidden="false" customHeight="false" outlineLevel="0" collapsed="false">
      <c r="A363" s="0" t="s">
        <v>887</v>
      </c>
      <c r="B363" s="0" t="s">
        <v>888</v>
      </c>
      <c r="C363" s="0" t="s">
        <v>15</v>
      </c>
      <c r="D363" s="0" t="s">
        <v>19</v>
      </c>
      <c r="E363" s="0" t="s">
        <v>226</v>
      </c>
    </row>
    <row r="364" customFormat="false" ht="13.5" hidden="false" customHeight="false" outlineLevel="0" collapsed="false">
      <c r="A364" s="0" t="s">
        <v>889</v>
      </c>
      <c r="B364" s="0" t="s">
        <v>890</v>
      </c>
      <c r="C364" s="0" t="s">
        <v>15</v>
      </c>
      <c r="D364" s="0" t="s">
        <v>19</v>
      </c>
      <c r="E364" s="0" t="s">
        <v>150</v>
      </c>
    </row>
    <row r="365" customFormat="false" ht="13.5" hidden="false" customHeight="false" outlineLevel="0" collapsed="false">
      <c r="A365" s="0" t="s">
        <v>891</v>
      </c>
      <c r="B365" s="0" t="s">
        <v>292</v>
      </c>
      <c r="C365" s="0" t="s">
        <v>15</v>
      </c>
      <c r="D365" s="0" t="s">
        <v>19</v>
      </c>
      <c r="E365" s="0" t="s">
        <v>32</v>
      </c>
    </row>
    <row r="366" customFormat="false" ht="13.5" hidden="false" customHeight="false" outlineLevel="0" collapsed="false">
      <c r="A366" s="0" t="s">
        <v>892</v>
      </c>
      <c r="B366" s="0" t="s">
        <v>893</v>
      </c>
      <c r="C366" s="0" t="s">
        <v>15</v>
      </c>
      <c r="D366" s="0" t="s">
        <v>19</v>
      </c>
      <c r="E366" s="0" t="s">
        <v>150</v>
      </c>
    </row>
    <row r="367" customFormat="false" ht="13.5" hidden="false" customHeight="false" outlineLevel="0" collapsed="false">
      <c r="A367" s="0" t="s">
        <v>894</v>
      </c>
      <c r="B367" s="0" t="s">
        <v>895</v>
      </c>
      <c r="C367" s="0" t="s">
        <v>15</v>
      </c>
      <c r="D367" s="0" t="s">
        <v>24</v>
      </c>
      <c r="E367" s="0" t="s">
        <v>12</v>
      </c>
    </row>
    <row r="368" customFormat="false" ht="13.5" hidden="false" customHeight="false" outlineLevel="0" collapsed="false">
      <c r="A368" s="0" t="s">
        <v>896</v>
      </c>
      <c r="B368" s="0" t="s">
        <v>897</v>
      </c>
      <c r="C368" s="0" t="s">
        <v>15</v>
      </c>
      <c r="D368" s="0" t="s">
        <v>19</v>
      </c>
      <c r="E368" s="0" t="s">
        <v>898</v>
      </c>
      <c r="F368" s="0" t="s">
        <v>899</v>
      </c>
    </row>
    <row r="369" customFormat="false" ht="13.5" hidden="false" customHeight="false" outlineLevel="0" collapsed="false">
      <c r="A369" s="0" t="s">
        <v>900</v>
      </c>
      <c r="B369" s="0" t="s">
        <v>901</v>
      </c>
      <c r="C369" s="0" t="s">
        <v>15</v>
      </c>
      <c r="D369" s="0" t="s">
        <v>19</v>
      </c>
      <c r="E369" s="0" t="s">
        <v>902</v>
      </c>
    </row>
    <row r="370" customFormat="false" ht="13.5" hidden="false" customHeight="false" outlineLevel="0" collapsed="false">
      <c r="A370" s="0" t="s">
        <v>903</v>
      </c>
      <c r="B370" s="0" t="s">
        <v>904</v>
      </c>
      <c r="C370" s="0" t="s">
        <v>15</v>
      </c>
      <c r="D370" s="0" t="s">
        <v>19</v>
      </c>
      <c r="E370" s="0" t="s">
        <v>98</v>
      </c>
    </row>
    <row r="371" customFormat="false" ht="13.5" hidden="false" customHeight="false" outlineLevel="0" collapsed="false">
      <c r="A371" s="0" t="s">
        <v>905</v>
      </c>
      <c r="B371" s="0" t="s">
        <v>906</v>
      </c>
      <c r="C371" s="0" t="s">
        <v>15</v>
      </c>
      <c r="D371" s="0" t="s">
        <v>19</v>
      </c>
      <c r="E371" s="0" t="s">
        <v>869</v>
      </c>
    </row>
    <row r="372" customFormat="false" ht="13.5" hidden="false" customHeight="false" outlineLevel="0" collapsed="false">
      <c r="A372" s="0" t="s">
        <v>907</v>
      </c>
      <c r="B372" s="0" t="s">
        <v>908</v>
      </c>
      <c r="C372" s="0" t="s">
        <v>15</v>
      </c>
      <c r="D372" s="0" t="s">
        <v>19</v>
      </c>
      <c r="E372" s="0" t="s">
        <v>47</v>
      </c>
    </row>
    <row r="373" customFormat="false" ht="13.5" hidden="false" customHeight="false" outlineLevel="0" collapsed="false">
      <c r="A373" s="0" t="s">
        <v>909</v>
      </c>
      <c r="B373" s="0" t="s">
        <v>910</v>
      </c>
      <c r="C373" s="0" t="s">
        <v>15</v>
      </c>
      <c r="D373" s="0" t="s">
        <v>19</v>
      </c>
      <c r="E373" s="0" t="s">
        <v>911</v>
      </c>
      <c r="F373" s="0" t="s">
        <v>912</v>
      </c>
    </row>
    <row r="374" customFormat="false" ht="13.5" hidden="false" customHeight="false" outlineLevel="0" collapsed="false">
      <c r="A374" s="0" t="s">
        <v>913</v>
      </c>
      <c r="B374" s="0" t="s">
        <v>914</v>
      </c>
      <c r="C374" s="0" t="s">
        <v>15</v>
      </c>
      <c r="D374" s="0" t="s">
        <v>19</v>
      </c>
      <c r="E374" s="0" t="s">
        <v>98</v>
      </c>
    </row>
    <row r="375" customFormat="false" ht="13.5" hidden="false" customHeight="false" outlineLevel="0" collapsed="false">
      <c r="A375" s="0" t="s">
        <v>915</v>
      </c>
      <c r="B375" s="0" t="s">
        <v>916</v>
      </c>
      <c r="C375" s="0" t="s">
        <v>15</v>
      </c>
      <c r="D375" s="0" t="s">
        <v>19</v>
      </c>
      <c r="E375" s="0" t="s">
        <v>351</v>
      </c>
    </row>
    <row r="376" customFormat="false" ht="13.5" hidden="false" customHeight="false" outlineLevel="0" collapsed="false">
      <c r="A376" s="0" t="s">
        <v>917</v>
      </c>
      <c r="B376" s="0" t="s">
        <v>918</v>
      </c>
      <c r="C376" s="0" t="s">
        <v>15</v>
      </c>
      <c r="D376" s="0" t="s">
        <v>19</v>
      </c>
      <c r="E376" s="0" t="s">
        <v>32</v>
      </c>
    </row>
    <row r="377" customFormat="false" ht="13.5" hidden="false" customHeight="false" outlineLevel="0" collapsed="false">
      <c r="A377" s="0" t="s">
        <v>919</v>
      </c>
      <c r="B377" s="0" t="s">
        <v>920</v>
      </c>
      <c r="C377" s="0" t="s">
        <v>15</v>
      </c>
      <c r="D377" s="0" t="s">
        <v>19</v>
      </c>
      <c r="E377" s="0" t="s">
        <v>32</v>
      </c>
    </row>
    <row r="378" customFormat="false" ht="13.5" hidden="false" customHeight="false" outlineLevel="0" collapsed="false">
      <c r="A378" s="0" t="s">
        <v>921</v>
      </c>
      <c r="B378" s="0" t="s">
        <v>922</v>
      </c>
      <c r="C378" s="0" t="s">
        <v>15</v>
      </c>
      <c r="D378" s="0" t="s">
        <v>19</v>
      </c>
      <c r="E378" s="0" t="s">
        <v>923</v>
      </c>
    </row>
    <row r="379" customFormat="false" ht="13.5" hidden="false" customHeight="false" outlineLevel="0" collapsed="false">
      <c r="A379" s="0" t="s">
        <v>924</v>
      </c>
      <c r="B379" s="0" t="s">
        <v>925</v>
      </c>
      <c r="C379" s="0" t="s">
        <v>15</v>
      </c>
      <c r="D379" s="0" t="s">
        <v>19</v>
      </c>
      <c r="E379" s="0" t="s">
        <v>47</v>
      </c>
    </row>
    <row r="380" customFormat="false" ht="13.5" hidden="false" customHeight="false" outlineLevel="0" collapsed="false">
      <c r="A380" s="0" t="s">
        <v>926</v>
      </c>
      <c r="B380" s="0" t="s">
        <v>927</v>
      </c>
      <c r="C380" s="0" t="s">
        <v>15</v>
      </c>
      <c r="D380" s="0" t="s">
        <v>19</v>
      </c>
      <c r="E380" s="0" t="s">
        <v>76</v>
      </c>
    </row>
    <row r="381" customFormat="false" ht="13.5" hidden="false" customHeight="false" outlineLevel="0" collapsed="false">
      <c r="A381" s="0" t="s">
        <v>928</v>
      </c>
      <c r="B381" s="0" t="s">
        <v>929</v>
      </c>
      <c r="C381" s="0" t="s">
        <v>15</v>
      </c>
      <c r="D381" s="0" t="s">
        <v>19</v>
      </c>
      <c r="E381" s="0" t="s">
        <v>312</v>
      </c>
    </row>
    <row r="382" customFormat="false" ht="13.5" hidden="false" customHeight="false" outlineLevel="0" collapsed="false">
      <c r="A382" s="0" t="s">
        <v>930</v>
      </c>
      <c r="B382" s="0" t="s">
        <v>931</v>
      </c>
      <c r="C382" s="0" t="s">
        <v>15</v>
      </c>
      <c r="D382" s="0" t="s">
        <v>19</v>
      </c>
      <c r="E382" s="0" t="s">
        <v>200</v>
      </c>
    </row>
    <row r="383" customFormat="false" ht="13.5" hidden="false" customHeight="false" outlineLevel="0" collapsed="false">
      <c r="A383" s="0" t="s">
        <v>932</v>
      </c>
      <c r="B383" s="0" t="s">
        <v>933</v>
      </c>
      <c r="C383" s="0" t="s">
        <v>15</v>
      </c>
      <c r="D383" s="0" t="s">
        <v>16</v>
      </c>
      <c r="E383" s="0" t="s">
        <v>934</v>
      </c>
    </row>
    <row r="384" customFormat="false" ht="13.5" hidden="false" customHeight="false" outlineLevel="0" collapsed="false">
      <c r="A384" s="0" t="s">
        <v>935</v>
      </c>
      <c r="B384" s="0" t="s">
        <v>861</v>
      </c>
      <c r="C384" s="0" t="s">
        <v>15</v>
      </c>
      <c r="D384" s="0" t="s">
        <v>19</v>
      </c>
      <c r="E384" s="0" t="s">
        <v>936</v>
      </c>
    </row>
    <row r="385" customFormat="false" ht="13.5" hidden="false" customHeight="false" outlineLevel="0" collapsed="false">
      <c r="A385" s="0" t="s">
        <v>937</v>
      </c>
      <c r="B385" s="0" t="s">
        <v>938</v>
      </c>
      <c r="C385" s="0" t="s">
        <v>15</v>
      </c>
      <c r="D385" s="0" t="s">
        <v>19</v>
      </c>
      <c r="E385" s="0" t="s">
        <v>939</v>
      </c>
    </row>
    <row r="386" customFormat="false" ht="13.5" hidden="false" customHeight="false" outlineLevel="0" collapsed="false">
      <c r="A386" s="0" t="s">
        <v>940</v>
      </c>
      <c r="B386" s="0" t="s">
        <v>941</v>
      </c>
      <c r="C386" s="0" t="s">
        <v>15</v>
      </c>
      <c r="D386" s="0" t="s">
        <v>19</v>
      </c>
      <c r="E386" s="0" t="s">
        <v>942</v>
      </c>
    </row>
    <row r="387" customFormat="false" ht="13.5" hidden="false" customHeight="false" outlineLevel="0" collapsed="false">
      <c r="A387" s="0" t="s">
        <v>943</v>
      </c>
      <c r="B387" s="0" t="s">
        <v>944</v>
      </c>
      <c r="C387" s="0" t="s">
        <v>15</v>
      </c>
      <c r="D387" s="0" t="s">
        <v>19</v>
      </c>
      <c r="E387" s="0" t="s">
        <v>945</v>
      </c>
    </row>
    <row r="388" customFormat="false" ht="13.5" hidden="false" customHeight="false" outlineLevel="0" collapsed="false">
      <c r="A388" s="0" t="s">
        <v>946</v>
      </c>
      <c r="B388" s="0" t="s">
        <v>947</v>
      </c>
      <c r="C388" s="0" t="s">
        <v>15</v>
      </c>
      <c r="D388" s="0" t="s">
        <v>19</v>
      </c>
      <c r="E388" s="0" t="s">
        <v>948</v>
      </c>
    </row>
    <row r="389" customFormat="false" ht="13.5" hidden="false" customHeight="false" outlineLevel="0" collapsed="false">
      <c r="A389" s="0" t="s">
        <v>949</v>
      </c>
      <c r="B389" s="0" t="s">
        <v>427</v>
      </c>
      <c r="C389" s="0" t="s">
        <v>15</v>
      </c>
      <c r="D389" s="0" t="s">
        <v>19</v>
      </c>
      <c r="E389" s="0" t="s">
        <v>872</v>
      </c>
    </row>
    <row r="390" customFormat="false" ht="13.5" hidden="false" customHeight="false" outlineLevel="0" collapsed="false">
      <c r="A390" s="0" t="s">
        <v>950</v>
      </c>
      <c r="B390" s="0" t="s">
        <v>951</v>
      </c>
      <c r="C390" s="0" t="s">
        <v>15</v>
      </c>
      <c r="D390" s="0" t="s">
        <v>19</v>
      </c>
      <c r="E390" s="0" t="s">
        <v>32</v>
      </c>
    </row>
    <row r="391" customFormat="false" ht="13.5" hidden="false" customHeight="false" outlineLevel="0" collapsed="false">
      <c r="A391" s="0" t="s">
        <v>952</v>
      </c>
      <c r="B391" s="0" t="s">
        <v>953</v>
      </c>
      <c r="C391" s="0" t="s">
        <v>15</v>
      </c>
      <c r="D391" s="0" t="s">
        <v>19</v>
      </c>
      <c r="E391" s="0" t="s">
        <v>954</v>
      </c>
    </row>
    <row r="392" customFormat="false" ht="13.5" hidden="false" customHeight="false" outlineLevel="0" collapsed="false">
      <c r="A392" s="0" t="s">
        <v>955</v>
      </c>
      <c r="B392" s="0" t="s">
        <v>824</v>
      </c>
      <c r="C392" s="0" t="s">
        <v>15</v>
      </c>
      <c r="D392" s="0" t="s">
        <v>19</v>
      </c>
      <c r="E392" s="0" t="s">
        <v>32</v>
      </c>
    </row>
    <row r="393" customFormat="false" ht="13.5" hidden="false" customHeight="false" outlineLevel="0" collapsed="false">
      <c r="A393" s="0" t="s">
        <v>956</v>
      </c>
      <c r="B393" s="0" t="s">
        <v>957</v>
      </c>
      <c r="C393" s="0" t="s">
        <v>15</v>
      </c>
      <c r="D393" s="0" t="s">
        <v>19</v>
      </c>
      <c r="E393" s="0" t="s">
        <v>958</v>
      </c>
    </row>
    <row r="394" customFormat="false" ht="13.5" hidden="false" customHeight="false" outlineLevel="0" collapsed="false">
      <c r="A394" s="0" t="s">
        <v>959</v>
      </c>
      <c r="B394" s="0" t="s">
        <v>960</v>
      </c>
      <c r="C394" s="0" t="s">
        <v>15</v>
      </c>
      <c r="D394" s="0" t="s">
        <v>19</v>
      </c>
      <c r="E394" s="0" t="s">
        <v>12</v>
      </c>
    </row>
    <row r="395" customFormat="false" ht="13.5" hidden="false" customHeight="false" outlineLevel="0" collapsed="false">
      <c r="A395" s="0" t="s">
        <v>961</v>
      </c>
      <c r="B395" s="0" t="s">
        <v>962</v>
      </c>
      <c r="C395" s="0" t="s">
        <v>15</v>
      </c>
      <c r="D395" s="0" t="s">
        <v>19</v>
      </c>
      <c r="E395" s="0" t="s">
        <v>963</v>
      </c>
    </row>
    <row r="396" customFormat="false" ht="13.5" hidden="false" customHeight="false" outlineLevel="0" collapsed="false">
      <c r="A396" s="0" t="s">
        <v>964</v>
      </c>
      <c r="B396" s="0" t="s">
        <v>965</v>
      </c>
      <c r="C396" s="0" t="s">
        <v>15</v>
      </c>
      <c r="D396" s="0" t="s">
        <v>19</v>
      </c>
      <c r="E396" s="0" t="s">
        <v>59</v>
      </c>
    </row>
    <row r="397" customFormat="false" ht="13.5" hidden="false" customHeight="false" outlineLevel="0" collapsed="false">
      <c r="A397" s="0" t="s">
        <v>966</v>
      </c>
      <c r="B397" s="0" t="s">
        <v>967</v>
      </c>
      <c r="C397" s="0" t="s">
        <v>15</v>
      </c>
      <c r="D397" s="0" t="s">
        <v>19</v>
      </c>
      <c r="E397" s="0" t="s">
        <v>541</v>
      </c>
    </row>
    <row r="398" customFormat="false" ht="13.5" hidden="false" customHeight="false" outlineLevel="0" collapsed="false">
      <c r="A398" s="0" t="s">
        <v>968</v>
      </c>
      <c r="B398" s="0" t="s">
        <v>969</v>
      </c>
      <c r="C398" s="0" t="s">
        <v>15</v>
      </c>
      <c r="D398" s="0" t="s">
        <v>24</v>
      </c>
      <c r="E398" s="0" t="s">
        <v>970</v>
      </c>
    </row>
    <row r="399" customFormat="false" ht="13.5" hidden="false" customHeight="false" outlineLevel="0" collapsed="false">
      <c r="A399" s="0" t="s">
        <v>971</v>
      </c>
      <c r="B399" s="0" t="s">
        <v>972</v>
      </c>
      <c r="C399" s="0" t="s">
        <v>15</v>
      </c>
      <c r="D399" s="0" t="s">
        <v>19</v>
      </c>
      <c r="E399" s="0" t="s">
        <v>32</v>
      </c>
    </row>
    <row r="400" customFormat="false" ht="13.5" hidden="false" customHeight="false" outlineLevel="0" collapsed="false">
      <c r="A400" s="0" t="s">
        <v>973</v>
      </c>
      <c r="B400" s="0" t="s">
        <v>974</v>
      </c>
      <c r="C400" s="0" t="s">
        <v>15</v>
      </c>
      <c r="D400" s="0" t="s">
        <v>19</v>
      </c>
      <c r="E400" s="0" t="s">
        <v>263</v>
      </c>
    </row>
    <row r="401" customFormat="false" ht="13.5" hidden="false" customHeight="false" outlineLevel="0" collapsed="false">
      <c r="A401" s="0" t="s">
        <v>975</v>
      </c>
      <c r="B401" s="0" t="s">
        <v>976</v>
      </c>
      <c r="C401" s="0" t="s">
        <v>15</v>
      </c>
      <c r="D401" s="0" t="s">
        <v>19</v>
      </c>
      <c r="E401" s="0" t="s">
        <v>493</v>
      </c>
    </row>
    <row r="402" customFormat="false" ht="13.5" hidden="false" customHeight="false" outlineLevel="0" collapsed="false">
      <c r="A402" s="0" t="s">
        <v>977</v>
      </c>
      <c r="B402" s="0" t="s">
        <v>844</v>
      </c>
      <c r="C402" s="0" t="s">
        <v>15</v>
      </c>
      <c r="D402" s="0" t="s">
        <v>19</v>
      </c>
      <c r="E402" s="0" t="s">
        <v>226</v>
      </c>
    </row>
    <row r="403" customFormat="false" ht="13.5" hidden="false" customHeight="false" outlineLevel="0" collapsed="false">
      <c r="A403" s="0" t="s">
        <v>978</v>
      </c>
      <c r="B403" s="0" t="s">
        <v>979</v>
      </c>
      <c r="C403" s="0" t="s">
        <v>15</v>
      </c>
      <c r="D403" s="0" t="s">
        <v>19</v>
      </c>
      <c r="E403" s="0" t="s">
        <v>869</v>
      </c>
    </row>
    <row r="404" customFormat="false" ht="13.5" hidden="false" customHeight="false" outlineLevel="0" collapsed="false">
      <c r="A404" s="0" t="s">
        <v>980</v>
      </c>
      <c r="B404" s="0" t="s">
        <v>981</v>
      </c>
      <c r="C404" s="0" t="s">
        <v>15</v>
      </c>
      <c r="D404" s="0" t="s">
        <v>19</v>
      </c>
      <c r="E404" s="0" t="s">
        <v>150</v>
      </c>
    </row>
    <row r="405" customFormat="false" ht="13.5" hidden="false" customHeight="false" outlineLevel="0" collapsed="false">
      <c r="A405" s="0" t="s">
        <v>982</v>
      </c>
      <c r="B405" s="0" t="s">
        <v>983</v>
      </c>
      <c r="C405" s="0" t="s">
        <v>15</v>
      </c>
      <c r="D405" s="0" t="s">
        <v>19</v>
      </c>
      <c r="E405" s="0" t="s">
        <v>984</v>
      </c>
    </row>
    <row r="406" customFormat="false" ht="13.5" hidden="false" customHeight="false" outlineLevel="0" collapsed="false">
      <c r="A406" s="0" t="s">
        <v>985</v>
      </c>
      <c r="B406" s="0" t="s">
        <v>986</v>
      </c>
      <c r="C406" s="0" t="s">
        <v>15</v>
      </c>
      <c r="D406" s="0" t="s">
        <v>19</v>
      </c>
      <c r="E406" s="0" t="s">
        <v>56</v>
      </c>
    </row>
    <row r="407" customFormat="false" ht="13.5" hidden="false" customHeight="false" outlineLevel="0" collapsed="false">
      <c r="A407" s="0" t="s">
        <v>987</v>
      </c>
      <c r="B407" s="0" t="s">
        <v>988</v>
      </c>
      <c r="C407" s="0" t="s">
        <v>15</v>
      </c>
      <c r="D407" s="0" t="s">
        <v>19</v>
      </c>
      <c r="E407" s="0" t="s">
        <v>400</v>
      </c>
    </row>
    <row r="408" customFormat="false" ht="13.5" hidden="false" customHeight="false" outlineLevel="0" collapsed="false">
      <c r="A408" s="0" t="s">
        <v>989</v>
      </c>
      <c r="B408" s="0" t="s">
        <v>990</v>
      </c>
      <c r="C408" s="0" t="s">
        <v>15</v>
      </c>
      <c r="D408" s="0" t="s">
        <v>19</v>
      </c>
      <c r="E408" s="0" t="s">
        <v>47</v>
      </c>
    </row>
    <row r="409" customFormat="false" ht="13.5" hidden="false" customHeight="false" outlineLevel="0" collapsed="false">
      <c r="A409" s="0" t="s">
        <v>991</v>
      </c>
      <c r="B409" s="0" t="s">
        <v>992</v>
      </c>
      <c r="C409" s="0" t="s">
        <v>15</v>
      </c>
      <c r="D409" s="0" t="s">
        <v>19</v>
      </c>
      <c r="E409" s="0" t="s">
        <v>32</v>
      </c>
    </row>
    <row r="410" customFormat="false" ht="13.5" hidden="false" customHeight="false" outlineLevel="0" collapsed="false">
      <c r="A410" s="0" t="s">
        <v>993</v>
      </c>
      <c r="B410" s="0" t="s">
        <v>994</v>
      </c>
      <c r="C410" s="0" t="s">
        <v>15</v>
      </c>
      <c r="D410" s="0" t="s">
        <v>19</v>
      </c>
      <c r="E410" s="0" t="s">
        <v>995</v>
      </c>
    </row>
    <row r="411" customFormat="false" ht="13.5" hidden="false" customHeight="false" outlineLevel="0" collapsed="false">
      <c r="A411" s="0" t="s">
        <v>996</v>
      </c>
      <c r="B411" s="0" t="s">
        <v>997</v>
      </c>
      <c r="C411" s="0" t="s">
        <v>15</v>
      </c>
      <c r="D411" s="0" t="s">
        <v>19</v>
      </c>
      <c r="E411" s="0" t="s">
        <v>998</v>
      </c>
    </row>
    <row r="412" customFormat="false" ht="13.5" hidden="false" customHeight="false" outlineLevel="0" collapsed="false">
      <c r="A412" s="0" t="s">
        <v>999</v>
      </c>
      <c r="B412" s="0" t="s">
        <v>1000</v>
      </c>
      <c r="C412" s="0" t="s">
        <v>15</v>
      </c>
      <c r="D412" s="0" t="s">
        <v>19</v>
      </c>
      <c r="E412" s="0" t="s">
        <v>1001</v>
      </c>
    </row>
    <row r="413" customFormat="false" ht="13.5" hidden="false" customHeight="false" outlineLevel="0" collapsed="false">
      <c r="A413" s="0" t="s">
        <v>1002</v>
      </c>
      <c r="B413" s="0" t="s">
        <v>1003</v>
      </c>
      <c r="C413" s="0" t="s">
        <v>15</v>
      </c>
      <c r="D413" s="0" t="s">
        <v>19</v>
      </c>
      <c r="E413" s="0" t="s">
        <v>1004</v>
      </c>
    </row>
    <row r="414" customFormat="false" ht="13.5" hidden="false" customHeight="false" outlineLevel="0" collapsed="false">
      <c r="A414" s="0" t="s">
        <v>1005</v>
      </c>
      <c r="B414" s="0" t="s">
        <v>1006</v>
      </c>
      <c r="C414" s="0" t="s">
        <v>15</v>
      </c>
      <c r="D414" s="0" t="s">
        <v>19</v>
      </c>
      <c r="E414" s="0" t="s">
        <v>205</v>
      </c>
    </row>
    <row r="415" customFormat="false" ht="13.5" hidden="false" customHeight="false" outlineLevel="0" collapsed="false">
      <c r="A415" s="0" t="s">
        <v>1007</v>
      </c>
      <c r="B415" s="0" t="s">
        <v>1008</v>
      </c>
      <c r="C415" s="0" t="s">
        <v>15</v>
      </c>
      <c r="D415" s="0" t="s">
        <v>19</v>
      </c>
      <c r="E415" s="0" t="s">
        <v>1009</v>
      </c>
    </row>
    <row r="416" customFormat="false" ht="13.5" hidden="false" customHeight="false" outlineLevel="0" collapsed="false">
      <c r="A416" s="0" t="s">
        <v>1010</v>
      </c>
      <c r="B416" s="0" t="s">
        <v>1011</v>
      </c>
      <c r="C416" s="0" t="s">
        <v>15</v>
      </c>
      <c r="D416" s="0" t="s">
        <v>19</v>
      </c>
      <c r="E416" s="0" t="s">
        <v>1012</v>
      </c>
    </row>
    <row r="417" customFormat="false" ht="13.5" hidden="false" customHeight="false" outlineLevel="0" collapsed="false">
      <c r="A417" s="0" t="s">
        <v>1013</v>
      </c>
      <c r="B417" s="0" t="s">
        <v>1014</v>
      </c>
      <c r="C417" s="0" t="s">
        <v>15</v>
      </c>
      <c r="D417" s="0" t="s">
        <v>19</v>
      </c>
      <c r="E417" s="0" t="s">
        <v>307</v>
      </c>
    </row>
    <row r="418" customFormat="false" ht="13.5" hidden="false" customHeight="false" outlineLevel="0" collapsed="false">
      <c r="A418" s="0" t="s">
        <v>1015</v>
      </c>
      <c r="B418" s="0" t="s">
        <v>1016</v>
      </c>
      <c r="C418" s="0" t="s">
        <v>15</v>
      </c>
      <c r="D418" s="0" t="s">
        <v>19</v>
      </c>
      <c r="E418" s="0" t="s">
        <v>205</v>
      </c>
    </row>
    <row r="419" customFormat="false" ht="13.5" hidden="false" customHeight="false" outlineLevel="0" collapsed="false">
      <c r="A419" s="0" t="s">
        <v>1017</v>
      </c>
      <c r="B419" s="0" t="s">
        <v>1018</v>
      </c>
      <c r="C419" s="0" t="s">
        <v>15</v>
      </c>
      <c r="D419" s="0" t="s">
        <v>19</v>
      </c>
      <c r="E419" s="0" t="s">
        <v>625</v>
      </c>
    </row>
    <row r="420" customFormat="false" ht="13.5" hidden="false" customHeight="false" outlineLevel="0" collapsed="false">
      <c r="A420" s="0" t="s">
        <v>1019</v>
      </c>
      <c r="B420" s="0" t="s">
        <v>1020</v>
      </c>
      <c r="C420" s="0" t="s">
        <v>15</v>
      </c>
      <c r="D420" s="0" t="s">
        <v>19</v>
      </c>
      <c r="E420" s="0" t="s">
        <v>32</v>
      </c>
    </row>
    <row r="421" customFormat="false" ht="13.5" hidden="false" customHeight="false" outlineLevel="0" collapsed="false">
      <c r="A421" s="0" t="s">
        <v>1021</v>
      </c>
      <c r="B421" s="0" t="s">
        <v>1022</v>
      </c>
      <c r="C421" s="0" t="s">
        <v>15</v>
      </c>
      <c r="D421" s="0" t="s">
        <v>19</v>
      </c>
      <c r="E421" s="0" t="s">
        <v>1023</v>
      </c>
    </row>
    <row r="422" customFormat="false" ht="13.5" hidden="false" customHeight="false" outlineLevel="0" collapsed="false">
      <c r="A422" s="0" t="s">
        <v>1024</v>
      </c>
      <c r="B422" s="0" t="s">
        <v>1025</v>
      </c>
      <c r="C422" s="0" t="s">
        <v>15</v>
      </c>
      <c r="D422" s="0" t="s">
        <v>19</v>
      </c>
      <c r="E422" s="0" t="s">
        <v>32</v>
      </c>
    </row>
    <row r="423" customFormat="false" ht="13.5" hidden="false" customHeight="false" outlineLevel="0" collapsed="false">
      <c r="A423" s="0" t="s">
        <v>1026</v>
      </c>
      <c r="B423" s="0" t="s">
        <v>1027</v>
      </c>
      <c r="C423" s="0" t="s">
        <v>15</v>
      </c>
      <c r="D423" s="0" t="s">
        <v>19</v>
      </c>
      <c r="E423" s="0" t="s">
        <v>486</v>
      </c>
    </row>
    <row r="424" customFormat="false" ht="13.5" hidden="false" customHeight="false" outlineLevel="0" collapsed="false">
      <c r="A424" s="0" t="s">
        <v>1028</v>
      </c>
      <c r="B424" s="0" t="s">
        <v>1029</v>
      </c>
      <c r="C424" s="0" t="s">
        <v>15</v>
      </c>
      <c r="D424" s="0" t="s">
        <v>19</v>
      </c>
      <c r="E424" s="0" t="s">
        <v>1030</v>
      </c>
    </row>
    <row r="425" customFormat="false" ht="13.5" hidden="false" customHeight="false" outlineLevel="0" collapsed="false">
      <c r="A425" s="0" t="s">
        <v>1031</v>
      </c>
      <c r="B425" s="0" t="s">
        <v>1032</v>
      </c>
      <c r="C425" s="0" t="s">
        <v>15</v>
      </c>
      <c r="D425" s="0" t="s">
        <v>19</v>
      </c>
      <c r="E425" s="0" t="s">
        <v>1033</v>
      </c>
    </row>
    <row r="426" customFormat="false" ht="13.5" hidden="false" customHeight="false" outlineLevel="0" collapsed="false">
      <c r="A426" s="0" t="s">
        <v>1034</v>
      </c>
      <c r="B426" s="0" t="s">
        <v>1035</v>
      </c>
      <c r="C426" s="0" t="s">
        <v>15</v>
      </c>
      <c r="D426" s="0" t="s">
        <v>19</v>
      </c>
      <c r="E426" s="0" t="s">
        <v>1023</v>
      </c>
    </row>
    <row r="427" customFormat="false" ht="13.5" hidden="false" customHeight="false" outlineLevel="0" collapsed="false">
      <c r="A427" s="0" t="s">
        <v>1036</v>
      </c>
      <c r="B427" s="0" t="s">
        <v>1037</v>
      </c>
      <c r="C427" s="0" t="s">
        <v>15</v>
      </c>
      <c r="D427" s="0" t="s">
        <v>19</v>
      </c>
      <c r="E427" s="0" t="s">
        <v>1038</v>
      </c>
    </row>
    <row r="428" customFormat="false" ht="13.5" hidden="false" customHeight="false" outlineLevel="0" collapsed="false">
      <c r="A428" s="0" t="s">
        <v>1039</v>
      </c>
      <c r="B428" s="0" t="s">
        <v>1040</v>
      </c>
      <c r="C428" s="0" t="s">
        <v>15</v>
      </c>
      <c r="D428" s="0" t="s">
        <v>19</v>
      </c>
      <c r="E428" s="0" t="s">
        <v>32</v>
      </c>
    </row>
    <row r="429" customFormat="false" ht="13.5" hidden="false" customHeight="false" outlineLevel="0" collapsed="false">
      <c r="A429" s="0" t="s">
        <v>1041</v>
      </c>
      <c r="B429" s="0" t="s">
        <v>1042</v>
      </c>
      <c r="C429" s="0" t="s">
        <v>15</v>
      </c>
      <c r="D429" s="0" t="s">
        <v>19</v>
      </c>
      <c r="E429" s="0" t="s">
        <v>1043</v>
      </c>
    </row>
    <row r="430" customFormat="false" ht="13.5" hidden="false" customHeight="false" outlineLevel="0" collapsed="false">
      <c r="A430" s="0" t="s">
        <v>1044</v>
      </c>
      <c r="B430" s="0" t="s">
        <v>1045</v>
      </c>
      <c r="C430" s="0" t="s">
        <v>15</v>
      </c>
      <c r="D430" s="0" t="s">
        <v>19</v>
      </c>
      <c r="E430" s="0" t="s">
        <v>32</v>
      </c>
    </row>
    <row r="431" customFormat="false" ht="13.5" hidden="false" customHeight="false" outlineLevel="0" collapsed="false">
      <c r="A431" s="0" t="s">
        <v>1046</v>
      </c>
      <c r="B431" s="0" t="s">
        <v>1047</v>
      </c>
      <c r="C431" s="0" t="s">
        <v>15</v>
      </c>
      <c r="D431" s="0" t="s">
        <v>19</v>
      </c>
      <c r="E431" s="0" t="s">
        <v>1048</v>
      </c>
    </row>
    <row r="432" customFormat="false" ht="13.5" hidden="false" customHeight="false" outlineLevel="0" collapsed="false">
      <c r="A432" s="0" t="s">
        <v>1049</v>
      </c>
      <c r="B432" s="0" t="s">
        <v>1050</v>
      </c>
      <c r="C432" s="0" t="s">
        <v>15</v>
      </c>
      <c r="D432" s="0" t="s">
        <v>19</v>
      </c>
      <c r="E432" s="0" t="s">
        <v>181</v>
      </c>
    </row>
    <row r="433" customFormat="false" ht="13.5" hidden="false" customHeight="false" outlineLevel="0" collapsed="false">
      <c r="A433" s="0" t="s">
        <v>1051</v>
      </c>
      <c r="B433" s="0" t="s">
        <v>1052</v>
      </c>
      <c r="C433" s="0" t="s">
        <v>15</v>
      </c>
      <c r="D433" s="0" t="s">
        <v>19</v>
      </c>
      <c r="E433" s="0" t="s">
        <v>98</v>
      </c>
    </row>
    <row r="434" customFormat="false" ht="13.5" hidden="false" customHeight="false" outlineLevel="0" collapsed="false">
      <c r="A434" s="0" t="s">
        <v>1053</v>
      </c>
      <c r="B434" s="0" t="s">
        <v>1054</v>
      </c>
      <c r="C434" s="0" t="s">
        <v>15</v>
      </c>
      <c r="D434" s="0" t="s">
        <v>19</v>
      </c>
      <c r="E434" s="0" t="s">
        <v>1023</v>
      </c>
    </row>
    <row r="435" customFormat="false" ht="13.5" hidden="false" customHeight="false" outlineLevel="0" collapsed="false">
      <c r="A435" s="0" t="s">
        <v>1055</v>
      </c>
      <c r="B435" s="0" t="s">
        <v>1056</v>
      </c>
      <c r="C435" s="0" t="s">
        <v>15</v>
      </c>
      <c r="D435" s="0" t="s">
        <v>19</v>
      </c>
      <c r="E435" s="0" t="s">
        <v>1057</v>
      </c>
    </row>
    <row r="436" customFormat="false" ht="13.5" hidden="false" customHeight="false" outlineLevel="0" collapsed="false">
      <c r="A436" s="0" t="s">
        <v>1058</v>
      </c>
      <c r="B436" s="0" t="s">
        <v>1059</v>
      </c>
      <c r="C436" s="0" t="s">
        <v>15</v>
      </c>
      <c r="D436" s="0" t="s">
        <v>19</v>
      </c>
      <c r="E436" s="0" t="s">
        <v>1060</v>
      </c>
    </row>
    <row r="437" customFormat="false" ht="13.5" hidden="false" customHeight="false" outlineLevel="0" collapsed="false">
      <c r="A437" s="0" t="s">
        <v>1061</v>
      </c>
      <c r="B437" s="0" t="s">
        <v>1062</v>
      </c>
      <c r="C437" s="0" t="s">
        <v>15</v>
      </c>
      <c r="D437" s="0" t="s">
        <v>19</v>
      </c>
      <c r="E437" s="0" t="s">
        <v>47</v>
      </c>
    </row>
    <row r="438" customFormat="false" ht="13.5" hidden="false" customHeight="false" outlineLevel="0" collapsed="false">
      <c r="A438" s="0" t="s">
        <v>1063</v>
      </c>
      <c r="B438" s="0" t="s">
        <v>1064</v>
      </c>
      <c r="C438" s="0" t="s">
        <v>15</v>
      </c>
      <c r="D438" s="0" t="s">
        <v>19</v>
      </c>
      <c r="E438" s="0" t="s">
        <v>1065</v>
      </c>
    </row>
    <row r="439" customFormat="false" ht="13.5" hidden="false" customHeight="false" outlineLevel="0" collapsed="false">
      <c r="A439" s="0" t="s">
        <v>1066</v>
      </c>
      <c r="B439" s="0" t="s">
        <v>1067</v>
      </c>
      <c r="C439" s="0" t="s">
        <v>15</v>
      </c>
      <c r="D439" s="0" t="s">
        <v>19</v>
      </c>
      <c r="E439" s="0" t="s">
        <v>1065</v>
      </c>
    </row>
    <row r="440" customFormat="false" ht="13.5" hidden="false" customHeight="false" outlineLevel="0" collapsed="false">
      <c r="A440" s="0" t="s">
        <v>1068</v>
      </c>
      <c r="B440" s="0" t="s">
        <v>1069</v>
      </c>
      <c r="C440" s="0" t="s">
        <v>15</v>
      </c>
      <c r="D440" s="0" t="s">
        <v>19</v>
      </c>
      <c r="E440" s="0" t="s">
        <v>181</v>
      </c>
    </row>
    <row r="441" customFormat="false" ht="13.5" hidden="false" customHeight="false" outlineLevel="0" collapsed="false">
      <c r="A441" s="0" t="s">
        <v>1070</v>
      </c>
      <c r="B441" s="0" t="s">
        <v>1071</v>
      </c>
      <c r="C441" s="0" t="s">
        <v>15</v>
      </c>
      <c r="D441" s="0" t="s">
        <v>19</v>
      </c>
      <c r="E441" s="0" t="s">
        <v>766</v>
      </c>
    </row>
    <row r="442" customFormat="false" ht="13.5" hidden="false" customHeight="false" outlineLevel="0" collapsed="false">
      <c r="A442" s="0" t="s">
        <v>1072</v>
      </c>
      <c r="B442" s="0" t="s">
        <v>1073</v>
      </c>
      <c r="C442" s="0" t="s">
        <v>15</v>
      </c>
      <c r="D442" s="0" t="s">
        <v>19</v>
      </c>
      <c r="E442" s="0" t="s">
        <v>47</v>
      </c>
    </row>
    <row r="443" customFormat="false" ht="13.5" hidden="false" customHeight="false" outlineLevel="0" collapsed="false">
      <c r="A443" s="0" t="s">
        <v>1074</v>
      </c>
      <c r="B443" s="0" t="s">
        <v>1075</v>
      </c>
      <c r="C443" s="0" t="s">
        <v>15</v>
      </c>
      <c r="D443" s="0" t="s">
        <v>19</v>
      </c>
      <c r="E443" s="0" t="s">
        <v>200</v>
      </c>
    </row>
    <row r="444" customFormat="false" ht="13.5" hidden="false" customHeight="false" outlineLevel="0" collapsed="false">
      <c r="A444" s="0" t="s">
        <v>1076</v>
      </c>
      <c r="B444" s="0" t="s">
        <v>1077</v>
      </c>
      <c r="C444" s="0" t="s">
        <v>15</v>
      </c>
      <c r="D444" s="0" t="s">
        <v>19</v>
      </c>
      <c r="E444" s="0" t="s">
        <v>32</v>
      </c>
    </row>
    <row r="445" customFormat="false" ht="13.5" hidden="false" customHeight="false" outlineLevel="0" collapsed="false">
      <c r="A445" s="0" t="s">
        <v>1078</v>
      </c>
      <c r="B445" s="0" t="s">
        <v>1011</v>
      </c>
      <c r="C445" s="0" t="s">
        <v>15</v>
      </c>
      <c r="D445" s="0" t="s">
        <v>19</v>
      </c>
      <c r="E445" s="0" t="s">
        <v>98</v>
      </c>
    </row>
    <row r="446" customFormat="false" ht="13.5" hidden="false" customHeight="false" outlineLevel="0" collapsed="false">
      <c r="A446" s="0" t="s">
        <v>1079</v>
      </c>
      <c r="B446" s="0" t="s">
        <v>1080</v>
      </c>
      <c r="C446" s="0" t="s">
        <v>15</v>
      </c>
      <c r="D446" s="0" t="s">
        <v>19</v>
      </c>
      <c r="E446" s="0" t="s">
        <v>150</v>
      </c>
    </row>
    <row r="447" customFormat="false" ht="13.5" hidden="false" customHeight="false" outlineLevel="0" collapsed="false">
      <c r="A447" s="0" t="s">
        <v>1081</v>
      </c>
      <c r="B447" s="0" t="s">
        <v>1082</v>
      </c>
      <c r="C447" s="0" t="s">
        <v>15</v>
      </c>
      <c r="D447" s="0" t="s">
        <v>19</v>
      </c>
      <c r="E447" s="0" t="s">
        <v>32</v>
      </c>
    </row>
    <row r="448" customFormat="false" ht="13.5" hidden="false" customHeight="false" outlineLevel="0" collapsed="false">
      <c r="A448" s="0" t="s">
        <v>1083</v>
      </c>
      <c r="B448" s="0" t="s">
        <v>1084</v>
      </c>
      <c r="C448" s="0" t="s">
        <v>15</v>
      </c>
      <c r="D448" s="0" t="s">
        <v>19</v>
      </c>
      <c r="E448" s="0" t="s">
        <v>377</v>
      </c>
    </row>
    <row r="449" customFormat="false" ht="13.5" hidden="false" customHeight="false" outlineLevel="0" collapsed="false">
      <c r="A449" s="0" t="s">
        <v>1085</v>
      </c>
      <c r="B449" s="0" t="s">
        <v>1086</v>
      </c>
      <c r="C449" s="0" t="s">
        <v>15</v>
      </c>
      <c r="D449" s="0" t="s">
        <v>19</v>
      </c>
      <c r="E449" s="0" t="s">
        <v>186</v>
      </c>
    </row>
    <row r="450" customFormat="false" ht="13.5" hidden="false" customHeight="false" outlineLevel="0" collapsed="false">
      <c r="A450" s="0" t="s">
        <v>1087</v>
      </c>
      <c r="B450" s="0" t="s">
        <v>1088</v>
      </c>
      <c r="C450" s="0" t="s">
        <v>15</v>
      </c>
      <c r="D450" s="0" t="s">
        <v>19</v>
      </c>
      <c r="E450" s="0" t="s">
        <v>205</v>
      </c>
    </row>
    <row r="451" customFormat="false" ht="13.5" hidden="false" customHeight="false" outlineLevel="0" collapsed="false">
      <c r="A451" s="0" t="s">
        <v>1089</v>
      </c>
      <c r="B451" s="0" t="s">
        <v>1090</v>
      </c>
      <c r="C451" s="0" t="s">
        <v>15</v>
      </c>
      <c r="D451" s="0" t="s">
        <v>19</v>
      </c>
      <c r="E451" s="0" t="s">
        <v>181</v>
      </c>
    </row>
    <row r="452" customFormat="false" ht="13.5" hidden="false" customHeight="false" outlineLevel="0" collapsed="false">
      <c r="A452" s="0" t="s">
        <v>1091</v>
      </c>
      <c r="B452" s="0" t="s">
        <v>1092</v>
      </c>
      <c r="C452" s="0" t="s">
        <v>15</v>
      </c>
      <c r="D452" s="0" t="s">
        <v>19</v>
      </c>
      <c r="E452" s="0" t="s">
        <v>98</v>
      </c>
      <c r="F452" s="0" t="s">
        <v>1093</v>
      </c>
    </row>
    <row r="453" customFormat="false" ht="13.5" hidden="false" customHeight="false" outlineLevel="0" collapsed="false">
      <c r="A453" s="0" t="s">
        <v>1094</v>
      </c>
      <c r="B453" s="0" t="s">
        <v>1095</v>
      </c>
      <c r="C453" s="0" t="s">
        <v>15</v>
      </c>
      <c r="D453" s="0" t="s">
        <v>19</v>
      </c>
      <c r="E453" s="0" t="s">
        <v>263</v>
      </c>
    </row>
    <row r="454" customFormat="false" ht="13.5" hidden="false" customHeight="false" outlineLevel="0" collapsed="false">
      <c r="A454" s="0" t="s">
        <v>1096</v>
      </c>
      <c r="B454" s="0" t="s">
        <v>1097</v>
      </c>
      <c r="C454" s="0" t="s">
        <v>15</v>
      </c>
      <c r="D454" s="0" t="s">
        <v>19</v>
      </c>
      <c r="E454" s="0" t="s">
        <v>98</v>
      </c>
    </row>
    <row r="455" customFormat="false" ht="13.5" hidden="false" customHeight="false" outlineLevel="0" collapsed="false">
      <c r="A455" s="0" t="s">
        <v>1098</v>
      </c>
      <c r="B455" s="0" t="s">
        <v>1099</v>
      </c>
      <c r="C455" s="0" t="s">
        <v>15</v>
      </c>
      <c r="D455" s="0" t="s">
        <v>19</v>
      </c>
      <c r="E455" s="0" t="s">
        <v>307</v>
      </c>
    </row>
    <row r="456" customFormat="false" ht="13.5" hidden="false" customHeight="false" outlineLevel="0" collapsed="false">
      <c r="A456" s="0" t="s">
        <v>1100</v>
      </c>
      <c r="B456" s="0" t="s">
        <v>1101</v>
      </c>
      <c r="C456" s="0" t="s">
        <v>15</v>
      </c>
      <c r="D456" s="0" t="s">
        <v>19</v>
      </c>
      <c r="E456" s="0" t="s">
        <v>32</v>
      </c>
    </row>
    <row r="457" customFormat="false" ht="13.5" hidden="false" customHeight="false" outlineLevel="0" collapsed="false">
      <c r="A457" s="0" t="s">
        <v>1102</v>
      </c>
      <c r="B457" s="0" t="s">
        <v>1103</v>
      </c>
      <c r="C457" s="0" t="s">
        <v>15</v>
      </c>
      <c r="D457" s="0" t="s">
        <v>19</v>
      </c>
      <c r="E457" s="0" t="s">
        <v>98</v>
      </c>
    </row>
    <row r="458" customFormat="false" ht="13.5" hidden="false" customHeight="false" outlineLevel="0" collapsed="false">
      <c r="A458" s="0" t="s">
        <v>1104</v>
      </c>
      <c r="B458" s="0" t="s">
        <v>1105</v>
      </c>
      <c r="C458" s="0" t="s">
        <v>15</v>
      </c>
      <c r="D458" s="0" t="s">
        <v>19</v>
      </c>
      <c r="E458" s="0" t="s">
        <v>1106</v>
      </c>
    </row>
    <row r="459" customFormat="false" ht="13.5" hidden="false" customHeight="false" outlineLevel="0" collapsed="false">
      <c r="A459" s="0" t="s">
        <v>1107</v>
      </c>
      <c r="B459" s="0" t="s">
        <v>1108</v>
      </c>
      <c r="C459" s="0" t="s">
        <v>15</v>
      </c>
      <c r="D459" s="0" t="s">
        <v>19</v>
      </c>
      <c r="E459" s="0" t="s">
        <v>766</v>
      </c>
    </row>
    <row r="460" customFormat="false" ht="13.5" hidden="false" customHeight="false" outlineLevel="0" collapsed="false">
      <c r="A460" s="0" t="s">
        <v>1109</v>
      </c>
      <c r="B460" s="0" t="s">
        <v>1110</v>
      </c>
      <c r="C460" s="0" t="s">
        <v>15</v>
      </c>
      <c r="D460" s="0" t="s">
        <v>19</v>
      </c>
      <c r="E460" s="0" t="s">
        <v>1111</v>
      </c>
    </row>
    <row r="461" customFormat="false" ht="13.5" hidden="false" customHeight="false" outlineLevel="0" collapsed="false">
      <c r="A461" s="0" t="s">
        <v>1112</v>
      </c>
      <c r="B461" s="0" t="s">
        <v>1113</v>
      </c>
      <c r="C461" s="0" t="s">
        <v>15</v>
      </c>
      <c r="D461" s="0" t="s">
        <v>19</v>
      </c>
      <c r="E461" s="0" t="s">
        <v>32</v>
      </c>
    </row>
    <row r="462" customFormat="false" ht="13.5" hidden="false" customHeight="false" outlineLevel="0" collapsed="false">
      <c r="A462" s="0" t="s">
        <v>1114</v>
      </c>
      <c r="B462" s="0" t="s">
        <v>1115</v>
      </c>
      <c r="C462" s="0" t="s">
        <v>15</v>
      </c>
      <c r="D462" s="0" t="s">
        <v>19</v>
      </c>
      <c r="E462" s="0" t="s">
        <v>1116</v>
      </c>
    </row>
    <row r="463" customFormat="false" ht="13.5" hidden="false" customHeight="false" outlineLevel="0" collapsed="false">
      <c r="A463" s="0" t="s">
        <v>1117</v>
      </c>
      <c r="B463" s="0" t="s">
        <v>1118</v>
      </c>
      <c r="C463" s="0" t="s">
        <v>15</v>
      </c>
      <c r="D463" s="0" t="s">
        <v>19</v>
      </c>
      <c r="E463" s="0" t="s">
        <v>1119</v>
      </c>
    </row>
    <row r="464" customFormat="false" ht="13.5" hidden="false" customHeight="false" outlineLevel="0" collapsed="false">
      <c r="A464" s="0" t="s">
        <v>1120</v>
      </c>
      <c r="B464" s="0" t="s">
        <v>1121</v>
      </c>
      <c r="C464" s="0" t="s">
        <v>15</v>
      </c>
      <c r="D464" s="0" t="s">
        <v>19</v>
      </c>
      <c r="E464" s="0" t="s">
        <v>679</v>
      </c>
    </row>
    <row r="465" customFormat="false" ht="13.5" hidden="false" customHeight="false" outlineLevel="0" collapsed="false">
      <c r="A465" s="0" t="s">
        <v>1122</v>
      </c>
      <c r="B465" s="0" t="s">
        <v>1123</v>
      </c>
      <c r="C465" s="0" t="s">
        <v>15</v>
      </c>
      <c r="D465" s="0" t="s">
        <v>19</v>
      </c>
      <c r="E465" s="0" t="s">
        <v>200</v>
      </c>
    </row>
    <row r="466" customFormat="false" ht="13.5" hidden="false" customHeight="false" outlineLevel="0" collapsed="false">
      <c r="A466" s="0" t="s">
        <v>1124</v>
      </c>
      <c r="B466" s="0" t="s">
        <v>1125</v>
      </c>
      <c r="C466" s="0" t="s">
        <v>15</v>
      </c>
      <c r="D466" s="0" t="s">
        <v>19</v>
      </c>
      <c r="E466" s="0" t="s">
        <v>200</v>
      </c>
    </row>
    <row r="467" customFormat="false" ht="13.5" hidden="false" customHeight="false" outlineLevel="0" collapsed="false">
      <c r="A467" s="0" t="s">
        <v>1126</v>
      </c>
      <c r="B467" s="0" t="s">
        <v>1127</v>
      </c>
      <c r="C467" s="0" t="s">
        <v>15</v>
      </c>
      <c r="D467" s="0" t="s">
        <v>19</v>
      </c>
      <c r="E467" s="0" t="s">
        <v>32</v>
      </c>
    </row>
    <row r="468" customFormat="false" ht="13.5" hidden="false" customHeight="false" outlineLevel="0" collapsed="false">
      <c r="A468" s="0" t="s">
        <v>1128</v>
      </c>
      <c r="B468" s="0" t="s">
        <v>1129</v>
      </c>
      <c r="C468" s="0" t="s">
        <v>15</v>
      </c>
      <c r="D468" s="0" t="s">
        <v>19</v>
      </c>
      <c r="E468" s="0" t="s">
        <v>200</v>
      </c>
    </row>
    <row r="469" customFormat="false" ht="13.5" hidden="false" customHeight="false" outlineLevel="0" collapsed="false">
      <c r="A469" s="0" t="s">
        <v>1130</v>
      </c>
      <c r="B469" s="0" t="s">
        <v>1131</v>
      </c>
      <c r="C469" s="0" t="s">
        <v>15</v>
      </c>
      <c r="D469" s="0" t="s">
        <v>19</v>
      </c>
      <c r="E469" s="0" t="s">
        <v>150</v>
      </c>
    </row>
    <row r="470" customFormat="false" ht="13.5" hidden="false" customHeight="false" outlineLevel="0" collapsed="false">
      <c r="A470" s="0" t="s">
        <v>1132</v>
      </c>
      <c r="B470" s="0" t="s">
        <v>1133</v>
      </c>
      <c r="C470" s="0" t="s">
        <v>15</v>
      </c>
      <c r="D470" s="0" t="s">
        <v>19</v>
      </c>
      <c r="E470" s="0" t="s">
        <v>1134</v>
      </c>
    </row>
    <row r="471" customFormat="false" ht="13.5" hidden="false" customHeight="false" outlineLevel="0" collapsed="false">
      <c r="A471" s="0" t="s">
        <v>1135</v>
      </c>
      <c r="B471" s="0" t="s">
        <v>1136</v>
      </c>
      <c r="C471" s="0" t="s">
        <v>15</v>
      </c>
      <c r="D471" s="0" t="s">
        <v>19</v>
      </c>
      <c r="E471" s="0" t="s">
        <v>47</v>
      </c>
    </row>
    <row r="472" customFormat="false" ht="13.5" hidden="false" customHeight="false" outlineLevel="0" collapsed="false">
      <c r="A472" s="0" t="s">
        <v>1137</v>
      </c>
      <c r="B472" s="0" t="s">
        <v>1138</v>
      </c>
      <c r="C472" s="0" t="s">
        <v>15</v>
      </c>
      <c r="D472" s="0" t="s">
        <v>19</v>
      </c>
      <c r="E472" s="0" t="s">
        <v>153</v>
      </c>
      <c r="F472" s="0" t="s">
        <v>1139</v>
      </c>
    </row>
    <row r="473" customFormat="false" ht="13.5" hidden="false" customHeight="false" outlineLevel="0" collapsed="false">
      <c r="A473" s="0" t="s">
        <v>1140</v>
      </c>
      <c r="B473" s="0" t="s">
        <v>1141</v>
      </c>
      <c r="C473" s="0" t="s">
        <v>15</v>
      </c>
      <c r="D473" s="0" t="s">
        <v>19</v>
      </c>
      <c r="E473" s="0" t="s">
        <v>410</v>
      </c>
    </row>
    <row r="474" customFormat="false" ht="13.5" hidden="false" customHeight="false" outlineLevel="0" collapsed="false">
      <c r="A474" s="0" t="s">
        <v>1142</v>
      </c>
      <c r="B474" s="0" t="s">
        <v>1143</v>
      </c>
      <c r="C474" s="0" t="s">
        <v>15</v>
      </c>
      <c r="D474" s="0" t="s">
        <v>19</v>
      </c>
      <c r="E474" s="0" t="s">
        <v>1134</v>
      </c>
    </row>
    <row r="475" customFormat="false" ht="13.5" hidden="false" customHeight="false" outlineLevel="0" collapsed="false">
      <c r="A475" s="0" t="s">
        <v>1144</v>
      </c>
      <c r="B475" s="0" t="s">
        <v>1145</v>
      </c>
      <c r="C475" s="0" t="s">
        <v>15</v>
      </c>
      <c r="D475" s="0" t="s">
        <v>19</v>
      </c>
      <c r="E475" s="0" t="s">
        <v>98</v>
      </c>
    </row>
    <row r="476" customFormat="false" ht="13.5" hidden="false" customHeight="false" outlineLevel="0" collapsed="false">
      <c r="A476" s="0" t="s">
        <v>1146</v>
      </c>
      <c r="B476" s="0" t="s">
        <v>1147</v>
      </c>
      <c r="C476" s="0" t="s">
        <v>15</v>
      </c>
      <c r="D476" s="0" t="s">
        <v>19</v>
      </c>
      <c r="E476" s="0" t="s">
        <v>1148</v>
      </c>
    </row>
    <row r="477" customFormat="false" ht="13.5" hidden="false" customHeight="false" outlineLevel="0" collapsed="false">
      <c r="A477" s="0" t="s">
        <v>1149</v>
      </c>
      <c r="B477" s="0" t="s">
        <v>1150</v>
      </c>
      <c r="C477" s="0" t="s">
        <v>15</v>
      </c>
      <c r="D477" s="0" t="s">
        <v>19</v>
      </c>
      <c r="E477" s="0" t="s">
        <v>1151</v>
      </c>
      <c r="F477" s="0" t="s">
        <v>1152</v>
      </c>
    </row>
    <row r="478" customFormat="false" ht="13.5" hidden="false" customHeight="false" outlineLevel="0" collapsed="false">
      <c r="A478" s="0" t="s">
        <v>1153</v>
      </c>
      <c r="B478" s="0" t="s">
        <v>1037</v>
      </c>
      <c r="C478" s="0" t="s">
        <v>15</v>
      </c>
      <c r="D478" s="0" t="s">
        <v>19</v>
      </c>
      <c r="E478" s="0" t="s">
        <v>695</v>
      </c>
    </row>
    <row r="479" customFormat="false" ht="13.5" hidden="false" customHeight="false" outlineLevel="0" collapsed="false">
      <c r="A479" s="0" t="s">
        <v>1154</v>
      </c>
      <c r="B479" s="0" t="s">
        <v>1155</v>
      </c>
      <c r="C479" s="0" t="s">
        <v>15</v>
      </c>
      <c r="D479" s="0" t="s">
        <v>19</v>
      </c>
      <c r="E479" s="0" t="s">
        <v>1151</v>
      </c>
    </row>
    <row r="480" customFormat="false" ht="13.5" hidden="false" customHeight="false" outlineLevel="0" collapsed="false">
      <c r="A480" s="0" t="s">
        <v>1156</v>
      </c>
      <c r="B480" s="0" t="s">
        <v>1157</v>
      </c>
      <c r="C480" s="0" t="s">
        <v>15</v>
      </c>
      <c r="D480" s="0" t="s">
        <v>19</v>
      </c>
      <c r="E480" s="0" t="s">
        <v>1158</v>
      </c>
    </row>
    <row r="481" customFormat="false" ht="13.5" hidden="false" customHeight="false" outlineLevel="0" collapsed="false">
      <c r="A481" s="0" t="s">
        <v>1159</v>
      </c>
      <c r="B481" s="0" t="s">
        <v>1160</v>
      </c>
      <c r="C481" s="0" t="s">
        <v>15</v>
      </c>
      <c r="D481" s="0" t="s">
        <v>19</v>
      </c>
      <c r="E481" s="0" t="s">
        <v>1161</v>
      </c>
    </row>
    <row r="482" customFormat="false" ht="13.5" hidden="false" customHeight="false" outlineLevel="0" collapsed="false">
      <c r="A482" s="0" t="s">
        <v>1162</v>
      </c>
      <c r="B482" s="0" t="s">
        <v>1163</v>
      </c>
      <c r="C482" s="0" t="s">
        <v>15</v>
      </c>
      <c r="D482" s="0" t="s">
        <v>19</v>
      </c>
      <c r="E482" s="0" t="s">
        <v>47</v>
      </c>
    </row>
    <row r="483" customFormat="false" ht="13.5" hidden="false" customHeight="false" outlineLevel="0" collapsed="false">
      <c r="A483" s="0" t="s">
        <v>1164</v>
      </c>
      <c r="B483" s="0" t="s">
        <v>1165</v>
      </c>
      <c r="C483" s="0" t="s">
        <v>15</v>
      </c>
      <c r="D483" s="0" t="s">
        <v>19</v>
      </c>
      <c r="E483" s="0" t="s">
        <v>1166</v>
      </c>
    </row>
    <row r="484" customFormat="false" ht="13.5" hidden="false" customHeight="false" outlineLevel="0" collapsed="false">
      <c r="A484" s="0" t="s">
        <v>1167</v>
      </c>
      <c r="B484" s="0" t="s">
        <v>1168</v>
      </c>
      <c r="C484" s="0" t="s">
        <v>15</v>
      </c>
      <c r="D484" s="0" t="s">
        <v>19</v>
      </c>
      <c r="E484" s="0" t="s">
        <v>263</v>
      </c>
    </row>
    <row r="485" customFormat="false" ht="13.5" hidden="false" customHeight="false" outlineLevel="0" collapsed="false">
      <c r="A485" s="0" t="s">
        <v>1169</v>
      </c>
      <c r="B485" s="0" t="s">
        <v>1170</v>
      </c>
      <c r="C485" s="0" t="s">
        <v>15</v>
      </c>
      <c r="D485" s="0" t="s">
        <v>19</v>
      </c>
      <c r="E485" s="0" t="s">
        <v>98</v>
      </c>
    </row>
    <row r="486" customFormat="false" ht="13.5" hidden="false" customHeight="false" outlineLevel="0" collapsed="false">
      <c r="A486" s="0" t="s">
        <v>1171</v>
      </c>
      <c r="B486" s="0" t="s">
        <v>1172</v>
      </c>
      <c r="C486" s="0" t="s">
        <v>15</v>
      </c>
      <c r="D486" s="0" t="s">
        <v>19</v>
      </c>
      <c r="E486" s="0" t="s">
        <v>98</v>
      </c>
    </row>
    <row r="487" customFormat="false" ht="13.5" hidden="false" customHeight="false" outlineLevel="0" collapsed="false">
      <c r="A487" s="0" t="s">
        <v>1173</v>
      </c>
      <c r="B487" s="0" t="s">
        <v>1174</v>
      </c>
      <c r="C487" s="0" t="s">
        <v>15</v>
      </c>
      <c r="D487" s="0" t="s">
        <v>19</v>
      </c>
      <c r="E487" s="0" t="s">
        <v>705</v>
      </c>
    </row>
    <row r="488" customFormat="false" ht="13.5" hidden="false" customHeight="false" outlineLevel="0" collapsed="false">
      <c r="A488" s="0" t="s">
        <v>1175</v>
      </c>
      <c r="B488" s="0" t="s">
        <v>1176</v>
      </c>
      <c r="C488" s="0" t="s">
        <v>15</v>
      </c>
      <c r="D488" s="0" t="s">
        <v>19</v>
      </c>
      <c r="E488" s="0" t="s">
        <v>47</v>
      </c>
    </row>
    <row r="489" customFormat="false" ht="13.5" hidden="false" customHeight="false" outlineLevel="0" collapsed="false">
      <c r="A489" s="0" t="s">
        <v>1177</v>
      </c>
      <c r="B489" s="0" t="s">
        <v>1178</v>
      </c>
      <c r="C489" s="0" t="s">
        <v>15</v>
      </c>
      <c r="D489" s="0" t="s">
        <v>19</v>
      </c>
      <c r="E489" s="0" t="s">
        <v>783</v>
      </c>
    </row>
    <row r="490" customFormat="false" ht="13.5" hidden="false" customHeight="false" outlineLevel="0" collapsed="false">
      <c r="A490" s="0" t="s">
        <v>1179</v>
      </c>
      <c r="B490" s="0" t="s">
        <v>1180</v>
      </c>
      <c r="C490" s="0" t="s">
        <v>15</v>
      </c>
      <c r="D490" s="0" t="s">
        <v>19</v>
      </c>
      <c r="E490" s="0" t="s">
        <v>122</v>
      </c>
    </row>
    <row r="491" customFormat="false" ht="13.5" hidden="false" customHeight="false" outlineLevel="0" collapsed="false">
      <c r="A491" s="0" t="s">
        <v>1181</v>
      </c>
      <c r="B491" s="0" t="s">
        <v>1182</v>
      </c>
      <c r="C491" s="0" t="s">
        <v>15</v>
      </c>
      <c r="D491" s="0" t="s">
        <v>19</v>
      </c>
      <c r="E491" s="0" t="s">
        <v>200</v>
      </c>
    </row>
    <row r="492" customFormat="false" ht="13.5" hidden="false" customHeight="false" outlineLevel="0" collapsed="false">
      <c r="A492" s="0" t="s">
        <v>1183</v>
      </c>
      <c r="B492" s="0" t="s">
        <v>1184</v>
      </c>
      <c r="C492" s="0" t="s">
        <v>15</v>
      </c>
      <c r="D492" s="0" t="s">
        <v>19</v>
      </c>
      <c r="E492" s="0" t="s">
        <v>186</v>
      </c>
    </row>
    <row r="493" customFormat="false" ht="13.5" hidden="false" customHeight="false" outlineLevel="0" collapsed="false">
      <c r="A493" s="0" t="s">
        <v>1185</v>
      </c>
      <c r="B493" s="0" t="s">
        <v>1186</v>
      </c>
      <c r="C493" s="0" t="s">
        <v>15</v>
      </c>
      <c r="D493" s="0" t="s">
        <v>19</v>
      </c>
      <c r="E493" s="0" t="s">
        <v>47</v>
      </c>
    </row>
    <row r="494" customFormat="false" ht="13.5" hidden="false" customHeight="false" outlineLevel="0" collapsed="false">
      <c r="A494" s="0" t="s">
        <v>1187</v>
      </c>
      <c r="B494" s="0" t="s">
        <v>1188</v>
      </c>
      <c r="C494" s="0" t="s">
        <v>15</v>
      </c>
      <c r="D494" s="0" t="s">
        <v>19</v>
      </c>
      <c r="E494" s="0" t="s">
        <v>98</v>
      </c>
    </row>
    <row r="495" customFormat="false" ht="13.5" hidden="false" customHeight="false" outlineLevel="0" collapsed="false">
      <c r="A495" s="0" t="s">
        <v>1189</v>
      </c>
      <c r="B495" s="0" t="s">
        <v>1190</v>
      </c>
      <c r="C495" s="0" t="s">
        <v>15</v>
      </c>
      <c r="D495" s="0" t="s">
        <v>19</v>
      </c>
      <c r="E495" s="0" t="s">
        <v>1191</v>
      </c>
    </row>
    <row r="496" customFormat="false" ht="13.5" hidden="false" customHeight="false" outlineLevel="0" collapsed="false">
      <c r="A496" s="0" t="s">
        <v>1192</v>
      </c>
      <c r="B496" s="0" t="s">
        <v>1193</v>
      </c>
      <c r="C496" s="0" t="s">
        <v>15</v>
      </c>
      <c r="D496" s="0" t="s">
        <v>19</v>
      </c>
      <c r="E496" s="0" t="s">
        <v>53</v>
      </c>
    </row>
    <row r="497" customFormat="false" ht="13.5" hidden="false" customHeight="false" outlineLevel="0" collapsed="false">
      <c r="A497" s="0" t="s">
        <v>1194</v>
      </c>
      <c r="B497" s="0" t="s">
        <v>1195</v>
      </c>
      <c r="C497" s="0" t="s">
        <v>15</v>
      </c>
      <c r="D497" s="0" t="s">
        <v>19</v>
      </c>
      <c r="E497" s="0" t="s">
        <v>47</v>
      </c>
    </row>
    <row r="498" customFormat="false" ht="13.5" hidden="false" customHeight="false" outlineLevel="0" collapsed="false">
      <c r="A498" s="0" t="s">
        <v>1196</v>
      </c>
      <c r="B498" s="0" t="s">
        <v>1197</v>
      </c>
      <c r="C498" s="0" t="s">
        <v>15</v>
      </c>
      <c r="D498" s="0" t="s">
        <v>19</v>
      </c>
      <c r="E498" s="0" t="s">
        <v>1198</v>
      </c>
    </row>
    <row r="499" customFormat="false" ht="13.5" hidden="false" customHeight="false" outlineLevel="0" collapsed="false">
      <c r="A499" s="0" t="s">
        <v>1199</v>
      </c>
      <c r="B499" s="0" t="s">
        <v>1200</v>
      </c>
      <c r="C499" s="0" t="s">
        <v>15</v>
      </c>
      <c r="D499" s="0" t="s">
        <v>19</v>
      </c>
      <c r="E499" s="0" t="s">
        <v>98</v>
      </c>
    </row>
    <row r="500" customFormat="false" ht="13.5" hidden="false" customHeight="false" outlineLevel="0" collapsed="false">
      <c r="A500" s="0" t="s">
        <v>1201</v>
      </c>
      <c r="B500" s="0" t="s">
        <v>1202</v>
      </c>
      <c r="C500" s="0" t="s">
        <v>15</v>
      </c>
      <c r="D500" s="0" t="s">
        <v>19</v>
      </c>
      <c r="E500" s="0" t="s">
        <v>47</v>
      </c>
    </row>
    <row r="501" customFormat="false" ht="13.5" hidden="false" customHeight="false" outlineLevel="0" collapsed="false">
      <c r="A501" s="0" t="s">
        <v>1203</v>
      </c>
      <c r="B501" s="0" t="s">
        <v>1204</v>
      </c>
      <c r="C501" s="0" t="s">
        <v>15</v>
      </c>
      <c r="D501" s="0" t="s">
        <v>19</v>
      </c>
      <c r="E501" s="0" t="s">
        <v>98</v>
      </c>
    </row>
    <row r="502" customFormat="false" ht="13.5" hidden="false" customHeight="false" outlineLevel="0" collapsed="false">
      <c r="A502" s="0" t="s">
        <v>1205</v>
      </c>
      <c r="B502" s="0" t="s">
        <v>1206</v>
      </c>
      <c r="C502" s="0" t="s">
        <v>15</v>
      </c>
      <c r="D502" s="0" t="s">
        <v>19</v>
      </c>
      <c r="E502" s="0" t="s">
        <v>695</v>
      </c>
    </row>
    <row r="503" customFormat="false" ht="13.5" hidden="false" customHeight="false" outlineLevel="0" collapsed="false">
      <c r="A503" s="0" t="s">
        <v>1207</v>
      </c>
      <c r="B503" s="0" t="s">
        <v>1208</v>
      </c>
      <c r="C503" s="0" t="s">
        <v>15</v>
      </c>
      <c r="D503" s="0" t="s">
        <v>19</v>
      </c>
      <c r="E503" s="0" t="s">
        <v>1209</v>
      </c>
    </row>
    <row r="504" customFormat="false" ht="13.5" hidden="false" customHeight="false" outlineLevel="0" collapsed="false">
      <c r="A504" s="0" t="s">
        <v>1210</v>
      </c>
      <c r="B504" s="0" t="s">
        <v>1211</v>
      </c>
      <c r="C504" s="0" t="s">
        <v>15</v>
      </c>
      <c r="D504" s="0" t="s">
        <v>19</v>
      </c>
      <c r="E504" s="0" t="s">
        <v>98</v>
      </c>
    </row>
    <row r="505" customFormat="false" ht="13.5" hidden="false" customHeight="false" outlineLevel="0" collapsed="false">
      <c r="A505" s="0" t="s">
        <v>1212</v>
      </c>
      <c r="B505" s="0" t="s">
        <v>1213</v>
      </c>
      <c r="C505" s="0" t="s">
        <v>15</v>
      </c>
      <c r="D505" s="0" t="s">
        <v>19</v>
      </c>
      <c r="E505" s="0" t="s">
        <v>1214</v>
      </c>
    </row>
    <row r="506" customFormat="false" ht="13.5" hidden="false" customHeight="false" outlineLevel="0" collapsed="false">
      <c r="A506" s="0" t="s">
        <v>1215</v>
      </c>
      <c r="B506" s="0" t="s">
        <v>1216</v>
      </c>
      <c r="C506" s="0" t="s">
        <v>15</v>
      </c>
      <c r="D506" s="0" t="s">
        <v>19</v>
      </c>
      <c r="E506" s="0" t="s">
        <v>1217</v>
      </c>
    </row>
    <row r="507" customFormat="false" ht="13.5" hidden="false" customHeight="false" outlineLevel="0" collapsed="false">
      <c r="A507" s="0" t="s">
        <v>1218</v>
      </c>
      <c r="B507" s="0" t="s">
        <v>1219</v>
      </c>
      <c r="C507" s="0" t="s">
        <v>15</v>
      </c>
      <c r="D507" s="0" t="s">
        <v>19</v>
      </c>
      <c r="E507" s="0" t="s">
        <v>1023</v>
      </c>
    </row>
    <row r="508" customFormat="false" ht="13.5" hidden="false" customHeight="false" outlineLevel="0" collapsed="false">
      <c r="A508" s="0" t="s">
        <v>1220</v>
      </c>
      <c r="B508" s="0" t="s">
        <v>1221</v>
      </c>
      <c r="C508" s="0" t="s">
        <v>15</v>
      </c>
      <c r="D508" s="0" t="s">
        <v>19</v>
      </c>
      <c r="E508" s="0" t="s">
        <v>655</v>
      </c>
    </row>
    <row r="509" customFormat="false" ht="13.5" hidden="false" customHeight="false" outlineLevel="0" collapsed="false">
      <c r="A509" s="0" t="s">
        <v>1222</v>
      </c>
      <c r="B509" s="0" t="s">
        <v>1223</v>
      </c>
      <c r="C509" s="0" t="s">
        <v>15</v>
      </c>
      <c r="D509" s="0" t="s">
        <v>19</v>
      </c>
      <c r="E509" s="0" t="s">
        <v>695</v>
      </c>
    </row>
    <row r="510" customFormat="false" ht="13.5" hidden="false" customHeight="false" outlineLevel="0" collapsed="false">
      <c r="A510" s="0" t="s">
        <v>1224</v>
      </c>
      <c r="B510" s="0" t="s">
        <v>1225</v>
      </c>
      <c r="C510" s="0" t="s">
        <v>15</v>
      </c>
      <c r="D510" s="0" t="s">
        <v>19</v>
      </c>
      <c r="E510" s="0" t="s">
        <v>32</v>
      </c>
    </row>
    <row r="511" customFormat="false" ht="13.5" hidden="false" customHeight="false" outlineLevel="0" collapsed="false">
      <c r="A511" s="0" t="s">
        <v>1226</v>
      </c>
      <c r="B511" s="0" t="s">
        <v>615</v>
      </c>
      <c r="C511" s="0" t="s">
        <v>15</v>
      </c>
      <c r="D511" s="0" t="s">
        <v>19</v>
      </c>
      <c r="E511" s="0" t="s">
        <v>1227</v>
      </c>
    </row>
    <row r="512" customFormat="false" ht="13.5" hidden="false" customHeight="false" outlineLevel="0" collapsed="false">
      <c r="A512" s="0" t="s">
        <v>1228</v>
      </c>
      <c r="B512" s="0" t="s">
        <v>1229</v>
      </c>
      <c r="C512" s="0" t="s">
        <v>15</v>
      </c>
      <c r="D512" s="0" t="s">
        <v>19</v>
      </c>
      <c r="E512" s="0" t="s">
        <v>882</v>
      </c>
    </row>
    <row r="513" customFormat="false" ht="13.5" hidden="false" customHeight="false" outlineLevel="0" collapsed="false">
      <c r="A513" s="0" t="s">
        <v>1230</v>
      </c>
      <c r="B513" s="0" t="s">
        <v>799</v>
      </c>
      <c r="C513" s="0" t="s">
        <v>15</v>
      </c>
      <c r="D513" s="0" t="s">
        <v>19</v>
      </c>
      <c r="E513" s="0" t="s">
        <v>47</v>
      </c>
    </row>
    <row r="514" customFormat="false" ht="13.5" hidden="false" customHeight="false" outlineLevel="0" collapsed="false">
      <c r="A514" s="0" t="s">
        <v>1231</v>
      </c>
      <c r="B514" s="0" t="s">
        <v>1232</v>
      </c>
      <c r="C514" s="0" t="s">
        <v>15</v>
      </c>
      <c r="D514" s="0" t="s">
        <v>19</v>
      </c>
      <c r="E514" s="0" t="s">
        <v>53</v>
      </c>
    </row>
    <row r="515" customFormat="false" ht="13.5" hidden="false" customHeight="false" outlineLevel="0" collapsed="false">
      <c r="A515" s="0" t="s">
        <v>1233</v>
      </c>
      <c r="B515" s="0" t="s">
        <v>1234</v>
      </c>
      <c r="C515" s="0" t="s">
        <v>15</v>
      </c>
      <c r="D515" s="0" t="s">
        <v>19</v>
      </c>
      <c r="E515" s="0" t="s">
        <v>200</v>
      </c>
    </row>
    <row r="516" customFormat="false" ht="13.5" hidden="false" customHeight="false" outlineLevel="0" collapsed="false">
      <c r="A516" s="0" t="s">
        <v>1235</v>
      </c>
      <c r="B516" s="0" t="s">
        <v>1236</v>
      </c>
      <c r="C516" s="0" t="s">
        <v>15</v>
      </c>
      <c r="D516" s="0" t="s">
        <v>19</v>
      </c>
      <c r="E516" s="0" t="s">
        <v>32</v>
      </c>
    </row>
    <row r="517" customFormat="false" ht="13.5" hidden="false" customHeight="false" outlineLevel="0" collapsed="false">
      <c r="A517" s="0" t="s">
        <v>1237</v>
      </c>
      <c r="B517" s="0" t="s">
        <v>1238</v>
      </c>
      <c r="C517" s="0" t="s">
        <v>15</v>
      </c>
      <c r="D517" s="0" t="s">
        <v>19</v>
      </c>
      <c r="E517" s="0" t="s">
        <v>348</v>
      </c>
    </row>
    <row r="518" customFormat="false" ht="13.5" hidden="false" customHeight="false" outlineLevel="0" collapsed="false">
      <c r="A518" s="0" t="s">
        <v>1239</v>
      </c>
      <c r="B518" s="0" t="s">
        <v>1240</v>
      </c>
      <c r="C518" s="0" t="s">
        <v>15</v>
      </c>
      <c r="D518" s="0" t="s">
        <v>19</v>
      </c>
      <c r="E518" s="0" t="s">
        <v>98</v>
      </c>
    </row>
    <row r="519" customFormat="false" ht="13.5" hidden="false" customHeight="false" outlineLevel="0" collapsed="false">
      <c r="A519" s="0" t="s">
        <v>1241</v>
      </c>
      <c r="B519" s="0" t="s">
        <v>1242</v>
      </c>
      <c r="C519" s="0" t="s">
        <v>15</v>
      </c>
      <c r="D519" s="0" t="s">
        <v>19</v>
      </c>
      <c r="E519" s="0" t="s">
        <v>1243</v>
      </c>
    </row>
    <row r="520" customFormat="false" ht="13.5" hidden="false" customHeight="false" outlineLevel="0" collapsed="false">
      <c r="A520" s="0" t="s">
        <v>1244</v>
      </c>
      <c r="B520" s="0" t="s">
        <v>1245</v>
      </c>
      <c r="C520" s="0" t="s">
        <v>15</v>
      </c>
      <c r="D520" s="0" t="s">
        <v>19</v>
      </c>
      <c r="E520" s="0" t="s">
        <v>348</v>
      </c>
    </row>
    <row r="521" customFormat="false" ht="13.5" hidden="false" customHeight="false" outlineLevel="0" collapsed="false">
      <c r="A521" s="0" t="s">
        <v>1246</v>
      </c>
      <c r="B521" s="0" t="s">
        <v>1247</v>
      </c>
      <c r="C521" s="0" t="s">
        <v>15</v>
      </c>
      <c r="D521" s="0" t="s">
        <v>19</v>
      </c>
      <c r="E521" s="0" t="s">
        <v>32</v>
      </c>
    </row>
    <row r="522" customFormat="false" ht="13.5" hidden="false" customHeight="false" outlineLevel="0" collapsed="false">
      <c r="A522" s="0" t="s">
        <v>1248</v>
      </c>
      <c r="B522" s="0" t="s">
        <v>1249</v>
      </c>
      <c r="C522" s="0" t="s">
        <v>15</v>
      </c>
      <c r="D522" s="0" t="s">
        <v>19</v>
      </c>
      <c r="E522" s="0" t="s">
        <v>695</v>
      </c>
    </row>
    <row r="523" customFormat="false" ht="13.5" hidden="false" customHeight="false" outlineLevel="0" collapsed="false">
      <c r="A523" s="0" t="s">
        <v>1250</v>
      </c>
      <c r="B523" s="0" t="s">
        <v>1195</v>
      </c>
      <c r="C523" s="0" t="s">
        <v>15</v>
      </c>
      <c r="D523" s="0" t="s">
        <v>19</v>
      </c>
      <c r="E523" s="0" t="s">
        <v>348</v>
      </c>
    </row>
    <row r="524" customFormat="false" ht="13.5" hidden="false" customHeight="false" outlineLevel="0" collapsed="false">
      <c r="A524" s="0" t="s">
        <v>1251</v>
      </c>
      <c r="B524" s="0" t="s">
        <v>1252</v>
      </c>
      <c r="C524" s="0" t="s">
        <v>15</v>
      </c>
      <c r="D524" s="0" t="s">
        <v>19</v>
      </c>
      <c r="E524" s="0" t="s">
        <v>1253</v>
      </c>
    </row>
    <row r="525" customFormat="false" ht="13.5" hidden="false" customHeight="false" outlineLevel="0" collapsed="false">
      <c r="A525" s="0" t="s">
        <v>1254</v>
      </c>
      <c r="B525" s="0" t="s">
        <v>1255</v>
      </c>
      <c r="C525" s="0" t="s">
        <v>15</v>
      </c>
      <c r="D525" s="0" t="s">
        <v>19</v>
      </c>
      <c r="E525" s="0" t="s">
        <v>98</v>
      </c>
    </row>
    <row r="526" customFormat="false" ht="13.5" hidden="false" customHeight="false" outlineLevel="0" collapsed="false">
      <c r="A526" s="0" t="s">
        <v>1256</v>
      </c>
      <c r="B526" s="0" t="s">
        <v>1257</v>
      </c>
      <c r="C526" s="0" t="s">
        <v>15</v>
      </c>
      <c r="D526" s="0" t="s">
        <v>19</v>
      </c>
      <c r="E526" s="0" t="s">
        <v>56</v>
      </c>
    </row>
    <row r="527" customFormat="false" ht="13.5" hidden="false" customHeight="false" outlineLevel="0" collapsed="false">
      <c r="A527" s="0" t="s">
        <v>1258</v>
      </c>
      <c r="B527" s="0" t="s">
        <v>1259</v>
      </c>
      <c r="C527" s="0" t="s">
        <v>15</v>
      </c>
      <c r="D527" s="0" t="s">
        <v>19</v>
      </c>
      <c r="E527" s="0" t="s">
        <v>12</v>
      </c>
    </row>
    <row r="528" customFormat="false" ht="13.5" hidden="false" customHeight="false" outlineLevel="0" collapsed="false">
      <c r="A528" s="0" t="s">
        <v>1260</v>
      </c>
      <c r="B528" s="0" t="s">
        <v>1035</v>
      </c>
      <c r="C528" s="0" t="s">
        <v>15</v>
      </c>
      <c r="D528" s="0" t="s">
        <v>19</v>
      </c>
      <c r="E528" s="0" t="s">
        <v>200</v>
      </c>
    </row>
    <row r="529" customFormat="false" ht="13.5" hidden="false" customHeight="false" outlineLevel="0" collapsed="false">
      <c r="A529" s="0" t="s">
        <v>1261</v>
      </c>
      <c r="B529" s="0" t="s">
        <v>1262</v>
      </c>
      <c r="C529" s="0" t="s">
        <v>15</v>
      </c>
      <c r="D529" s="0" t="s">
        <v>19</v>
      </c>
      <c r="E529" s="0" t="s">
        <v>312</v>
      </c>
    </row>
    <row r="530" customFormat="false" ht="13.5" hidden="false" customHeight="false" outlineLevel="0" collapsed="false">
      <c r="A530" s="0" t="s">
        <v>1263</v>
      </c>
      <c r="B530" s="0" t="s">
        <v>1264</v>
      </c>
      <c r="C530" s="0" t="s">
        <v>15</v>
      </c>
      <c r="D530" s="0" t="s">
        <v>19</v>
      </c>
      <c r="E530" s="0" t="s">
        <v>98</v>
      </c>
    </row>
    <row r="531" customFormat="false" ht="13.5" hidden="false" customHeight="false" outlineLevel="0" collapsed="false">
      <c r="A531" s="0" t="s">
        <v>1265</v>
      </c>
      <c r="B531" s="0" t="s">
        <v>1266</v>
      </c>
      <c r="C531" s="0" t="s">
        <v>15</v>
      </c>
      <c r="D531" s="0" t="s">
        <v>19</v>
      </c>
      <c r="E531" s="0" t="s">
        <v>695</v>
      </c>
    </row>
    <row r="532" customFormat="false" ht="13.5" hidden="false" customHeight="false" outlineLevel="0" collapsed="false">
      <c r="A532" s="0" t="s">
        <v>1267</v>
      </c>
      <c r="B532" s="0" t="s">
        <v>1268</v>
      </c>
      <c r="C532" s="0" t="s">
        <v>15</v>
      </c>
      <c r="D532" s="0" t="s">
        <v>19</v>
      </c>
      <c r="E532" s="0" t="s">
        <v>348</v>
      </c>
    </row>
    <row r="533" customFormat="false" ht="13.5" hidden="false" customHeight="false" outlineLevel="0" collapsed="false">
      <c r="A533" s="0" t="s">
        <v>1269</v>
      </c>
      <c r="B533" s="0" t="s">
        <v>1270</v>
      </c>
      <c r="C533" s="0" t="s">
        <v>15</v>
      </c>
      <c r="D533" s="0" t="s">
        <v>19</v>
      </c>
      <c r="E533" s="0" t="s">
        <v>56</v>
      </c>
    </row>
    <row r="534" customFormat="false" ht="13.5" hidden="false" customHeight="false" outlineLevel="0" collapsed="false">
      <c r="A534" s="0" t="s">
        <v>1271</v>
      </c>
      <c r="B534" s="0" t="s">
        <v>1272</v>
      </c>
      <c r="C534" s="0" t="s">
        <v>15</v>
      </c>
      <c r="D534" s="0" t="s">
        <v>19</v>
      </c>
      <c r="E534" s="0" t="s">
        <v>1273</v>
      </c>
    </row>
    <row r="535" customFormat="false" ht="13.5" hidden="false" customHeight="false" outlineLevel="0" collapsed="false">
      <c r="A535" s="0" t="s">
        <v>1274</v>
      </c>
      <c r="B535" s="0" t="s">
        <v>94</v>
      </c>
      <c r="C535" s="0" t="s">
        <v>15</v>
      </c>
      <c r="D535" s="0" t="s">
        <v>19</v>
      </c>
      <c r="E535" s="0" t="s">
        <v>1043</v>
      </c>
    </row>
    <row r="536" customFormat="false" ht="13.5" hidden="false" customHeight="false" outlineLevel="0" collapsed="false">
      <c r="A536" s="0" t="s">
        <v>1275</v>
      </c>
      <c r="B536" s="0" t="s">
        <v>1186</v>
      </c>
      <c r="C536" s="0" t="s">
        <v>15</v>
      </c>
      <c r="D536" s="0" t="s">
        <v>19</v>
      </c>
      <c r="E536" s="0" t="s">
        <v>47</v>
      </c>
    </row>
    <row r="537" customFormat="false" ht="13.5" hidden="false" customHeight="false" outlineLevel="0" collapsed="false">
      <c r="A537" s="0" t="s">
        <v>1276</v>
      </c>
      <c r="B537" s="0" t="s">
        <v>1277</v>
      </c>
      <c r="C537" s="0" t="s">
        <v>15</v>
      </c>
      <c r="D537" s="0" t="s">
        <v>19</v>
      </c>
      <c r="E537" s="0" t="s">
        <v>1278</v>
      </c>
    </row>
    <row r="538" customFormat="false" ht="13.5" hidden="false" customHeight="false" outlineLevel="0" collapsed="false">
      <c r="A538" s="0" t="s">
        <v>1279</v>
      </c>
      <c r="B538" s="0" t="s">
        <v>1280</v>
      </c>
      <c r="C538" s="3" t="s">
        <v>15</v>
      </c>
      <c r="D538" s="0" t="s">
        <v>19</v>
      </c>
      <c r="E538" s="0" t="s">
        <v>98</v>
      </c>
    </row>
    <row r="539" customFormat="false" ht="13.5" hidden="false" customHeight="false" outlineLevel="0" collapsed="false">
      <c r="A539" s="0" t="s">
        <v>1281</v>
      </c>
      <c r="B539" s="0" t="s">
        <v>1282</v>
      </c>
      <c r="C539" s="0" t="s">
        <v>15</v>
      </c>
      <c r="D539" s="0" t="s">
        <v>19</v>
      </c>
      <c r="E539" s="0" t="s">
        <v>1283</v>
      </c>
    </row>
    <row r="540" customFormat="false" ht="13.5" hidden="false" customHeight="false" outlineLevel="0" collapsed="false">
      <c r="A540" s="0" t="s">
        <v>1284</v>
      </c>
      <c r="B540" s="0" t="s">
        <v>1285</v>
      </c>
      <c r="C540" s="0" t="s">
        <v>15</v>
      </c>
      <c r="D540" s="0" t="s">
        <v>19</v>
      </c>
      <c r="E540" s="0" t="s">
        <v>200</v>
      </c>
    </row>
    <row r="541" customFormat="false" ht="13.5" hidden="false" customHeight="false" outlineLevel="0" collapsed="false">
      <c r="A541" s="0" t="s">
        <v>1286</v>
      </c>
      <c r="B541" s="0" t="s">
        <v>1282</v>
      </c>
      <c r="C541" s="0" t="s">
        <v>15</v>
      </c>
      <c r="D541" s="0" t="s">
        <v>19</v>
      </c>
      <c r="E541" s="0" t="s">
        <v>1283</v>
      </c>
    </row>
    <row r="542" customFormat="false" ht="13.5" hidden="false" customHeight="false" outlineLevel="0" collapsed="false">
      <c r="A542" s="0" t="s">
        <v>1287</v>
      </c>
      <c r="B542" s="0" t="s">
        <v>1288</v>
      </c>
      <c r="C542" s="0" t="s">
        <v>15</v>
      </c>
      <c r="D542" s="0" t="s">
        <v>19</v>
      </c>
      <c r="E542" s="0" t="s">
        <v>1289</v>
      </c>
    </row>
    <row r="543" customFormat="false" ht="13.5" hidden="false" customHeight="false" outlineLevel="0" collapsed="false">
      <c r="A543" s="0" t="s">
        <v>1290</v>
      </c>
      <c r="B543" s="0" t="s">
        <v>1291</v>
      </c>
      <c r="C543" s="0" t="s">
        <v>15</v>
      </c>
      <c r="D543" s="0" t="s">
        <v>19</v>
      </c>
      <c r="E543" s="0" t="s">
        <v>1292</v>
      </c>
    </row>
    <row r="544" customFormat="false" ht="13.5" hidden="false" customHeight="false" outlineLevel="0" collapsed="false">
      <c r="A544" s="0" t="s">
        <v>1293</v>
      </c>
      <c r="B544" s="0" t="s">
        <v>1288</v>
      </c>
      <c r="C544" s="0" t="s">
        <v>15</v>
      </c>
      <c r="D544" s="0" t="s">
        <v>19</v>
      </c>
      <c r="E544" s="0" t="s">
        <v>1289</v>
      </c>
    </row>
    <row r="545" customFormat="false" ht="13.5" hidden="false" customHeight="false" outlineLevel="0" collapsed="false">
      <c r="A545" s="0" t="s">
        <v>1294</v>
      </c>
      <c r="B545" s="0" t="s">
        <v>1295</v>
      </c>
      <c r="C545" s="0" t="s">
        <v>15</v>
      </c>
      <c r="D545" s="0" t="s">
        <v>19</v>
      </c>
      <c r="E545" s="0" t="s">
        <v>317</v>
      </c>
    </row>
    <row r="546" customFormat="false" ht="13.5" hidden="false" customHeight="false" outlineLevel="0" collapsed="false">
      <c r="A546" s="0" t="s">
        <v>1296</v>
      </c>
      <c r="B546" s="0" t="s">
        <v>1297</v>
      </c>
      <c r="C546" s="0" t="s">
        <v>15</v>
      </c>
      <c r="D546" s="0" t="s">
        <v>19</v>
      </c>
      <c r="E546" s="0" t="s">
        <v>390</v>
      </c>
    </row>
    <row r="547" customFormat="false" ht="13.5" hidden="false" customHeight="false" outlineLevel="0" collapsed="false">
      <c r="A547" s="0" t="s">
        <v>1298</v>
      </c>
      <c r="B547" s="0" t="s">
        <v>1299</v>
      </c>
      <c r="C547" s="0" t="s">
        <v>15</v>
      </c>
      <c r="D547" s="0" t="s">
        <v>19</v>
      </c>
      <c r="E547" s="0" t="s">
        <v>98</v>
      </c>
    </row>
    <row r="548" customFormat="false" ht="13.5" hidden="false" customHeight="false" outlineLevel="0" collapsed="false">
      <c r="A548" s="0" t="s">
        <v>1300</v>
      </c>
      <c r="B548" s="0" t="s">
        <v>1301</v>
      </c>
      <c r="C548" s="0" t="s">
        <v>15</v>
      </c>
      <c r="D548" s="0" t="s">
        <v>19</v>
      </c>
      <c r="E548" s="0" t="s">
        <v>98</v>
      </c>
    </row>
    <row r="549" customFormat="false" ht="13.5" hidden="false" customHeight="false" outlineLevel="0" collapsed="false">
      <c r="A549" s="0" t="s">
        <v>1302</v>
      </c>
      <c r="B549" s="0" t="s">
        <v>1303</v>
      </c>
      <c r="C549" s="0" t="s">
        <v>15</v>
      </c>
      <c r="D549" s="0" t="s">
        <v>19</v>
      </c>
      <c r="E549" s="0" t="s">
        <v>1289</v>
      </c>
    </row>
    <row r="550" customFormat="false" ht="13.5" hidden="false" customHeight="false" outlineLevel="0" collapsed="false">
      <c r="A550" s="0" t="s">
        <v>1304</v>
      </c>
      <c r="B550" s="0" t="s">
        <v>1305</v>
      </c>
      <c r="C550" s="0" t="s">
        <v>15</v>
      </c>
      <c r="D550" s="0" t="s">
        <v>19</v>
      </c>
      <c r="E550" s="0" t="s">
        <v>150</v>
      </c>
    </row>
    <row r="551" customFormat="false" ht="13.5" hidden="false" customHeight="false" outlineLevel="0" collapsed="false">
      <c r="A551" s="0" t="s">
        <v>1306</v>
      </c>
      <c r="B551" s="0" t="s">
        <v>1307</v>
      </c>
      <c r="C551" s="0" t="s">
        <v>15</v>
      </c>
      <c r="D551" s="0" t="s">
        <v>19</v>
      </c>
      <c r="E551" s="0" t="s">
        <v>1308</v>
      </c>
    </row>
    <row r="552" customFormat="false" ht="13.5" hidden="false" customHeight="false" outlineLevel="0" collapsed="false">
      <c r="A552" s="0" t="s">
        <v>1309</v>
      </c>
      <c r="B552" s="0" t="s">
        <v>1310</v>
      </c>
      <c r="C552" s="0" t="s">
        <v>15</v>
      </c>
      <c r="D552" s="0" t="s">
        <v>19</v>
      </c>
      <c r="E552" s="0" t="s">
        <v>679</v>
      </c>
    </row>
    <row r="553" customFormat="false" ht="13.5" hidden="false" customHeight="false" outlineLevel="0" collapsed="false">
      <c r="A553" s="0" t="s">
        <v>1311</v>
      </c>
      <c r="B553" s="0" t="s">
        <v>1312</v>
      </c>
      <c r="C553" s="0" t="s">
        <v>15</v>
      </c>
      <c r="D553" s="0" t="s">
        <v>19</v>
      </c>
      <c r="E553" s="0" t="s">
        <v>200</v>
      </c>
    </row>
    <row r="554" customFormat="false" ht="13.5" hidden="false" customHeight="false" outlineLevel="0" collapsed="false">
      <c r="A554" s="0" t="s">
        <v>1313</v>
      </c>
      <c r="B554" s="0" t="s">
        <v>1314</v>
      </c>
      <c r="C554" s="0" t="s">
        <v>15</v>
      </c>
      <c r="D554" s="0" t="s">
        <v>19</v>
      </c>
      <c r="E554" s="0" t="s">
        <v>98</v>
      </c>
    </row>
    <row r="555" customFormat="false" ht="13.5" hidden="false" customHeight="false" outlineLevel="0" collapsed="false">
      <c r="A555" s="0" t="s">
        <v>1315</v>
      </c>
      <c r="B555" s="0" t="s">
        <v>1316</v>
      </c>
      <c r="C555" s="0" t="s">
        <v>15</v>
      </c>
      <c r="D555" s="0" t="s">
        <v>19</v>
      </c>
      <c r="E555" s="0" t="s">
        <v>783</v>
      </c>
    </row>
    <row r="556" customFormat="false" ht="13.5" hidden="false" customHeight="false" outlineLevel="0" collapsed="false">
      <c r="A556" s="0" t="s">
        <v>1317</v>
      </c>
      <c r="B556" s="0" t="s">
        <v>1318</v>
      </c>
      <c r="C556" s="0" t="s">
        <v>15</v>
      </c>
      <c r="D556" s="0" t="s">
        <v>19</v>
      </c>
      <c r="E556" s="0" t="s">
        <v>923</v>
      </c>
    </row>
    <row r="557" customFormat="false" ht="13.5" hidden="false" customHeight="false" outlineLevel="0" collapsed="false">
      <c r="A557" s="0" t="s">
        <v>1319</v>
      </c>
      <c r="B557" s="0" t="s">
        <v>1320</v>
      </c>
      <c r="C557" s="0" t="s">
        <v>15</v>
      </c>
      <c r="D557" s="0" t="s">
        <v>19</v>
      </c>
      <c r="E557" s="0" t="s">
        <v>679</v>
      </c>
    </row>
    <row r="558" customFormat="false" ht="13.5" hidden="false" customHeight="false" outlineLevel="0" collapsed="false">
      <c r="A558" s="0" t="s">
        <v>1321</v>
      </c>
      <c r="B558" s="0" t="s">
        <v>1322</v>
      </c>
      <c r="C558" s="0" t="s">
        <v>15</v>
      </c>
      <c r="D558" s="0" t="s">
        <v>19</v>
      </c>
      <c r="E558" s="0" t="s">
        <v>134</v>
      </c>
    </row>
    <row r="559" customFormat="false" ht="13.5" hidden="false" customHeight="false" outlineLevel="0" collapsed="false">
      <c r="A559" s="0" t="s">
        <v>1323</v>
      </c>
      <c r="B559" s="0" t="s">
        <v>1324</v>
      </c>
      <c r="C559" s="0" t="s">
        <v>15</v>
      </c>
      <c r="D559" s="0" t="s">
        <v>19</v>
      </c>
      <c r="E559" s="0" t="s">
        <v>98</v>
      </c>
    </row>
    <row r="560" customFormat="false" ht="13.5" hidden="false" customHeight="false" outlineLevel="0" collapsed="false">
      <c r="A560" s="0" t="s">
        <v>1325</v>
      </c>
      <c r="B560" s="0" t="s">
        <v>1326</v>
      </c>
      <c r="C560" s="0" t="s">
        <v>15</v>
      </c>
      <c r="D560" s="0" t="s">
        <v>19</v>
      </c>
      <c r="E560" s="0" t="s">
        <v>98</v>
      </c>
    </row>
    <row r="561" customFormat="false" ht="13.5" hidden="false" customHeight="false" outlineLevel="0" collapsed="false">
      <c r="A561" s="0" t="s">
        <v>1327</v>
      </c>
      <c r="B561" s="0" t="s">
        <v>1282</v>
      </c>
      <c r="C561" s="0" t="s">
        <v>15</v>
      </c>
      <c r="D561" s="0" t="s">
        <v>19</v>
      </c>
      <c r="E561" s="0" t="s">
        <v>1151</v>
      </c>
    </row>
    <row r="562" customFormat="false" ht="13.5" hidden="false" customHeight="false" outlineLevel="0" collapsed="false">
      <c r="A562" s="0" t="s">
        <v>1328</v>
      </c>
      <c r="B562" s="0" t="s">
        <v>1329</v>
      </c>
      <c r="C562" s="0" t="s">
        <v>15</v>
      </c>
      <c r="D562" s="0" t="s">
        <v>19</v>
      </c>
      <c r="E562" s="0" t="s">
        <v>200</v>
      </c>
    </row>
    <row r="563" customFormat="false" ht="13.5" hidden="false" customHeight="false" outlineLevel="0" collapsed="false">
      <c r="A563" s="0" t="s">
        <v>1330</v>
      </c>
      <c r="B563" s="0" t="s">
        <v>1331</v>
      </c>
      <c r="C563" s="0" t="s">
        <v>15</v>
      </c>
      <c r="D563" s="0" t="s">
        <v>19</v>
      </c>
      <c r="E563" s="0" t="s">
        <v>317</v>
      </c>
    </row>
    <row r="564" customFormat="false" ht="13.5" hidden="false" customHeight="false" outlineLevel="0" collapsed="false">
      <c r="A564" s="0" t="s">
        <v>1332</v>
      </c>
      <c r="B564" s="0" t="s">
        <v>1333</v>
      </c>
      <c r="C564" s="0" t="s">
        <v>15</v>
      </c>
      <c r="D564" s="0" t="s">
        <v>19</v>
      </c>
      <c r="E564" s="0" t="s">
        <v>98</v>
      </c>
    </row>
    <row r="565" customFormat="false" ht="13.5" hidden="false" customHeight="false" outlineLevel="0" collapsed="false">
      <c r="A565" s="0" t="s">
        <v>1334</v>
      </c>
      <c r="B565" s="0" t="s">
        <v>1335</v>
      </c>
      <c r="C565" s="0" t="s">
        <v>15</v>
      </c>
      <c r="D565" s="0" t="s">
        <v>19</v>
      </c>
      <c r="E565" s="0" t="s">
        <v>1336</v>
      </c>
    </row>
    <row r="566" customFormat="false" ht="13.5" hidden="false" customHeight="false" outlineLevel="0" collapsed="false">
      <c r="A566" s="0" t="s">
        <v>1337</v>
      </c>
      <c r="B566" s="0" t="s">
        <v>1338</v>
      </c>
      <c r="C566" s="0" t="s">
        <v>15</v>
      </c>
      <c r="D566" s="0" t="s">
        <v>19</v>
      </c>
      <c r="E566" s="0" t="s">
        <v>200</v>
      </c>
    </row>
    <row r="567" customFormat="false" ht="13.5" hidden="false" customHeight="false" outlineLevel="0" collapsed="false">
      <c r="A567" s="0" t="s">
        <v>1339</v>
      </c>
      <c r="B567" s="0" t="s">
        <v>1340</v>
      </c>
      <c r="C567" s="0" t="s">
        <v>15</v>
      </c>
      <c r="D567" s="0" t="s">
        <v>19</v>
      </c>
      <c r="E567" s="0" t="s">
        <v>98</v>
      </c>
    </row>
    <row r="568" customFormat="false" ht="13.5" hidden="false" customHeight="false" outlineLevel="0" collapsed="false">
      <c r="A568" s="0" t="s">
        <v>1341</v>
      </c>
      <c r="B568" s="0" t="s">
        <v>1342</v>
      </c>
      <c r="C568" s="0" t="s">
        <v>15</v>
      </c>
      <c r="D568" s="0" t="s">
        <v>19</v>
      </c>
      <c r="E568" s="0" t="s">
        <v>307</v>
      </c>
    </row>
    <row r="569" customFormat="false" ht="13.5" hidden="false" customHeight="false" outlineLevel="0" collapsed="false">
      <c r="A569" s="0" t="s">
        <v>1343</v>
      </c>
      <c r="B569" s="0" t="s">
        <v>1344</v>
      </c>
      <c r="C569" s="0" t="s">
        <v>15</v>
      </c>
      <c r="D569" s="0" t="s">
        <v>19</v>
      </c>
      <c r="E569" s="0" t="s">
        <v>98</v>
      </c>
    </row>
    <row r="570" customFormat="false" ht="13.5" hidden="false" customHeight="false" outlineLevel="0" collapsed="false">
      <c r="A570" s="0" t="s">
        <v>1345</v>
      </c>
      <c r="B570" s="0" t="s">
        <v>1346</v>
      </c>
      <c r="C570" s="0" t="s">
        <v>15</v>
      </c>
      <c r="D570" s="0" t="s">
        <v>19</v>
      </c>
      <c r="E570" s="0" t="s">
        <v>200</v>
      </c>
    </row>
    <row r="571" customFormat="false" ht="13.5" hidden="false" customHeight="false" outlineLevel="0" collapsed="false">
      <c r="A571" s="0" t="s">
        <v>1347</v>
      </c>
      <c r="B571" s="0" t="s">
        <v>1348</v>
      </c>
      <c r="C571" s="0" t="s">
        <v>15</v>
      </c>
      <c r="D571" s="0" t="s">
        <v>19</v>
      </c>
      <c r="E571" s="0" t="s">
        <v>1043</v>
      </c>
    </row>
    <row r="572" customFormat="false" ht="13.5" hidden="false" customHeight="false" outlineLevel="0" collapsed="false">
      <c r="A572" s="0" t="s">
        <v>1349</v>
      </c>
      <c r="B572" s="0" t="s">
        <v>1350</v>
      </c>
      <c r="C572" s="0" t="s">
        <v>15</v>
      </c>
      <c r="D572" s="0" t="s">
        <v>19</v>
      </c>
      <c r="E572" s="0" t="s">
        <v>348</v>
      </c>
    </row>
    <row r="573" customFormat="false" ht="13.5" hidden="false" customHeight="false" outlineLevel="0" collapsed="false">
      <c r="A573" s="0" t="s">
        <v>1351</v>
      </c>
      <c r="B573" s="0" t="s">
        <v>1352</v>
      </c>
      <c r="C573" s="0" t="s">
        <v>15</v>
      </c>
      <c r="D573" s="0" t="s">
        <v>19</v>
      </c>
      <c r="E573" s="0" t="s">
        <v>695</v>
      </c>
    </row>
    <row r="574" customFormat="false" ht="13.5" hidden="false" customHeight="false" outlineLevel="0" collapsed="false">
      <c r="A574" s="0" t="s">
        <v>1353</v>
      </c>
      <c r="B574" s="0" t="s">
        <v>1354</v>
      </c>
      <c r="C574" s="0" t="s">
        <v>15</v>
      </c>
      <c r="D574" s="0" t="s">
        <v>19</v>
      </c>
      <c r="E574" s="0" t="s">
        <v>695</v>
      </c>
    </row>
    <row r="575" customFormat="false" ht="13.5" hidden="false" customHeight="false" outlineLevel="0" collapsed="false">
      <c r="A575" s="0" t="s">
        <v>1355</v>
      </c>
      <c r="B575" s="0" t="s">
        <v>1356</v>
      </c>
      <c r="C575" s="0" t="s">
        <v>15</v>
      </c>
      <c r="D575" s="0" t="s">
        <v>19</v>
      </c>
      <c r="E575" s="0" t="s">
        <v>695</v>
      </c>
    </row>
    <row r="576" customFormat="false" ht="13.5" hidden="false" customHeight="false" outlineLevel="0" collapsed="false">
      <c r="A576" s="0" t="s">
        <v>1357</v>
      </c>
      <c r="B576" s="0" t="s">
        <v>1358</v>
      </c>
      <c r="C576" s="0" t="s">
        <v>15</v>
      </c>
      <c r="D576" s="0" t="s">
        <v>19</v>
      </c>
      <c r="E576" s="0" t="s">
        <v>98</v>
      </c>
    </row>
    <row r="577" customFormat="false" ht="13.5" hidden="false" customHeight="false" outlineLevel="0" collapsed="false">
      <c r="A577" s="0" t="s">
        <v>1359</v>
      </c>
      <c r="B577" s="0" t="s">
        <v>1360</v>
      </c>
      <c r="C577" s="0" t="s">
        <v>15</v>
      </c>
      <c r="D577" s="0" t="s">
        <v>19</v>
      </c>
      <c r="E577" s="0" t="s">
        <v>317</v>
      </c>
    </row>
    <row r="578" customFormat="false" ht="13.5" hidden="false" customHeight="false" outlineLevel="0" collapsed="false">
      <c r="A578" s="0" t="s">
        <v>1361</v>
      </c>
      <c r="B578" s="0" t="s">
        <v>1362</v>
      </c>
      <c r="C578" s="0" t="s">
        <v>15</v>
      </c>
      <c r="D578" s="0" t="s">
        <v>19</v>
      </c>
      <c r="E578" s="0" t="s">
        <v>287</v>
      </c>
    </row>
    <row r="579" customFormat="false" ht="13.5" hidden="false" customHeight="false" outlineLevel="0" collapsed="false">
      <c r="A579" s="0" t="s">
        <v>1363</v>
      </c>
      <c r="B579" s="0" t="s">
        <v>1364</v>
      </c>
      <c r="C579" s="0" t="s">
        <v>15</v>
      </c>
      <c r="D579" s="0" t="s">
        <v>19</v>
      </c>
      <c r="E579" s="0" t="s">
        <v>122</v>
      </c>
    </row>
    <row r="580" customFormat="false" ht="13.5" hidden="false" customHeight="false" outlineLevel="0" collapsed="false">
      <c r="A580" s="0" t="s">
        <v>1365</v>
      </c>
      <c r="B580" s="0" t="s">
        <v>1366</v>
      </c>
      <c r="C580" s="0" t="s">
        <v>15</v>
      </c>
      <c r="D580" s="0" t="s">
        <v>19</v>
      </c>
      <c r="E580" s="0" t="s">
        <v>32</v>
      </c>
    </row>
    <row r="581" customFormat="false" ht="13.5" hidden="false" customHeight="false" outlineLevel="0" collapsed="false">
      <c r="A581" s="0" t="s">
        <v>1367</v>
      </c>
      <c r="B581" s="0" t="s">
        <v>1368</v>
      </c>
      <c r="C581" s="0" t="s">
        <v>15</v>
      </c>
      <c r="D581" s="0" t="s">
        <v>19</v>
      </c>
      <c r="E581" s="0" t="s">
        <v>679</v>
      </c>
    </row>
    <row r="582" customFormat="false" ht="13.5" hidden="false" customHeight="false" outlineLevel="0" collapsed="false">
      <c r="A582" s="0" t="s">
        <v>1369</v>
      </c>
      <c r="B582" s="0" t="s">
        <v>1370</v>
      </c>
      <c r="C582" s="0" t="s">
        <v>15</v>
      </c>
      <c r="D582" s="0" t="s">
        <v>19</v>
      </c>
      <c r="E582" s="0" t="s">
        <v>200</v>
      </c>
    </row>
    <row r="583" customFormat="false" ht="13.5" hidden="false" customHeight="false" outlineLevel="0" collapsed="false">
      <c r="A583" s="0" t="s">
        <v>1371</v>
      </c>
      <c r="B583" s="0" t="s">
        <v>1372</v>
      </c>
      <c r="C583" s="0" t="s">
        <v>15</v>
      </c>
      <c r="D583" s="0" t="s">
        <v>19</v>
      </c>
      <c r="E583" s="0" t="s">
        <v>317</v>
      </c>
    </row>
    <row r="584" customFormat="false" ht="13.5" hidden="false" customHeight="false" outlineLevel="0" collapsed="false">
      <c r="A584" s="0" t="s">
        <v>1373</v>
      </c>
      <c r="B584" s="0" t="s">
        <v>1374</v>
      </c>
      <c r="C584" s="0" t="s">
        <v>15</v>
      </c>
      <c r="D584" s="0" t="s">
        <v>19</v>
      </c>
      <c r="E584" s="0" t="s">
        <v>53</v>
      </c>
    </row>
    <row r="585" customFormat="false" ht="13.5" hidden="false" customHeight="false" outlineLevel="0" collapsed="false">
      <c r="A585" s="0" t="s">
        <v>1375</v>
      </c>
      <c r="B585" s="0" t="s">
        <v>1376</v>
      </c>
      <c r="C585" s="0" t="s">
        <v>15</v>
      </c>
      <c r="D585" s="0" t="s">
        <v>19</v>
      </c>
      <c r="E585" s="0" t="s">
        <v>307</v>
      </c>
    </row>
    <row r="586" customFormat="false" ht="13.5" hidden="false" customHeight="false" outlineLevel="0" collapsed="false">
      <c r="A586" s="0" t="s">
        <v>1377</v>
      </c>
      <c r="B586" s="0" t="s">
        <v>1378</v>
      </c>
      <c r="C586" s="0" t="s">
        <v>15</v>
      </c>
      <c r="D586" s="0" t="s">
        <v>19</v>
      </c>
      <c r="E586" s="0" t="s">
        <v>1379</v>
      </c>
    </row>
    <row r="587" customFormat="false" ht="13.5" hidden="false" customHeight="false" outlineLevel="0" collapsed="false">
      <c r="A587" s="0" t="s">
        <v>1380</v>
      </c>
      <c r="B587" s="0" t="s">
        <v>861</v>
      </c>
      <c r="C587" s="0" t="s">
        <v>15</v>
      </c>
      <c r="D587" s="0" t="s">
        <v>19</v>
      </c>
      <c r="E587" s="0" t="s">
        <v>936</v>
      </c>
    </row>
    <row r="588" customFormat="false" ht="13.5" hidden="false" customHeight="false" outlineLevel="0" collapsed="false">
      <c r="A588" s="0" t="s">
        <v>1381</v>
      </c>
      <c r="B588" s="0" t="s">
        <v>1382</v>
      </c>
      <c r="C588" s="0" t="s">
        <v>15</v>
      </c>
      <c r="D588" s="0" t="s">
        <v>19</v>
      </c>
      <c r="E588" s="0" t="s">
        <v>775</v>
      </c>
    </row>
    <row r="589" customFormat="false" ht="13.5" hidden="false" customHeight="false" outlineLevel="0" collapsed="false">
      <c r="A589" s="0" t="s">
        <v>1383</v>
      </c>
      <c r="B589" s="0" t="s">
        <v>1384</v>
      </c>
      <c r="C589" s="0" t="s">
        <v>15</v>
      </c>
      <c r="D589" s="0" t="s">
        <v>19</v>
      </c>
      <c r="E589" s="0" t="s">
        <v>1385</v>
      </c>
    </row>
    <row r="590" customFormat="false" ht="13.5" hidden="false" customHeight="false" outlineLevel="0" collapsed="false">
      <c r="A590" s="0" t="s">
        <v>1386</v>
      </c>
      <c r="B590" s="0" t="s">
        <v>1387</v>
      </c>
      <c r="C590" s="0" t="s">
        <v>15</v>
      </c>
      <c r="D590" s="0" t="s">
        <v>19</v>
      </c>
      <c r="E590" s="0" t="s">
        <v>98</v>
      </c>
    </row>
    <row r="591" customFormat="false" ht="13.5" hidden="false" customHeight="false" outlineLevel="0" collapsed="false">
      <c r="A591" s="0" t="s">
        <v>1388</v>
      </c>
      <c r="B591" s="0" t="s">
        <v>1389</v>
      </c>
      <c r="C591" s="0" t="s">
        <v>15</v>
      </c>
      <c r="D591" s="0" t="s">
        <v>19</v>
      </c>
      <c r="E591" s="0" t="s">
        <v>882</v>
      </c>
    </row>
    <row r="592" customFormat="false" ht="13.5" hidden="false" customHeight="false" outlineLevel="0" collapsed="false">
      <c r="A592" s="0" t="s">
        <v>1390</v>
      </c>
      <c r="B592" s="0" t="s">
        <v>1358</v>
      </c>
      <c r="C592" s="0" t="s">
        <v>15</v>
      </c>
      <c r="D592" s="0" t="s">
        <v>19</v>
      </c>
      <c r="E592" s="0" t="s">
        <v>98</v>
      </c>
    </row>
    <row r="593" customFormat="false" ht="13.5" hidden="false" customHeight="false" outlineLevel="0" collapsed="false">
      <c r="A593" s="0" t="s">
        <v>1391</v>
      </c>
      <c r="B593" s="0" t="s">
        <v>1392</v>
      </c>
      <c r="C593" s="0" t="s">
        <v>15</v>
      </c>
      <c r="D593" s="0" t="s">
        <v>19</v>
      </c>
      <c r="E593" s="0" t="s">
        <v>1393</v>
      </c>
    </row>
    <row r="594" customFormat="false" ht="13.5" hidden="false" customHeight="false" outlineLevel="0" collapsed="false">
      <c r="A594" s="0" t="s">
        <v>1394</v>
      </c>
      <c r="B594" s="0" t="s">
        <v>1395</v>
      </c>
      <c r="C594" s="0" t="s">
        <v>15</v>
      </c>
      <c r="D594" s="0" t="s">
        <v>19</v>
      </c>
      <c r="E594" s="0" t="s">
        <v>1396</v>
      </c>
    </row>
    <row r="595" customFormat="false" ht="13.5" hidden="false" customHeight="false" outlineLevel="0" collapsed="false">
      <c r="A595" s="0" t="s">
        <v>1397</v>
      </c>
      <c r="B595" s="0" t="s">
        <v>1398</v>
      </c>
      <c r="C595" s="0" t="s">
        <v>15</v>
      </c>
      <c r="D595" s="0" t="s">
        <v>19</v>
      </c>
      <c r="E595" s="0" t="s">
        <v>1399</v>
      </c>
    </row>
    <row r="596" customFormat="false" ht="13.5" hidden="false" customHeight="false" outlineLevel="0" collapsed="false">
      <c r="A596" s="0" t="s">
        <v>1400</v>
      </c>
      <c r="B596" s="0" t="s">
        <v>1401</v>
      </c>
      <c r="C596" s="0" t="s">
        <v>15</v>
      </c>
      <c r="D596" s="0" t="s">
        <v>19</v>
      </c>
      <c r="E596" s="0" t="s">
        <v>1119</v>
      </c>
    </row>
    <row r="597" customFormat="false" ht="13.5" hidden="false" customHeight="false" outlineLevel="0" collapsed="false">
      <c r="A597" s="0" t="s">
        <v>1402</v>
      </c>
      <c r="B597" s="0" t="s">
        <v>1403</v>
      </c>
      <c r="C597" s="0" t="s">
        <v>15</v>
      </c>
      <c r="D597" s="0" t="s">
        <v>19</v>
      </c>
      <c r="E597" s="0" t="s">
        <v>390</v>
      </c>
    </row>
    <row r="598" customFormat="false" ht="13.5" hidden="false" customHeight="false" outlineLevel="0" collapsed="false">
      <c r="A598" s="0" t="s">
        <v>1404</v>
      </c>
      <c r="B598" s="0" t="s">
        <v>1405</v>
      </c>
      <c r="C598" s="3" t="s">
        <v>15</v>
      </c>
      <c r="D598" s="0" t="s">
        <v>19</v>
      </c>
      <c r="E598" s="0" t="s">
        <v>56</v>
      </c>
    </row>
    <row r="599" customFormat="false" ht="13.5" hidden="false" customHeight="false" outlineLevel="0" collapsed="false">
      <c r="A599" s="0" t="s">
        <v>1406</v>
      </c>
      <c r="B599" s="0" t="s">
        <v>1407</v>
      </c>
      <c r="C599" s="0" t="s">
        <v>15</v>
      </c>
      <c r="D599" s="0" t="s">
        <v>19</v>
      </c>
      <c r="E599" s="0" t="s">
        <v>200</v>
      </c>
    </row>
    <row r="600" customFormat="false" ht="13.5" hidden="false" customHeight="false" outlineLevel="0" collapsed="false">
      <c r="A600" s="0" t="s">
        <v>1408</v>
      </c>
      <c r="B600" s="0" t="s">
        <v>1409</v>
      </c>
      <c r="C600" s="3" t="s">
        <v>15</v>
      </c>
      <c r="D600" s="0" t="s">
        <v>19</v>
      </c>
      <c r="E600" s="0" t="s">
        <v>98</v>
      </c>
    </row>
    <row r="601" customFormat="false" ht="13.5" hidden="false" customHeight="false" outlineLevel="0" collapsed="false">
      <c r="A601" s="0" t="s">
        <v>1410</v>
      </c>
      <c r="B601" s="0" t="s">
        <v>1411</v>
      </c>
      <c r="C601" s="3" t="s">
        <v>15</v>
      </c>
      <c r="D601" s="0" t="s">
        <v>19</v>
      </c>
      <c r="E601" s="0" t="s">
        <v>98</v>
      </c>
    </row>
    <row r="602" customFormat="false" ht="13.5" hidden="false" customHeight="false" outlineLevel="0" collapsed="false">
      <c r="A602" s="0" t="s">
        <v>1412</v>
      </c>
      <c r="B602" s="0" t="s">
        <v>1413</v>
      </c>
      <c r="C602" s="3" t="s">
        <v>15</v>
      </c>
      <c r="D602" s="0" t="s">
        <v>19</v>
      </c>
      <c r="E602" s="0" t="s">
        <v>1151</v>
      </c>
    </row>
    <row r="603" customFormat="false" ht="13.5" hidden="false" customHeight="false" outlineLevel="0" collapsed="false">
      <c r="A603" s="0" t="s">
        <v>1414</v>
      </c>
      <c r="B603" s="0" t="s">
        <v>1415</v>
      </c>
      <c r="C603" s="3" t="s">
        <v>15</v>
      </c>
      <c r="D603" s="0" t="s">
        <v>19</v>
      </c>
      <c r="E603" s="0" t="s">
        <v>1253</v>
      </c>
    </row>
    <row r="604" customFormat="false" ht="13.5" hidden="false" customHeight="false" outlineLevel="0" collapsed="false">
      <c r="A604" s="0" t="s">
        <v>1416</v>
      </c>
      <c r="B604" s="0" t="s">
        <v>1417</v>
      </c>
      <c r="C604" s="0" t="s">
        <v>15</v>
      </c>
      <c r="D604" s="0" t="s">
        <v>19</v>
      </c>
      <c r="E604" s="0" t="s">
        <v>1418</v>
      </c>
    </row>
    <row r="605" customFormat="false" ht="13.5" hidden="false" customHeight="false" outlineLevel="0" collapsed="false">
      <c r="A605" s="0" t="s">
        <v>1419</v>
      </c>
      <c r="B605" s="0" t="s">
        <v>1420</v>
      </c>
      <c r="C605" s="0" t="s">
        <v>15</v>
      </c>
      <c r="D605" s="0" t="s">
        <v>19</v>
      </c>
      <c r="E605" s="0" t="s">
        <v>1421</v>
      </c>
    </row>
    <row r="606" customFormat="false" ht="13.5" hidden="false" customHeight="false" outlineLevel="0" collapsed="false">
      <c r="A606" s="0" t="s">
        <v>1422</v>
      </c>
      <c r="B606" s="0" t="s">
        <v>1423</v>
      </c>
      <c r="C606" s="0" t="s">
        <v>15</v>
      </c>
      <c r="D606" s="0" t="s">
        <v>19</v>
      </c>
      <c r="E606" s="0" t="s">
        <v>32</v>
      </c>
    </row>
    <row r="607" customFormat="false" ht="13.5" hidden="false" customHeight="false" outlineLevel="0" collapsed="false">
      <c r="A607" s="0" t="s">
        <v>1424</v>
      </c>
      <c r="B607" s="0" t="s">
        <v>1425</v>
      </c>
      <c r="C607" s="0" t="s">
        <v>15</v>
      </c>
      <c r="D607" s="0" t="s">
        <v>19</v>
      </c>
      <c r="E607" s="0" t="s">
        <v>200</v>
      </c>
    </row>
    <row r="608" customFormat="false" ht="13.5" hidden="false" customHeight="false" outlineLevel="0" collapsed="false">
      <c r="A608" s="0" t="s">
        <v>1426</v>
      </c>
      <c r="B608" s="0" t="s">
        <v>1427</v>
      </c>
      <c r="C608" s="3" t="s">
        <v>15</v>
      </c>
      <c r="D608" s="0" t="s">
        <v>19</v>
      </c>
      <c r="E608" s="0" t="s">
        <v>882</v>
      </c>
    </row>
    <row r="609" customFormat="false" ht="13.5" hidden="false" customHeight="false" outlineLevel="0" collapsed="false">
      <c r="A609" s="0" t="s">
        <v>1428</v>
      </c>
      <c r="B609" s="0" t="s">
        <v>1429</v>
      </c>
      <c r="C609" s="3" t="s">
        <v>15</v>
      </c>
      <c r="D609" s="0" t="s">
        <v>19</v>
      </c>
      <c r="E609" s="0" t="s">
        <v>1430</v>
      </c>
    </row>
    <row r="610" customFormat="false" ht="13.5" hidden="false" customHeight="false" outlineLevel="0" collapsed="false">
      <c r="A610" s="0" t="s">
        <v>1431</v>
      </c>
      <c r="B610" s="0" t="s">
        <v>1432</v>
      </c>
      <c r="C610" s="3" t="s">
        <v>15</v>
      </c>
      <c r="D610" s="0" t="s">
        <v>19</v>
      </c>
      <c r="E610" s="0" t="s">
        <v>47</v>
      </c>
    </row>
    <row r="611" customFormat="false" ht="13.5" hidden="false" customHeight="false" outlineLevel="0" collapsed="false">
      <c r="A611" s="0" t="s">
        <v>1433</v>
      </c>
      <c r="B611" s="0" t="s">
        <v>1434</v>
      </c>
      <c r="C611" s="3" t="s">
        <v>15</v>
      </c>
      <c r="D611" s="0" t="s">
        <v>19</v>
      </c>
      <c r="E611" s="0" t="s">
        <v>47</v>
      </c>
    </row>
    <row r="612" customFormat="false" ht="13.5" hidden="false" customHeight="false" outlineLevel="0" collapsed="false">
      <c r="A612" s="0" t="s">
        <v>1435</v>
      </c>
      <c r="B612" s="0" t="s">
        <v>1436</v>
      </c>
      <c r="C612" s="3" t="s">
        <v>15</v>
      </c>
      <c r="D612" s="0" t="s">
        <v>19</v>
      </c>
      <c r="E612" s="0" t="s">
        <v>47</v>
      </c>
    </row>
    <row r="613" customFormat="false" ht="13.5" hidden="false" customHeight="false" outlineLevel="0" collapsed="false">
      <c r="A613" s="0" t="s">
        <v>1437</v>
      </c>
      <c r="B613" s="0" t="s">
        <v>1438</v>
      </c>
      <c r="C613" s="3" t="s">
        <v>15</v>
      </c>
      <c r="D613" s="0" t="s">
        <v>24</v>
      </c>
      <c r="E613" s="0" t="s">
        <v>12</v>
      </c>
    </row>
    <row r="614" customFormat="false" ht="13.5" hidden="false" customHeight="false" outlineLevel="0" collapsed="false">
      <c r="A614" s="0" t="s">
        <v>1439</v>
      </c>
      <c r="B614" s="0" t="s">
        <v>1440</v>
      </c>
      <c r="C614" s="0" t="s">
        <v>15</v>
      </c>
      <c r="D614" s="0" t="s">
        <v>19</v>
      </c>
      <c r="E614" s="0" t="s">
        <v>98</v>
      </c>
    </row>
    <row r="615" customFormat="false" ht="13.5" hidden="false" customHeight="false" outlineLevel="0" collapsed="false">
      <c r="A615" s="0" t="s">
        <v>1441</v>
      </c>
      <c r="B615" s="0" t="s">
        <v>1442</v>
      </c>
      <c r="C615" s="0" t="s">
        <v>15</v>
      </c>
      <c r="D615" s="0" t="s">
        <v>625</v>
      </c>
    </row>
    <row r="616" customFormat="false" ht="13.5" hidden="false" customHeight="false" outlineLevel="0" collapsed="false">
      <c r="A616" s="0" t="s">
        <v>1443</v>
      </c>
      <c r="B616" s="0" t="s">
        <v>1444</v>
      </c>
      <c r="C616" s="0" t="s">
        <v>15</v>
      </c>
      <c r="D616" s="0" t="s">
        <v>19</v>
      </c>
      <c r="E616" s="0" t="s">
        <v>47</v>
      </c>
    </row>
    <row r="617" customFormat="false" ht="13.5" hidden="false" customHeight="false" outlineLevel="0" collapsed="false">
      <c r="A617" s="0" t="s">
        <v>1445</v>
      </c>
      <c r="B617" s="0" t="s">
        <v>1446</v>
      </c>
      <c r="C617" s="0" t="s">
        <v>15</v>
      </c>
      <c r="D617" s="0" t="s">
        <v>19</v>
      </c>
      <c r="E617" s="0" t="s">
        <v>200</v>
      </c>
    </row>
    <row r="618" customFormat="false" ht="13.5" hidden="false" customHeight="false" outlineLevel="0" collapsed="false">
      <c r="A618" s="0" t="s">
        <v>1447</v>
      </c>
      <c r="B618" s="0" t="s">
        <v>1448</v>
      </c>
      <c r="C618" s="0" t="s">
        <v>15</v>
      </c>
      <c r="D618" s="0" t="s">
        <v>19</v>
      </c>
      <c r="E618" s="0" t="s">
        <v>98</v>
      </c>
    </row>
    <row r="619" customFormat="false" ht="13.5" hidden="false" customHeight="false" outlineLevel="0" collapsed="false">
      <c r="A619" s="0" t="s">
        <v>1449</v>
      </c>
      <c r="B619" s="0" t="s">
        <v>1450</v>
      </c>
      <c r="C619" s="0" t="s">
        <v>15</v>
      </c>
      <c r="D619" s="0" t="s">
        <v>19</v>
      </c>
      <c r="E619" s="0" t="s">
        <v>53</v>
      </c>
    </row>
    <row r="620" customFormat="false" ht="13.5" hidden="false" customHeight="false" outlineLevel="0" collapsed="false">
      <c r="A620" s="0" t="s">
        <v>1451</v>
      </c>
      <c r="B620" s="0" t="s">
        <v>1452</v>
      </c>
      <c r="C620" s="0" t="s">
        <v>15</v>
      </c>
      <c r="D620" s="0" t="s">
        <v>19</v>
      </c>
      <c r="E620" s="0" t="s">
        <v>1453</v>
      </c>
    </row>
    <row r="621" customFormat="false" ht="13.5" hidden="false" customHeight="false" outlineLevel="0" collapsed="false">
      <c r="A621" s="0" t="s">
        <v>1454</v>
      </c>
      <c r="B621" s="0" t="s">
        <v>1455</v>
      </c>
      <c r="C621" s="0" t="s">
        <v>15</v>
      </c>
      <c r="D621" s="0" t="s">
        <v>19</v>
      </c>
      <c r="E621" s="0" t="s">
        <v>1456</v>
      </c>
    </row>
    <row r="622" customFormat="false" ht="13.5" hidden="false" customHeight="false" outlineLevel="0" collapsed="false">
      <c r="A622" s="0" t="s">
        <v>1457</v>
      </c>
      <c r="B622" s="0" t="s">
        <v>1458</v>
      </c>
      <c r="C622" s="0" t="s">
        <v>15</v>
      </c>
      <c r="D622" s="0" t="s">
        <v>19</v>
      </c>
      <c r="E622" s="0" t="s">
        <v>1459</v>
      </c>
    </row>
    <row r="623" customFormat="false" ht="13.5" hidden="false" customHeight="false" outlineLevel="0" collapsed="false">
      <c r="A623" s="0" t="s">
        <v>1460</v>
      </c>
      <c r="B623" s="0" t="s">
        <v>1461</v>
      </c>
      <c r="C623" s="0" t="s">
        <v>15</v>
      </c>
      <c r="D623" s="0" t="s">
        <v>19</v>
      </c>
      <c r="E623" s="0" t="s">
        <v>1151</v>
      </c>
    </row>
    <row r="624" customFormat="false" ht="13.5" hidden="false" customHeight="false" outlineLevel="0" collapsed="false">
      <c r="A624" s="0" t="s">
        <v>1462</v>
      </c>
      <c r="B624" s="0" t="s">
        <v>1463</v>
      </c>
      <c r="C624" s="0" t="s">
        <v>15</v>
      </c>
      <c r="D624" s="0" t="s">
        <v>1464</v>
      </c>
    </row>
    <row r="625" customFormat="false" ht="13.5" hidden="false" customHeight="false" outlineLevel="0" collapsed="false">
      <c r="A625" s="0" t="s">
        <v>1465</v>
      </c>
      <c r="B625" s="0" t="s">
        <v>1466</v>
      </c>
      <c r="C625" s="0" t="s">
        <v>15</v>
      </c>
      <c r="D625" s="0" t="s">
        <v>19</v>
      </c>
      <c r="E625" s="0" t="s">
        <v>122</v>
      </c>
    </row>
    <row r="626" customFormat="false" ht="13.5" hidden="false" customHeight="false" outlineLevel="0" collapsed="false">
      <c r="A626" s="0" t="s">
        <v>1467</v>
      </c>
      <c r="B626" s="0" t="s">
        <v>1468</v>
      </c>
      <c r="C626" s="0" t="s">
        <v>15</v>
      </c>
      <c r="D626" s="0" t="s">
        <v>19</v>
      </c>
      <c r="E626" s="0" t="s">
        <v>150</v>
      </c>
    </row>
    <row r="627" customFormat="false" ht="13.5" hidden="false" customHeight="false" outlineLevel="0" collapsed="false">
      <c r="A627" s="0" t="s">
        <v>1469</v>
      </c>
      <c r="B627" s="0" t="s">
        <v>1470</v>
      </c>
      <c r="C627" s="0" t="s">
        <v>15</v>
      </c>
      <c r="D627" s="0" t="s">
        <v>19</v>
      </c>
      <c r="E627" s="0" t="s">
        <v>98</v>
      </c>
    </row>
    <row r="628" customFormat="false" ht="13.5" hidden="false" customHeight="false" outlineLevel="0" collapsed="false">
      <c r="A628" s="0" t="s">
        <v>1471</v>
      </c>
      <c r="B628" s="0" t="s">
        <v>1472</v>
      </c>
      <c r="C628" s="0" t="s">
        <v>15</v>
      </c>
      <c r="D628" s="0" t="s">
        <v>19</v>
      </c>
      <c r="E628" s="0" t="s">
        <v>287</v>
      </c>
    </row>
    <row r="629" customFormat="false" ht="13.5" hidden="false" customHeight="false" outlineLevel="0" collapsed="false">
      <c r="A629" s="0" t="s">
        <v>1473</v>
      </c>
      <c r="B629" s="0" t="s">
        <v>1474</v>
      </c>
      <c r="C629" s="0" t="s">
        <v>15</v>
      </c>
      <c r="D629" s="0" t="s">
        <v>19</v>
      </c>
      <c r="E629" s="0" t="s">
        <v>1043</v>
      </c>
    </row>
    <row r="630" customFormat="false" ht="13.5" hidden="false" customHeight="false" outlineLevel="0" collapsed="false">
      <c r="A630" s="0" t="s">
        <v>1475</v>
      </c>
      <c r="B630" s="0" t="s">
        <v>1476</v>
      </c>
      <c r="C630" s="0" t="s">
        <v>15</v>
      </c>
      <c r="D630" s="0" t="s">
        <v>16</v>
      </c>
      <c r="E630" s="0" t="s">
        <v>36</v>
      </c>
    </row>
    <row r="631" customFormat="false" ht="13.5" hidden="false" customHeight="false" outlineLevel="0" collapsed="false">
      <c r="A631" s="0" t="s">
        <v>1477</v>
      </c>
      <c r="B631" s="0" t="s">
        <v>1478</v>
      </c>
      <c r="C631" s="0" t="s">
        <v>15</v>
      </c>
      <c r="D631" s="0" t="s">
        <v>16</v>
      </c>
      <c r="E631" s="0" t="s">
        <v>936</v>
      </c>
    </row>
    <row r="632" customFormat="false" ht="13.5" hidden="false" customHeight="false" outlineLevel="0" collapsed="false">
      <c r="A632" s="0" t="s">
        <v>1479</v>
      </c>
      <c r="B632" s="0" t="s">
        <v>1480</v>
      </c>
      <c r="C632" s="0" t="s">
        <v>15</v>
      </c>
      <c r="D632" s="0" t="s">
        <v>19</v>
      </c>
      <c r="E632" s="0" t="s">
        <v>1043</v>
      </c>
    </row>
    <row r="633" customFormat="false" ht="13.5" hidden="false" customHeight="false" outlineLevel="0" collapsed="false">
      <c r="A633" s="0" t="s">
        <v>1481</v>
      </c>
      <c r="B633" s="0" t="s">
        <v>1482</v>
      </c>
      <c r="C633" s="0" t="s">
        <v>15</v>
      </c>
      <c r="D633" s="0" t="s">
        <v>19</v>
      </c>
      <c r="E633" s="0" t="s">
        <v>32</v>
      </c>
    </row>
    <row r="634" customFormat="false" ht="13.5" hidden="false" customHeight="false" outlineLevel="0" collapsed="false">
      <c r="A634" s="0" t="s">
        <v>1483</v>
      </c>
      <c r="B634" s="0" t="s">
        <v>1484</v>
      </c>
      <c r="C634" s="0" t="s">
        <v>15</v>
      </c>
      <c r="D634" s="0" t="s">
        <v>24</v>
      </c>
      <c r="E634" s="0" t="s">
        <v>1043</v>
      </c>
    </row>
    <row r="635" customFormat="false" ht="13.5" hidden="false" customHeight="false" outlineLevel="0" collapsed="false">
      <c r="A635" s="0" t="s">
        <v>1485</v>
      </c>
      <c r="B635" s="0" t="s">
        <v>1486</v>
      </c>
      <c r="C635" s="0" t="s">
        <v>15</v>
      </c>
      <c r="D635" s="0" t="s">
        <v>19</v>
      </c>
      <c r="E635" s="0" t="s">
        <v>652</v>
      </c>
    </row>
    <row r="636" customFormat="false" ht="13.5" hidden="false" customHeight="false" outlineLevel="0" collapsed="false">
      <c r="A636" s="0" t="s">
        <v>1487</v>
      </c>
      <c r="B636" s="0" t="s">
        <v>1488</v>
      </c>
      <c r="C636" s="0" t="s">
        <v>15</v>
      </c>
      <c r="D636" s="0" t="s">
        <v>19</v>
      </c>
      <c r="E636" s="0" t="s">
        <v>1043</v>
      </c>
    </row>
    <row r="637" customFormat="false" ht="13.5" hidden="false" customHeight="false" outlineLevel="0" collapsed="false">
      <c r="A637" s="0" t="s">
        <v>1489</v>
      </c>
      <c r="B637" s="0" t="s">
        <v>1490</v>
      </c>
      <c r="C637" s="0" t="s">
        <v>15</v>
      </c>
      <c r="D637" s="0" t="s">
        <v>19</v>
      </c>
      <c r="E637" s="0" t="s">
        <v>56</v>
      </c>
    </row>
    <row r="638" customFormat="false" ht="13.5" hidden="false" customHeight="false" outlineLevel="0" collapsed="false">
      <c r="A638" s="0" t="s">
        <v>1491</v>
      </c>
      <c r="B638" s="0" t="s">
        <v>1492</v>
      </c>
      <c r="C638" s="0" t="s">
        <v>15</v>
      </c>
      <c r="D638" s="0" t="s">
        <v>19</v>
      </c>
      <c r="E638" s="0" t="s">
        <v>200</v>
      </c>
    </row>
    <row r="639" customFormat="false" ht="13.5" hidden="false" customHeight="false" outlineLevel="0" collapsed="false">
      <c r="A639" s="0" t="s">
        <v>1493</v>
      </c>
      <c r="B639" s="0" t="s">
        <v>1494</v>
      </c>
      <c r="C639" s="0" t="s">
        <v>15</v>
      </c>
      <c r="D639" s="0" t="s">
        <v>19</v>
      </c>
      <c r="E639" s="0" t="s">
        <v>98</v>
      </c>
    </row>
    <row r="640" customFormat="false" ht="13.5" hidden="false" customHeight="false" outlineLevel="0" collapsed="false">
      <c r="A640" s="0" t="s">
        <v>1495</v>
      </c>
      <c r="B640" s="0" t="s">
        <v>1496</v>
      </c>
      <c r="C640" s="0" t="s">
        <v>15</v>
      </c>
      <c r="D640" s="0" t="s">
        <v>19</v>
      </c>
      <c r="E640" s="0" t="s">
        <v>98</v>
      </c>
    </row>
    <row r="641" customFormat="false" ht="13.5" hidden="false" customHeight="false" outlineLevel="0" collapsed="false">
      <c r="A641" s="0" t="s">
        <v>1497</v>
      </c>
      <c r="B641" s="0" t="s">
        <v>1498</v>
      </c>
      <c r="C641" s="0" t="s">
        <v>15</v>
      </c>
      <c r="D641" s="0" t="s">
        <v>19</v>
      </c>
      <c r="E641" s="0" t="s">
        <v>1499</v>
      </c>
    </row>
    <row r="642" customFormat="false" ht="13.5" hidden="false" customHeight="false" outlineLevel="0" collapsed="false">
      <c r="A642" s="0" t="s">
        <v>1500</v>
      </c>
      <c r="B642" s="0" t="s">
        <v>1501</v>
      </c>
      <c r="C642" s="0" t="s">
        <v>1502</v>
      </c>
      <c r="D642" s="0" t="s">
        <v>413</v>
      </c>
      <c r="E642" s="0" t="s">
        <v>47</v>
      </c>
    </row>
    <row r="643" customFormat="false" ht="13.5" hidden="false" customHeight="false" outlineLevel="0" collapsed="false">
      <c r="A643" s="0" t="s">
        <v>1503</v>
      </c>
      <c r="B643" s="0" t="s">
        <v>1504</v>
      </c>
      <c r="C643" s="0" t="s">
        <v>1502</v>
      </c>
      <c r="D643" s="0" t="s">
        <v>1505</v>
      </c>
    </row>
    <row r="644" customFormat="false" ht="13.5" hidden="false" customHeight="false" outlineLevel="0" collapsed="false">
      <c r="A644" s="0" t="s">
        <v>1506</v>
      </c>
      <c r="B644" s="0" t="s">
        <v>1507</v>
      </c>
      <c r="C644" s="0" t="s">
        <v>1502</v>
      </c>
      <c r="D644" s="0" t="s">
        <v>1508</v>
      </c>
    </row>
    <row r="645" customFormat="false" ht="13.5" hidden="false" customHeight="false" outlineLevel="0" collapsed="false">
      <c r="A645" s="0" t="s">
        <v>1509</v>
      </c>
      <c r="B645" s="0" t="s">
        <v>1510</v>
      </c>
      <c r="C645" s="0" t="s">
        <v>31</v>
      </c>
      <c r="D645" s="0" t="s">
        <v>69</v>
      </c>
    </row>
    <row r="646" customFormat="false" ht="13.5" hidden="false" customHeight="false" outlineLevel="0" collapsed="false">
      <c r="A646" s="0" t="s">
        <v>1511</v>
      </c>
      <c r="B646" s="0" t="s">
        <v>1512</v>
      </c>
      <c r="C646" s="0" t="s">
        <v>31</v>
      </c>
      <c r="D646" s="0" t="s">
        <v>1513</v>
      </c>
    </row>
    <row r="647" customFormat="false" ht="13.5" hidden="false" customHeight="false" outlineLevel="0" collapsed="false">
      <c r="A647" s="0" t="s">
        <v>1514</v>
      </c>
      <c r="B647" s="0" t="s">
        <v>1515</v>
      </c>
      <c r="C647" s="0" t="s">
        <v>31</v>
      </c>
      <c r="D647" s="0" t="s">
        <v>1513</v>
      </c>
    </row>
    <row r="648" customFormat="false" ht="13.5" hidden="false" customHeight="false" outlineLevel="0" collapsed="false">
      <c r="A648" s="0" t="s">
        <v>1516</v>
      </c>
      <c r="B648" s="0" t="s">
        <v>1517</v>
      </c>
      <c r="C648" s="0" t="s">
        <v>31</v>
      </c>
      <c r="D648" s="0" t="s">
        <v>1518</v>
      </c>
    </row>
    <row r="649" customFormat="false" ht="13.5" hidden="false" customHeight="false" outlineLevel="0" collapsed="false">
      <c r="A649" s="0" t="s">
        <v>1519</v>
      </c>
      <c r="B649" s="0" t="s">
        <v>1520</v>
      </c>
      <c r="C649" s="0" t="s">
        <v>31</v>
      </c>
      <c r="D649" s="0" t="s">
        <v>1521</v>
      </c>
    </row>
    <row r="650" customFormat="false" ht="13.5" hidden="false" customHeight="false" outlineLevel="0" collapsed="false">
      <c r="A650" s="0" t="s">
        <v>1522</v>
      </c>
      <c r="B650" s="0" t="s">
        <v>1523</v>
      </c>
      <c r="C650" s="0" t="s">
        <v>31</v>
      </c>
      <c r="D650" s="0" t="s">
        <v>1524</v>
      </c>
    </row>
    <row r="651" customFormat="false" ht="13.5" hidden="false" customHeight="false" outlineLevel="0" collapsed="false">
      <c r="A651" s="0" t="s">
        <v>1525</v>
      </c>
      <c r="B651" s="0" t="s">
        <v>1526</v>
      </c>
      <c r="C651" s="0" t="s">
        <v>31</v>
      </c>
      <c r="D651" s="0" t="s">
        <v>1527</v>
      </c>
    </row>
    <row r="652" customFormat="false" ht="13.5" hidden="false" customHeight="false" outlineLevel="0" collapsed="false">
      <c r="A652" s="0" t="s">
        <v>1528</v>
      </c>
      <c r="B652" s="0" t="s">
        <v>1529</v>
      </c>
      <c r="C652" s="0" t="s">
        <v>31</v>
      </c>
      <c r="D652" s="0" t="s">
        <v>69</v>
      </c>
    </row>
    <row r="653" customFormat="false" ht="13.5" hidden="false" customHeight="false" outlineLevel="0" collapsed="false">
      <c r="A653" s="0" t="s">
        <v>1530</v>
      </c>
      <c r="B653" s="0" t="s">
        <v>1531</v>
      </c>
      <c r="C653" s="0" t="s">
        <v>31</v>
      </c>
      <c r="D653" s="0" t="s">
        <v>1518</v>
      </c>
    </row>
    <row r="654" customFormat="false" ht="13.5" hidden="false" customHeight="false" outlineLevel="0" collapsed="false">
      <c r="A654" s="0" t="s">
        <v>1532</v>
      </c>
      <c r="B654" s="0" t="s">
        <v>1533</v>
      </c>
      <c r="C654" s="0" t="s">
        <v>31</v>
      </c>
      <c r="D654" s="0" t="s">
        <v>1508</v>
      </c>
    </row>
    <row r="655" customFormat="false" ht="13.5" hidden="false" customHeight="false" outlineLevel="0" collapsed="false">
      <c r="A655" s="0" t="s">
        <v>1534</v>
      </c>
      <c r="B655" s="0" t="s">
        <v>1535</v>
      </c>
      <c r="C655" s="0" t="s">
        <v>31</v>
      </c>
      <c r="D655" s="0" t="s">
        <v>16</v>
      </c>
      <c r="F655" s="0" t="s">
        <v>31</v>
      </c>
    </row>
    <row r="656" customFormat="false" ht="13.5" hidden="false" customHeight="false" outlineLevel="0" collapsed="false">
      <c r="A656" s="0" t="s">
        <v>1536</v>
      </c>
      <c r="B656" s="0" t="s">
        <v>1537</v>
      </c>
      <c r="C656" s="0" t="s">
        <v>31</v>
      </c>
      <c r="D656" s="0" t="s">
        <v>1505</v>
      </c>
    </row>
    <row r="657" customFormat="false" ht="13.5" hidden="false" customHeight="false" outlineLevel="0" collapsed="false">
      <c r="A657" s="0" t="s">
        <v>1538</v>
      </c>
      <c r="B657" s="0" t="s">
        <v>1539</v>
      </c>
      <c r="C657" s="0" t="s">
        <v>31</v>
      </c>
      <c r="D657" s="0" t="s">
        <v>1540</v>
      </c>
    </row>
    <row r="658" customFormat="false" ht="13.5" hidden="false" customHeight="false" outlineLevel="0" collapsed="false">
      <c r="A658" s="0" t="s">
        <v>1541</v>
      </c>
      <c r="B658" s="0" t="s">
        <v>404</v>
      </c>
      <c r="C658" s="0" t="s">
        <v>31</v>
      </c>
      <c r="D658" s="0" t="s">
        <v>69</v>
      </c>
    </row>
    <row r="659" customFormat="false" ht="13.5" hidden="false" customHeight="false" outlineLevel="0" collapsed="false">
      <c r="A659" s="0" t="s">
        <v>1542</v>
      </c>
      <c r="B659" s="0" t="s">
        <v>1543</v>
      </c>
      <c r="C659" s="0" t="s">
        <v>31</v>
      </c>
      <c r="D659" s="0" t="s">
        <v>16</v>
      </c>
      <c r="F659" s="0" t="s">
        <v>31</v>
      </c>
    </row>
    <row r="660" customFormat="false" ht="13.5" hidden="false" customHeight="false" outlineLevel="0" collapsed="false">
      <c r="A660" s="0" t="s">
        <v>1544</v>
      </c>
      <c r="B660" s="0" t="s">
        <v>1545</v>
      </c>
      <c r="C660" s="0" t="s">
        <v>31</v>
      </c>
      <c r="D660" s="0" t="s">
        <v>16</v>
      </c>
      <c r="F660" s="0" t="s">
        <v>31</v>
      </c>
    </row>
    <row r="661" customFormat="false" ht="13.5" hidden="false" customHeight="false" outlineLevel="0" collapsed="false">
      <c r="A661" s="0" t="s">
        <v>1546</v>
      </c>
      <c r="B661" s="0" t="s">
        <v>1547</v>
      </c>
      <c r="C661" s="0" t="s">
        <v>31</v>
      </c>
      <c r="D661" s="0" t="s">
        <v>16</v>
      </c>
      <c r="F661" s="0" t="s">
        <v>31</v>
      </c>
    </row>
    <row r="662" customFormat="false" ht="13.5" hidden="false" customHeight="false" outlineLevel="0" collapsed="false">
      <c r="A662" s="0" t="s">
        <v>1548</v>
      </c>
      <c r="B662" s="0" t="s">
        <v>1549</v>
      </c>
      <c r="C662" s="0" t="s">
        <v>31</v>
      </c>
      <c r="D662" s="0" t="s">
        <v>16</v>
      </c>
      <c r="E662" s="0" t="s">
        <v>84</v>
      </c>
      <c r="F662" s="0" t="s">
        <v>1550</v>
      </c>
    </row>
    <row r="663" customFormat="false" ht="13.5" hidden="false" customHeight="false" outlineLevel="0" collapsed="false">
      <c r="A663" s="0" t="s">
        <v>1551</v>
      </c>
      <c r="B663" s="0" t="s">
        <v>1552</v>
      </c>
      <c r="C663" s="0" t="s">
        <v>31</v>
      </c>
      <c r="D663" s="0" t="s">
        <v>1553</v>
      </c>
    </row>
    <row r="664" customFormat="false" ht="13.5" hidden="false" customHeight="false" outlineLevel="0" collapsed="false">
      <c r="A664" s="0" t="s">
        <v>1554</v>
      </c>
      <c r="B664" s="0" t="s">
        <v>1555</v>
      </c>
      <c r="C664" s="0" t="s">
        <v>31</v>
      </c>
      <c r="D664" s="0" t="s">
        <v>1556</v>
      </c>
    </row>
    <row r="665" customFormat="false" ht="13.5" hidden="false" customHeight="false" outlineLevel="0" collapsed="false">
      <c r="A665" s="0" t="s">
        <v>1557</v>
      </c>
      <c r="B665" s="0" t="s">
        <v>1558</v>
      </c>
      <c r="C665" s="0" t="s">
        <v>31</v>
      </c>
      <c r="D665" s="0" t="s">
        <v>1513</v>
      </c>
    </row>
    <row r="666" customFormat="false" ht="13.5" hidden="false" customHeight="false" outlineLevel="0" collapsed="false">
      <c r="A666" s="0" t="s">
        <v>1559</v>
      </c>
      <c r="B666" s="0" t="s">
        <v>1560</v>
      </c>
      <c r="C666" s="0" t="s">
        <v>31</v>
      </c>
      <c r="D666" s="0" t="s">
        <v>1561</v>
      </c>
    </row>
    <row r="667" customFormat="false" ht="13.5" hidden="false" customHeight="false" outlineLevel="0" collapsed="false">
      <c r="A667" s="0" t="s">
        <v>1562</v>
      </c>
      <c r="B667" s="0" t="s">
        <v>1563</v>
      </c>
      <c r="C667" s="0" t="s">
        <v>31</v>
      </c>
      <c r="D667" s="0" t="s">
        <v>19</v>
      </c>
      <c r="E667" s="0" t="s">
        <v>1564</v>
      </c>
    </row>
    <row r="668" customFormat="false" ht="13.5" hidden="false" customHeight="false" outlineLevel="0" collapsed="false">
      <c r="A668" s="0" t="s">
        <v>1565</v>
      </c>
      <c r="B668" s="0" t="s">
        <v>1566</v>
      </c>
      <c r="C668" s="0" t="s">
        <v>31</v>
      </c>
      <c r="D668" s="0" t="s">
        <v>16</v>
      </c>
      <c r="F668" s="0" t="s">
        <v>31</v>
      </c>
    </row>
    <row r="669" customFormat="false" ht="13.5" hidden="false" customHeight="false" outlineLevel="0" collapsed="false">
      <c r="A669" s="0" t="s">
        <v>1567</v>
      </c>
      <c r="B669" s="0" t="s">
        <v>1568</v>
      </c>
      <c r="C669" s="0" t="s">
        <v>31</v>
      </c>
      <c r="D669" s="0" t="s">
        <v>1569</v>
      </c>
    </row>
    <row r="670" customFormat="false" ht="13.5" hidden="false" customHeight="false" outlineLevel="0" collapsed="false">
      <c r="A670" s="0" t="s">
        <v>1570</v>
      </c>
      <c r="B670" s="0" t="s">
        <v>1571</v>
      </c>
      <c r="C670" s="0" t="s">
        <v>31</v>
      </c>
      <c r="D670" s="0" t="s">
        <v>1572</v>
      </c>
    </row>
    <row r="671" customFormat="false" ht="13.5" hidden="false" customHeight="false" outlineLevel="0" collapsed="false">
      <c r="A671" s="0" t="s">
        <v>1573</v>
      </c>
      <c r="B671" s="0" t="s">
        <v>1574</v>
      </c>
      <c r="C671" s="0" t="s">
        <v>31</v>
      </c>
      <c r="D671" s="0" t="s">
        <v>16</v>
      </c>
      <c r="F671" s="0" t="s">
        <v>1550</v>
      </c>
    </row>
    <row r="672" customFormat="false" ht="13.5" hidden="false" customHeight="false" outlineLevel="0" collapsed="false">
      <c r="A672" s="0" t="s">
        <v>1575</v>
      </c>
      <c r="B672" s="0" t="s">
        <v>1576</v>
      </c>
      <c r="C672" s="0" t="s">
        <v>31</v>
      </c>
      <c r="D672" s="0" t="s">
        <v>1561</v>
      </c>
    </row>
    <row r="673" customFormat="false" ht="13.5" hidden="false" customHeight="false" outlineLevel="0" collapsed="false">
      <c r="A673" s="0" t="s">
        <v>1577</v>
      </c>
      <c r="B673" s="0" t="s">
        <v>1578</v>
      </c>
      <c r="C673" s="0" t="s">
        <v>31</v>
      </c>
      <c r="D673" s="0" t="s">
        <v>1508</v>
      </c>
    </row>
    <row r="674" customFormat="false" ht="13.5" hidden="false" customHeight="false" outlineLevel="0" collapsed="false">
      <c r="A674" s="0" t="s">
        <v>1579</v>
      </c>
      <c r="B674" s="0" t="s">
        <v>1580</v>
      </c>
      <c r="C674" s="0" t="s">
        <v>31</v>
      </c>
      <c r="D674" s="0" t="s">
        <v>16</v>
      </c>
      <c r="F674" s="0" t="s">
        <v>1550</v>
      </c>
    </row>
    <row r="675" customFormat="false" ht="13.5" hidden="false" customHeight="false" outlineLevel="0" collapsed="false">
      <c r="A675" s="0" t="s">
        <v>1581</v>
      </c>
      <c r="B675" s="0" t="s">
        <v>1582</v>
      </c>
      <c r="C675" s="0" t="s">
        <v>31</v>
      </c>
      <c r="D675" s="0" t="s">
        <v>69</v>
      </c>
    </row>
    <row r="676" customFormat="false" ht="13.5" hidden="false" customHeight="false" outlineLevel="0" collapsed="false">
      <c r="A676" s="0" t="s">
        <v>1583</v>
      </c>
      <c r="B676" s="0" t="s">
        <v>1584</v>
      </c>
      <c r="C676" s="0" t="s">
        <v>31</v>
      </c>
      <c r="D676" s="0" t="s">
        <v>1513</v>
      </c>
    </row>
    <row r="677" customFormat="false" ht="13.5" hidden="false" customHeight="false" outlineLevel="0" collapsed="false">
      <c r="A677" s="0" t="s">
        <v>1585</v>
      </c>
      <c r="B677" s="0" t="s">
        <v>1586</v>
      </c>
      <c r="C677" s="0" t="s">
        <v>31</v>
      </c>
      <c r="D677" s="0" t="s">
        <v>16</v>
      </c>
      <c r="F677" s="0" t="s">
        <v>1550</v>
      </c>
    </row>
    <row r="678" customFormat="false" ht="13.5" hidden="false" customHeight="false" outlineLevel="0" collapsed="false">
      <c r="A678" s="0" t="s">
        <v>1587</v>
      </c>
      <c r="B678" s="0" t="s">
        <v>1588</v>
      </c>
      <c r="C678" s="0" t="s">
        <v>31</v>
      </c>
      <c r="D678" s="0" t="s">
        <v>16</v>
      </c>
      <c r="E678" s="0" t="s">
        <v>1589</v>
      </c>
      <c r="F678" s="0" t="s">
        <v>1550</v>
      </c>
    </row>
    <row r="679" customFormat="false" ht="13.5" hidden="false" customHeight="false" outlineLevel="0" collapsed="false">
      <c r="A679" s="0" t="s">
        <v>1590</v>
      </c>
      <c r="B679" s="0" t="s">
        <v>1591</v>
      </c>
      <c r="C679" s="0" t="s">
        <v>31</v>
      </c>
      <c r="D679" s="0" t="s">
        <v>1592</v>
      </c>
    </row>
    <row r="680" customFormat="false" ht="13.5" hidden="false" customHeight="false" outlineLevel="0" collapsed="false">
      <c r="A680" s="0" t="s">
        <v>1593</v>
      </c>
      <c r="B680" s="0" t="s">
        <v>1594</v>
      </c>
      <c r="C680" s="0" t="s">
        <v>31</v>
      </c>
      <c r="D680" s="0" t="s">
        <v>16</v>
      </c>
      <c r="F680" s="0" t="s">
        <v>1550</v>
      </c>
    </row>
    <row r="681" customFormat="false" ht="13.5" hidden="false" customHeight="false" outlineLevel="0" collapsed="false">
      <c r="A681" s="0" t="s">
        <v>1595</v>
      </c>
      <c r="B681" s="0" t="s">
        <v>1596</v>
      </c>
      <c r="C681" s="0" t="s">
        <v>31</v>
      </c>
      <c r="D681" s="0" t="s">
        <v>16</v>
      </c>
      <c r="E681" s="0" t="s">
        <v>53</v>
      </c>
      <c r="F681" s="0" t="s">
        <v>1550</v>
      </c>
    </row>
    <row r="682" customFormat="false" ht="13.5" hidden="false" customHeight="false" outlineLevel="0" collapsed="false">
      <c r="A682" s="0" t="s">
        <v>1597</v>
      </c>
      <c r="B682" s="0" t="s">
        <v>1598</v>
      </c>
      <c r="C682" s="0" t="s">
        <v>31</v>
      </c>
      <c r="D682" s="0" t="s">
        <v>1599</v>
      </c>
    </row>
    <row r="683" customFormat="false" ht="13.5" hidden="false" customHeight="false" outlineLevel="0" collapsed="false">
      <c r="A683" s="0" t="s">
        <v>1600</v>
      </c>
      <c r="B683" s="0" t="s">
        <v>1601</v>
      </c>
      <c r="C683" s="0" t="s">
        <v>31</v>
      </c>
      <c r="D683" s="0" t="s">
        <v>1508</v>
      </c>
    </row>
    <row r="684" customFormat="false" ht="13.5" hidden="false" customHeight="false" outlineLevel="0" collapsed="false">
      <c r="A684" s="0" t="s">
        <v>1602</v>
      </c>
      <c r="B684" s="0" t="s">
        <v>1603</v>
      </c>
      <c r="C684" s="0" t="s">
        <v>31</v>
      </c>
      <c r="D684" s="0" t="s">
        <v>1604</v>
      </c>
    </row>
    <row r="685" customFormat="false" ht="13.5" hidden="false" customHeight="false" outlineLevel="0" collapsed="false">
      <c r="A685" s="0" t="s">
        <v>1605</v>
      </c>
      <c r="B685" s="0" t="s">
        <v>1606</v>
      </c>
      <c r="C685" s="0" t="s">
        <v>31</v>
      </c>
      <c r="D685" s="0" t="s">
        <v>16</v>
      </c>
      <c r="F685" s="0" t="s">
        <v>1607</v>
      </c>
    </row>
    <row r="686" customFormat="false" ht="13.5" hidden="false" customHeight="false" outlineLevel="0" collapsed="false">
      <c r="A686" s="0" t="s">
        <v>1608</v>
      </c>
      <c r="B686" s="0" t="s">
        <v>1609</v>
      </c>
      <c r="C686" s="0" t="s">
        <v>31</v>
      </c>
      <c r="D686" s="0" t="s">
        <v>1610</v>
      </c>
    </row>
    <row r="687" customFormat="false" ht="13.5" hidden="false" customHeight="false" outlineLevel="0" collapsed="false">
      <c r="A687" s="0" t="s">
        <v>1611</v>
      </c>
      <c r="B687" s="0" t="s">
        <v>1612</v>
      </c>
      <c r="C687" s="0" t="s">
        <v>31</v>
      </c>
      <c r="D687" s="0" t="s">
        <v>1613</v>
      </c>
    </row>
    <row r="688" customFormat="false" ht="13.5" hidden="false" customHeight="false" outlineLevel="0" collapsed="false">
      <c r="A688" s="0" t="s">
        <v>1614</v>
      </c>
      <c r="B688" s="0" t="s">
        <v>1615</v>
      </c>
      <c r="C688" s="0" t="s">
        <v>31</v>
      </c>
      <c r="D688" s="0" t="s">
        <v>1616</v>
      </c>
    </row>
    <row r="689" customFormat="false" ht="13.5" hidden="false" customHeight="false" outlineLevel="0" collapsed="false">
      <c r="A689" s="0" t="s">
        <v>1617</v>
      </c>
      <c r="B689" s="0" t="s">
        <v>1618</v>
      </c>
      <c r="C689" s="0" t="s">
        <v>31</v>
      </c>
      <c r="D689" s="0" t="s">
        <v>1619</v>
      </c>
    </row>
    <row r="690" customFormat="false" ht="13.5" hidden="false" customHeight="false" outlineLevel="0" collapsed="false">
      <c r="A690" s="0" t="s">
        <v>1620</v>
      </c>
      <c r="B690" s="0" t="s">
        <v>1621</v>
      </c>
      <c r="C690" s="0" t="s">
        <v>31</v>
      </c>
      <c r="D690" s="0" t="s">
        <v>1508</v>
      </c>
    </row>
    <row r="691" customFormat="false" ht="13.5" hidden="false" customHeight="false" outlineLevel="0" collapsed="false">
      <c r="A691" s="0" t="s">
        <v>1622</v>
      </c>
      <c r="B691" s="0" t="s">
        <v>1623</v>
      </c>
      <c r="C691" s="0" t="s">
        <v>31</v>
      </c>
      <c r="D691" s="0" t="s">
        <v>1624</v>
      </c>
    </row>
    <row r="692" customFormat="false" ht="13.5" hidden="false" customHeight="false" outlineLevel="0" collapsed="false">
      <c r="A692" s="0" t="s">
        <v>1625</v>
      </c>
      <c r="B692" s="0" t="s">
        <v>1626</v>
      </c>
      <c r="C692" s="0" t="s">
        <v>31</v>
      </c>
      <c r="D692" s="0" t="s">
        <v>1627</v>
      </c>
    </row>
    <row r="693" customFormat="false" ht="13.5" hidden="false" customHeight="false" outlineLevel="0" collapsed="false">
      <c r="A693" s="0" t="s">
        <v>1628</v>
      </c>
      <c r="B693" s="0" t="s">
        <v>1629</v>
      </c>
      <c r="C693" s="0" t="s">
        <v>31</v>
      </c>
      <c r="D693" s="0" t="s">
        <v>1630</v>
      </c>
    </row>
    <row r="694" customFormat="false" ht="13.5" hidden="false" customHeight="false" outlineLevel="0" collapsed="false">
      <c r="A694" s="0" t="s">
        <v>1631</v>
      </c>
      <c r="B694" s="0" t="s">
        <v>1632</v>
      </c>
      <c r="C694" s="0" t="s">
        <v>31</v>
      </c>
      <c r="D694" s="0" t="s">
        <v>1633</v>
      </c>
    </row>
    <row r="695" customFormat="false" ht="13.5" hidden="false" customHeight="false" outlineLevel="0" collapsed="false">
      <c r="A695" s="0" t="s">
        <v>1634</v>
      </c>
      <c r="B695" s="0" t="s">
        <v>1635</v>
      </c>
      <c r="C695" s="0" t="s">
        <v>31</v>
      </c>
      <c r="D695" s="0" t="s">
        <v>1508</v>
      </c>
    </row>
    <row r="696" customFormat="false" ht="13.5" hidden="false" customHeight="false" outlineLevel="0" collapsed="false">
      <c r="A696" s="0" t="s">
        <v>1636</v>
      </c>
      <c r="B696" s="0" t="s">
        <v>1637</v>
      </c>
      <c r="C696" s="0" t="s">
        <v>31</v>
      </c>
      <c r="D696" s="0" t="s">
        <v>1540</v>
      </c>
    </row>
    <row r="697" customFormat="false" ht="13.5" hidden="false" customHeight="false" outlineLevel="0" collapsed="false">
      <c r="A697" s="0" t="s">
        <v>1638</v>
      </c>
      <c r="B697" s="0" t="s">
        <v>1639</v>
      </c>
      <c r="C697" s="0" t="s">
        <v>31</v>
      </c>
      <c r="D697" s="0" t="s">
        <v>69</v>
      </c>
    </row>
    <row r="698" customFormat="false" ht="13.5" hidden="false" customHeight="false" outlineLevel="0" collapsed="false">
      <c r="A698" s="0" t="s">
        <v>1640</v>
      </c>
      <c r="B698" s="0" t="s">
        <v>1641</v>
      </c>
      <c r="C698" s="0" t="s">
        <v>31</v>
      </c>
      <c r="D698" s="0" t="s">
        <v>1630</v>
      </c>
    </row>
    <row r="699" customFormat="false" ht="13.5" hidden="false" customHeight="false" outlineLevel="0" collapsed="false">
      <c r="A699" s="0" t="s">
        <v>1642</v>
      </c>
      <c r="B699" s="0" t="s">
        <v>1643</v>
      </c>
      <c r="C699" s="0" t="s">
        <v>31</v>
      </c>
      <c r="D699" s="0" t="s">
        <v>1633</v>
      </c>
    </row>
    <row r="700" customFormat="false" ht="13.5" hidden="false" customHeight="false" outlineLevel="0" collapsed="false">
      <c r="A700" s="0" t="s">
        <v>1644</v>
      </c>
      <c r="B700" s="0" t="s">
        <v>1645</v>
      </c>
      <c r="C700" s="0" t="s">
        <v>31</v>
      </c>
      <c r="D700" s="0" t="s">
        <v>69</v>
      </c>
    </row>
    <row r="701" customFormat="false" ht="13.5" hidden="false" customHeight="false" outlineLevel="0" collapsed="false">
      <c r="A701" s="0" t="s">
        <v>1646</v>
      </c>
      <c r="B701" s="0" t="s">
        <v>1647</v>
      </c>
      <c r="C701" s="0" t="s">
        <v>31</v>
      </c>
      <c r="D701" s="0" t="s">
        <v>16</v>
      </c>
      <c r="E701" s="0" t="s">
        <v>1648</v>
      </c>
    </row>
    <row r="702" customFormat="false" ht="13.5" hidden="false" customHeight="false" outlineLevel="0" collapsed="false">
      <c r="A702" s="0" t="s">
        <v>1649</v>
      </c>
      <c r="B702" s="0" t="s">
        <v>1650</v>
      </c>
      <c r="C702" s="0" t="s">
        <v>31</v>
      </c>
      <c r="D702" s="0" t="s">
        <v>1651</v>
      </c>
    </row>
    <row r="703" customFormat="false" ht="13.5" hidden="false" customHeight="false" outlineLevel="0" collapsed="false">
      <c r="A703" s="0" t="s">
        <v>1652</v>
      </c>
      <c r="B703" s="0" t="s">
        <v>1653</v>
      </c>
      <c r="C703" s="0" t="s">
        <v>31</v>
      </c>
      <c r="D703" s="0" t="s">
        <v>1654</v>
      </c>
    </row>
    <row r="704" customFormat="false" ht="13.5" hidden="false" customHeight="false" outlineLevel="0" collapsed="false">
      <c r="A704" s="0" t="s">
        <v>1655</v>
      </c>
      <c r="B704" s="0" t="s">
        <v>1656</v>
      </c>
      <c r="C704" s="0" t="s">
        <v>31</v>
      </c>
      <c r="D704" s="0" t="s">
        <v>1657</v>
      </c>
    </row>
    <row r="705" customFormat="false" ht="13.5" hidden="false" customHeight="false" outlineLevel="0" collapsed="false">
      <c r="A705" s="0" t="s">
        <v>1658</v>
      </c>
      <c r="B705" s="0" t="s">
        <v>1659</v>
      </c>
      <c r="C705" s="0" t="s">
        <v>31</v>
      </c>
      <c r="D705" s="0" t="s">
        <v>1540</v>
      </c>
    </row>
    <row r="706" customFormat="false" ht="13.5" hidden="false" customHeight="false" outlineLevel="0" collapsed="false">
      <c r="A706" s="0" t="s">
        <v>1660</v>
      </c>
      <c r="B706" s="0" t="s">
        <v>1661</v>
      </c>
      <c r="C706" s="0" t="s">
        <v>31</v>
      </c>
      <c r="D706" s="0" t="s">
        <v>16</v>
      </c>
      <c r="E706" s="0" t="s">
        <v>1662</v>
      </c>
      <c r="F706" s="0" t="s">
        <v>1663</v>
      </c>
    </row>
    <row r="707" customFormat="false" ht="13.5" hidden="false" customHeight="false" outlineLevel="0" collapsed="false">
      <c r="A707" s="0" t="s">
        <v>1664</v>
      </c>
      <c r="B707" s="0" t="s">
        <v>1665</v>
      </c>
      <c r="C707" s="0" t="s">
        <v>31</v>
      </c>
      <c r="D707" s="0" t="s">
        <v>19</v>
      </c>
      <c r="E707" s="0" t="s">
        <v>1666</v>
      </c>
      <c r="F707" s="0" t="s">
        <v>1663</v>
      </c>
    </row>
    <row r="708" customFormat="false" ht="13.5" hidden="false" customHeight="false" outlineLevel="0" collapsed="false">
      <c r="A708" s="0" t="s">
        <v>1667</v>
      </c>
      <c r="B708" s="0" t="s">
        <v>1668</v>
      </c>
      <c r="C708" s="0" t="s">
        <v>31</v>
      </c>
      <c r="D708" s="0" t="s">
        <v>16</v>
      </c>
      <c r="E708" s="0" t="s">
        <v>53</v>
      </c>
      <c r="F708" s="0" t="s">
        <v>1669</v>
      </c>
    </row>
    <row r="709" customFormat="false" ht="13.5" hidden="false" customHeight="false" outlineLevel="0" collapsed="false">
      <c r="A709" s="0" t="s">
        <v>1670</v>
      </c>
      <c r="B709" s="0" t="s">
        <v>1671</v>
      </c>
      <c r="C709" s="0" t="s">
        <v>31</v>
      </c>
      <c r="D709" s="0" t="s">
        <v>19</v>
      </c>
      <c r="E709" s="0" t="s">
        <v>1672</v>
      </c>
      <c r="F709" s="0" t="s">
        <v>1673</v>
      </c>
    </row>
    <row r="710" customFormat="false" ht="13.5" hidden="false" customHeight="false" outlineLevel="0" collapsed="false">
      <c r="A710" s="0" t="s">
        <v>1674</v>
      </c>
      <c r="B710" s="0" t="s">
        <v>1675</v>
      </c>
      <c r="C710" s="0" t="s">
        <v>31</v>
      </c>
      <c r="D710" s="0" t="s">
        <v>19</v>
      </c>
      <c r="E710" s="0" t="s">
        <v>1676</v>
      </c>
      <c r="F710" s="0" t="s">
        <v>60</v>
      </c>
    </row>
    <row r="711" customFormat="false" ht="13.5" hidden="false" customHeight="false" outlineLevel="0" collapsed="false">
      <c r="A711" s="0" t="s">
        <v>1677</v>
      </c>
      <c r="B711" s="0" t="s">
        <v>1678</v>
      </c>
      <c r="C711" s="0" t="s">
        <v>31</v>
      </c>
      <c r="D711" s="0" t="s">
        <v>19</v>
      </c>
      <c r="E711" s="0" t="s">
        <v>1679</v>
      </c>
    </row>
    <row r="712" customFormat="false" ht="13.5" hidden="false" customHeight="false" outlineLevel="0" collapsed="false">
      <c r="A712" s="0" t="s">
        <v>1680</v>
      </c>
      <c r="B712" s="0" t="s">
        <v>1681</v>
      </c>
      <c r="C712" s="0" t="s">
        <v>31</v>
      </c>
      <c r="D712" s="0" t="s">
        <v>16</v>
      </c>
      <c r="E712" s="0" t="s">
        <v>1682</v>
      </c>
      <c r="F712" s="0" t="s">
        <v>1663</v>
      </c>
    </row>
    <row r="713" customFormat="false" ht="13.5" hidden="false" customHeight="false" outlineLevel="0" collapsed="false">
      <c r="A713" s="0" t="s">
        <v>1683</v>
      </c>
      <c r="B713" s="0" t="s">
        <v>1684</v>
      </c>
      <c r="C713" s="0" t="s">
        <v>31</v>
      </c>
      <c r="D713" s="0" t="s">
        <v>16</v>
      </c>
      <c r="E713" s="0" t="s">
        <v>36</v>
      </c>
      <c r="F713" s="0" t="s">
        <v>1669</v>
      </c>
    </row>
    <row r="714" customFormat="false" ht="13.5" hidden="false" customHeight="false" outlineLevel="0" collapsed="false">
      <c r="A714" s="0" t="s">
        <v>1685</v>
      </c>
      <c r="B714" s="0" t="s">
        <v>1686</v>
      </c>
      <c r="C714" s="0" t="s">
        <v>31</v>
      </c>
      <c r="D714" s="0" t="s">
        <v>16</v>
      </c>
      <c r="E714" s="0" t="s">
        <v>36</v>
      </c>
      <c r="F714" s="0" t="s">
        <v>1669</v>
      </c>
    </row>
    <row r="715" customFormat="false" ht="13.5" hidden="false" customHeight="false" outlineLevel="0" collapsed="false">
      <c r="A715" s="0" t="s">
        <v>1687</v>
      </c>
      <c r="B715" s="0" t="s">
        <v>1688</v>
      </c>
      <c r="C715" s="0" t="s">
        <v>31</v>
      </c>
      <c r="D715" s="0" t="s">
        <v>19</v>
      </c>
      <c r="E715" s="0" t="s">
        <v>1689</v>
      </c>
      <c r="F715" s="0" t="s">
        <v>1663</v>
      </c>
    </row>
    <row r="716" customFormat="false" ht="13.5" hidden="false" customHeight="false" outlineLevel="0" collapsed="false">
      <c r="A716" s="0" t="s">
        <v>1690</v>
      </c>
      <c r="B716" s="0" t="s">
        <v>1691</v>
      </c>
      <c r="C716" s="0" t="s">
        <v>31</v>
      </c>
      <c r="D716" s="0" t="s">
        <v>19</v>
      </c>
      <c r="E716" s="0" t="s">
        <v>521</v>
      </c>
      <c r="F716" s="0" t="s">
        <v>1692</v>
      </c>
    </row>
    <row r="717" customFormat="false" ht="13.5" hidden="false" customHeight="false" outlineLevel="0" collapsed="false">
      <c r="A717" s="0" t="s">
        <v>1693</v>
      </c>
      <c r="B717" s="0" t="s">
        <v>1694</v>
      </c>
      <c r="C717" s="0" t="s">
        <v>31</v>
      </c>
      <c r="D717" s="0" t="s">
        <v>24</v>
      </c>
      <c r="E717" s="0" t="s">
        <v>1695</v>
      </c>
    </row>
    <row r="718" customFormat="false" ht="13.5" hidden="false" customHeight="false" outlineLevel="0" collapsed="false">
      <c r="A718" s="0" t="s">
        <v>1696</v>
      </c>
      <c r="B718" s="0" t="s">
        <v>1697</v>
      </c>
      <c r="C718" s="0" t="s">
        <v>31</v>
      </c>
      <c r="D718" s="0" t="s">
        <v>1651</v>
      </c>
    </row>
    <row r="719" customFormat="false" ht="13.5" hidden="false" customHeight="false" outlineLevel="0" collapsed="false">
      <c r="A719" s="0" t="s">
        <v>1698</v>
      </c>
      <c r="C719" s="0" t="s">
        <v>31</v>
      </c>
      <c r="D719" s="0" t="s">
        <v>1699</v>
      </c>
    </row>
    <row r="720" customFormat="false" ht="13.5" hidden="false" customHeight="false" outlineLevel="0" collapsed="false">
      <c r="A720" s="0" t="s">
        <v>1700</v>
      </c>
      <c r="B720" s="0" t="s">
        <v>1701</v>
      </c>
      <c r="C720" s="0" t="s">
        <v>31</v>
      </c>
      <c r="D720" s="0" t="s">
        <v>19</v>
      </c>
      <c r="E720" s="0" t="s">
        <v>1152</v>
      </c>
    </row>
    <row r="721" customFormat="false" ht="13.5" hidden="false" customHeight="false" outlineLevel="0" collapsed="false">
      <c r="A721" s="0" t="s">
        <v>1702</v>
      </c>
      <c r="B721" s="0" t="s">
        <v>1703</v>
      </c>
      <c r="C721" s="0" t="s">
        <v>31</v>
      </c>
      <c r="D721" s="0" t="s">
        <v>1704</v>
      </c>
      <c r="F721" s="0" t="s">
        <v>60</v>
      </c>
    </row>
    <row r="722" customFormat="false" ht="13.5" hidden="false" customHeight="false" outlineLevel="0" collapsed="false">
      <c r="A722" s="0" t="s">
        <v>1705</v>
      </c>
      <c r="B722" s="0" t="s">
        <v>1706</v>
      </c>
      <c r="C722" s="0" t="s">
        <v>31</v>
      </c>
      <c r="D722" s="0" t="s">
        <v>69</v>
      </c>
    </row>
    <row r="723" customFormat="false" ht="13.5" hidden="false" customHeight="false" outlineLevel="0" collapsed="false">
      <c r="A723" s="0" t="s">
        <v>1707</v>
      </c>
      <c r="B723" s="0" t="s">
        <v>1708</v>
      </c>
      <c r="C723" s="0" t="s">
        <v>31</v>
      </c>
      <c r="D723" s="0" t="s">
        <v>16</v>
      </c>
      <c r="E723" s="0" t="s">
        <v>1709</v>
      </c>
      <c r="F723" s="0" t="s">
        <v>1669</v>
      </c>
    </row>
    <row r="724" customFormat="false" ht="13.5" hidden="false" customHeight="false" outlineLevel="0" collapsed="false">
      <c r="A724" s="0" t="s">
        <v>1710</v>
      </c>
      <c r="B724" s="0" t="s">
        <v>1711</v>
      </c>
      <c r="C724" s="0" t="s">
        <v>31</v>
      </c>
      <c r="D724" s="0" t="s">
        <v>19</v>
      </c>
      <c r="E724" s="0" t="s">
        <v>1712</v>
      </c>
      <c r="F724" s="0" t="s">
        <v>1673</v>
      </c>
    </row>
    <row r="725" customFormat="false" ht="13.5" hidden="false" customHeight="false" outlineLevel="0" collapsed="false">
      <c r="A725" s="0" t="s">
        <v>1713</v>
      </c>
      <c r="B725" s="0" t="s">
        <v>1714</v>
      </c>
      <c r="C725" s="0" t="s">
        <v>31</v>
      </c>
      <c r="D725" s="0" t="s">
        <v>1527</v>
      </c>
    </row>
    <row r="726" customFormat="false" ht="13.5" hidden="false" customHeight="false" outlineLevel="0" collapsed="false">
      <c r="A726" s="0" t="s">
        <v>1715</v>
      </c>
      <c r="B726" s="0" t="s">
        <v>1716</v>
      </c>
      <c r="C726" s="0" t="s">
        <v>31</v>
      </c>
      <c r="D726" s="0" t="s">
        <v>19</v>
      </c>
      <c r="E726" s="0" t="s">
        <v>172</v>
      </c>
      <c r="F726" s="0" t="s">
        <v>7</v>
      </c>
    </row>
    <row r="727" customFormat="false" ht="13.5" hidden="false" customHeight="false" outlineLevel="0" collapsed="false">
      <c r="A727" s="0" t="s">
        <v>1717</v>
      </c>
      <c r="B727" s="0" t="s">
        <v>1718</v>
      </c>
      <c r="C727" s="0" t="s">
        <v>31</v>
      </c>
      <c r="D727" s="0" t="s">
        <v>19</v>
      </c>
      <c r="E727" s="0" t="s">
        <v>36</v>
      </c>
      <c r="F727" s="0" t="s">
        <v>1719</v>
      </c>
    </row>
    <row r="728" customFormat="false" ht="13.5" hidden="false" customHeight="false" outlineLevel="0" collapsed="false">
      <c r="A728" s="0" t="s">
        <v>1720</v>
      </c>
      <c r="B728" s="0" t="s">
        <v>1721</v>
      </c>
      <c r="C728" s="0" t="s">
        <v>31</v>
      </c>
      <c r="D728" s="0" t="s">
        <v>1722</v>
      </c>
    </row>
    <row r="729" customFormat="false" ht="13.5" hidden="false" customHeight="false" outlineLevel="0" collapsed="false">
      <c r="A729" s="0" t="s">
        <v>1723</v>
      </c>
      <c r="B729" s="0" t="s">
        <v>1724</v>
      </c>
      <c r="C729" s="0" t="s">
        <v>31</v>
      </c>
      <c r="D729" s="0" t="s">
        <v>19</v>
      </c>
      <c r="E729" s="0" t="s">
        <v>1725</v>
      </c>
      <c r="F729" s="0" t="s">
        <v>1673</v>
      </c>
    </row>
    <row r="730" customFormat="false" ht="13.5" hidden="false" customHeight="false" outlineLevel="0" collapsed="false">
      <c r="A730" s="0" t="s">
        <v>1726</v>
      </c>
      <c r="B730" s="0" t="s">
        <v>1727</v>
      </c>
      <c r="C730" s="0" t="s">
        <v>31</v>
      </c>
      <c r="D730" s="0" t="s">
        <v>16</v>
      </c>
      <c r="E730" s="0" t="s">
        <v>36</v>
      </c>
      <c r="F730" s="0" t="s">
        <v>1669</v>
      </c>
    </row>
    <row r="731" customFormat="false" ht="13.5" hidden="false" customHeight="false" outlineLevel="0" collapsed="false">
      <c r="A731" s="0" t="s">
        <v>1728</v>
      </c>
      <c r="B731" s="0" t="s">
        <v>1729</v>
      </c>
      <c r="C731" s="0" t="s">
        <v>31</v>
      </c>
      <c r="D731" s="0" t="s">
        <v>19</v>
      </c>
      <c r="F731" s="0" t="s">
        <v>1695</v>
      </c>
    </row>
    <row r="732" customFormat="false" ht="13.5" hidden="false" customHeight="false" outlineLevel="0" collapsed="false">
      <c r="A732" s="0" t="s">
        <v>1730</v>
      </c>
      <c r="B732" s="0" t="s">
        <v>1731</v>
      </c>
      <c r="C732" s="0" t="s">
        <v>31</v>
      </c>
      <c r="D732" s="0" t="s">
        <v>1527</v>
      </c>
    </row>
    <row r="733" customFormat="false" ht="13.5" hidden="false" customHeight="false" outlineLevel="0" collapsed="false">
      <c r="A733" s="0" t="s">
        <v>1732</v>
      </c>
      <c r="B733" s="0" t="s">
        <v>1733</v>
      </c>
      <c r="C733" s="0" t="s">
        <v>31</v>
      </c>
      <c r="D733" s="0" t="s">
        <v>19</v>
      </c>
      <c r="E733" s="0" t="s">
        <v>869</v>
      </c>
      <c r="F733" s="0" t="s">
        <v>1734</v>
      </c>
    </row>
    <row r="734" customFormat="false" ht="13.5" hidden="false" customHeight="false" outlineLevel="0" collapsed="false">
      <c r="A734" s="0" t="s">
        <v>1735</v>
      </c>
      <c r="B734" s="0" t="s">
        <v>1736</v>
      </c>
      <c r="C734" s="0" t="s">
        <v>31</v>
      </c>
      <c r="D734" s="0" t="s">
        <v>1737</v>
      </c>
    </row>
    <row r="735" customFormat="false" ht="13.5" hidden="false" customHeight="false" outlineLevel="0" collapsed="false">
      <c r="A735" s="0" t="s">
        <v>1738</v>
      </c>
      <c r="B735" s="0" t="s">
        <v>1739</v>
      </c>
      <c r="C735" s="0" t="s">
        <v>31</v>
      </c>
      <c r="D735" s="0" t="s">
        <v>16</v>
      </c>
      <c r="E735" s="0" t="s">
        <v>36</v>
      </c>
      <c r="F735" s="0" t="s">
        <v>1740</v>
      </c>
    </row>
    <row r="736" customFormat="false" ht="13.5" hidden="false" customHeight="false" outlineLevel="0" collapsed="false">
      <c r="A736" s="0" t="s">
        <v>1741</v>
      </c>
      <c r="B736" s="0" t="s">
        <v>1742</v>
      </c>
      <c r="C736" s="0" t="s">
        <v>31</v>
      </c>
      <c r="D736" s="0" t="s">
        <v>1743</v>
      </c>
      <c r="E736" s="0" t="s">
        <v>200</v>
      </c>
    </row>
    <row r="737" customFormat="false" ht="13.5" hidden="false" customHeight="false" outlineLevel="0" collapsed="false">
      <c r="A737" s="0" t="s">
        <v>1744</v>
      </c>
      <c r="B737" s="0" t="s">
        <v>1745</v>
      </c>
      <c r="C737" s="0" t="s">
        <v>31</v>
      </c>
      <c r="D737" s="0" t="s">
        <v>1746</v>
      </c>
    </row>
    <row r="738" customFormat="false" ht="13.5" hidden="false" customHeight="false" outlineLevel="0" collapsed="false">
      <c r="A738" s="0" t="s">
        <v>1747</v>
      </c>
      <c r="B738" s="0" t="s">
        <v>1748</v>
      </c>
      <c r="C738" s="0" t="s">
        <v>31</v>
      </c>
      <c r="D738" s="0" t="s">
        <v>16</v>
      </c>
      <c r="E738" s="0" t="s">
        <v>53</v>
      </c>
      <c r="F738" s="0" t="s">
        <v>1749</v>
      </c>
    </row>
    <row r="739" customFormat="false" ht="13.5" hidden="false" customHeight="false" outlineLevel="0" collapsed="false">
      <c r="A739" s="0" t="s">
        <v>1750</v>
      </c>
      <c r="B739" s="0" t="s">
        <v>1751</v>
      </c>
      <c r="C739" s="0" t="s">
        <v>31</v>
      </c>
      <c r="D739" s="0" t="s">
        <v>1704</v>
      </c>
    </row>
    <row r="740" customFormat="false" ht="13.5" hidden="false" customHeight="false" outlineLevel="0" collapsed="false">
      <c r="A740" s="0" t="s">
        <v>1752</v>
      </c>
      <c r="B740" s="0" t="s">
        <v>1753</v>
      </c>
      <c r="C740" s="0" t="s">
        <v>31</v>
      </c>
      <c r="D740" s="0" t="s">
        <v>1754</v>
      </c>
    </row>
    <row r="741" customFormat="false" ht="13.5" hidden="false" customHeight="false" outlineLevel="0" collapsed="false">
      <c r="A741" s="0" t="s">
        <v>1755</v>
      </c>
      <c r="B741" s="0" t="s">
        <v>1756</v>
      </c>
      <c r="C741" s="0" t="s">
        <v>31</v>
      </c>
      <c r="D741" s="0" t="s">
        <v>1540</v>
      </c>
    </row>
    <row r="742" customFormat="false" ht="13.5" hidden="false" customHeight="false" outlineLevel="0" collapsed="false">
      <c r="A742" s="0" t="s">
        <v>1757</v>
      </c>
      <c r="B742" s="0" t="s">
        <v>1758</v>
      </c>
      <c r="C742" s="0" t="s">
        <v>31</v>
      </c>
      <c r="D742" s="0" t="s">
        <v>1651</v>
      </c>
    </row>
    <row r="743" customFormat="false" ht="13.5" hidden="false" customHeight="false" outlineLevel="0" collapsed="false">
      <c r="A743" s="0" t="s">
        <v>1759</v>
      </c>
      <c r="B743" s="0" t="s">
        <v>1760</v>
      </c>
      <c r="C743" s="0" t="s">
        <v>31</v>
      </c>
      <c r="D743" s="0" t="s">
        <v>1761</v>
      </c>
    </row>
    <row r="744" customFormat="false" ht="13.5" hidden="false" customHeight="false" outlineLevel="0" collapsed="false">
      <c r="A744" s="0" t="s">
        <v>1762</v>
      </c>
      <c r="B744" s="0" t="s">
        <v>1697</v>
      </c>
      <c r="C744" s="0" t="s">
        <v>31</v>
      </c>
      <c r="D744" s="0" t="s">
        <v>1651</v>
      </c>
    </row>
    <row r="745" customFormat="false" ht="13.5" hidden="false" customHeight="false" outlineLevel="0" collapsed="false">
      <c r="A745" s="0" t="s">
        <v>1763</v>
      </c>
      <c r="B745" s="0" t="s">
        <v>1764</v>
      </c>
      <c r="C745" s="0" t="s">
        <v>31</v>
      </c>
      <c r="D745" s="0" t="s">
        <v>16</v>
      </c>
      <c r="E745" s="0" t="s">
        <v>1765</v>
      </c>
    </row>
    <row r="746" customFormat="false" ht="13.5" hidden="false" customHeight="false" outlineLevel="0" collapsed="false">
      <c r="A746" s="0" t="s">
        <v>1766</v>
      </c>
      <c r="B746" s="0" t="s">
        <v>1767</v>
      </c>
      <c r="C746" s="0" t="s">
        <v>31</v>
      </c>
      <c r="D746" s="0" t="s">
        <v>413</v>
      </c>
    </row>
    <row r="747" customFormat="false" ht="13.5" hidden="false" customHeight="false" outlineLevel="0" collapsed="false">
      <c r="A747" s="0" t="s">
        <v>1768</v>
      </c>
      <c r="B747" s="0" t="s">
        <v>1769</v>
      </c>
      <c r="C747" s="0" t="s">
        <v>31</v>
      </c>
      <c r="D747" s="0" t="s">
        <v>1754</v>
      </c>
    </row>
    <row r="748" customFormat="false" ht="13.5" hidden="false" customHeight="false" outlineLevel="0" collapsed="false">
      <c r="A748" s="0" t="s">
        <v>1770</v>
      </c>
      <c r="B748" s="0" t="s">
        <v>1771</v>
      </c>
      <c r="C748" s="0" t="s">
        <v>31</v>
      </c>
      <c r="D748" s="0" t="s">
        <v>1772</v>
      </c>
    </row>
    <row r="749" customFormat="false" ht="13.5" hidden="false" customHeight="false" outlineLevel="0" collapsed="false">
      <c r="A749" s="0" t="s">
        <v>1773</v>
      </c>
      <c r="B749" s="0" t="s">
        <v>1774</v>
      </c>
      <c r="C749" s="0" t="s">
        <v>31</v>
      </c>
      <c r="D749" s="0" t="s">
        <v>413</v>
      </c>
    </row>
    <row r="750" customFormat="false" ht="13.5" hidden="false" customHeight="false" outlineLevel="0" collapsed="false">
      <c r="A750" s="0" t="s">
        <v>1775</v>
      </c>
      <c r="B750" s="0" t="s">
        <v>1776</v>
      </c>
      <c r="C750" s="0" t="s">
        <v>31</v>
      </c>
      <c r="D750" s="0" t="s">
        <v>1704</v>
      </c>
    </row>
    <row r="751" customFormat="false" ht="13.5" hidden="false" customHeight="false" outlineLevel="0" collapsed="false">
      <c r="A751" s="0" t="s">
        <v>1777</v>
      </c>
      <c r="B751" s="0" t="s">
        <v>1778</v>
      </c>
      <c r="C751" s="0" t="s">
        <v>31</v>
      </c>
      <c r="D751" s="0" t="s">
        <v>1779</v>
      </c>
    </row>
    <row r="752" customFormat="false" ht="13.5" hidden="false" customHeight="false" outlineLevel="0" collapsed="false">
      <c r="A752" s="0" t="s">
        <v>1780</v>
      </c>
      <c r="B752" s="0" t="s">
        <v>1781</v>
      </c>
      <c r="C752" s="0" t="s">
        <v>31</v>
      </c>
      <c r="D752" s="0" t="s">
        <v>19</v>
      </c>
      <c r="E752" s="0" t="s">
        <v>59</v>
      </c>
      <c r="F752" s="0" t="s">
        <v>1782</v>
      </c>
    </row>
    <row r="753" customFormat="false" ht="13.5" hidden="false" customHeight="false" outlineLevel="0" collapsed="false">
      <c r="A753" s="0" t="s">
        <v>1783</v>
      </c>
      <c r="B753" s="0" t="s">
        <v>1784</v>
      </c>
      <c r="C753" s="0" t="s">
        <v>31</v>
      </c>
      <c r="D753" s="0" t="s">
        <v>413</v>
      </c>
      <c r="E753" s="0" t="s">
        <v>480</v>
      </c>
      <c r="F753" s="0" t="s">
        <v>1785</v>
      </c>
    </row>
    <row r="754" customFormat="false" ht="13.5" hidden="false" customHeight="false" outlineLevel="0" collapsed="false">
      <c r="A754" s="0" t="s">
        <v>214</v>
      </c>
      <c r="B754" s="0" t="s">
        <v>215</v>
      </c>
      <c r="C754" s="0" t="s">
        <v>31</v>
      </c>
      <c r="D754" s="0" t="s">
        <v>16</v>
      </c>
      <c r="E754" s="0" t="s">
        <v>36</v>
      </c>
      <c r="F754" s="0" t="s">
        <v>1786</v>
      </c>
    </row>
    <row r="755" customFormat="false" ht="13.5" hidden="false" customHeight="false" outlineLevel="0" collapsed="false">
      <c r="A755" s="0" t="s">
        <v>1787</v>
      </c>
      <c r="B755" s="0" t="s">
        <v>1788</v>
      </c>
      <c r="C755" s="0" t="s">
        <v>31</v>
      </c>
      <c r="D755" s="0" t="s">
        <v>19</v>
      </c>
      <c r="E755" s="0" t="s">
        <v>1695</v>
      </c>
    </row>
    <row r="756" customFormat="false" ht="13.5" hidden="false" customHeight="false" outlineLevel="0" collapsed="false">
      <c r="A756" s="0" t="s">
        <v>1789</v>
      </c>
      <c r="B756" s="0" t="s">
        <v>1790</v>
      </c>
      <c r="C756" s="0" t="s">
        <v>31</v>
      </c>
      <c r="D756" s="0" t="s">
        <v>1657</v>
      </c>
    </row>
    <row r="757" customFormat="false" ht="13.5" hidden="false" customHeight="false" outlineLevel="0" collapsed="false">
      <c r="A757" s="0" t="s">
        <v>1791</v>
      </c>
      <c r="B757" s="0" t="s">
        <v>1792</v>
      </c>
      <c r="C757" s="0" t="s">
        <v>31</v>
      </c>
      <c r="D757" s="0" t="s">
        <v>1704</v>
      </c>
    </row>
    <row r="758" customFormat="false" ht="13.5" hidden="false" customHeight="false" outlineLevel="0" collapsed="false">
      <c r="A758" s="0" t="s">
        <v>1793</v>
      </c>
      <c r="B758" s="0" t="s">
        <v>1794</v>
      </c>
      <c r="C758" s="0" t="s">
        <v>31</v>
      </c>
      <c r="D758" s="0" t="s">
        <v>1592</v>
      </c>
    </row>
    <row r="759" customFormat="false" ht="13.5" hidden="false" customHeight="false" outlineLevel="0" collapsed="false">
      <c r="A759" s="0" t="s">
        <v>1795</v>
      </c>
      <c r="B759" s="0" t="s">
        <v>1796</v>
      </c>
      <c r="C759" s="0" t="s">
        <v>31</v>
      </c>
      <c r="D759" s="0" t="s">
        <v>19</v>
      </c>
      <c r="E759" s="0" t="s">
        <v>1797</v>
      </c>
      <c r="F759" s="0" t="s">
        <v>60</v>
      </c>
    </row>
    <row r="760" customFormat="false" ht="13.5" hidden="false" customHeight="false" outlineLevel="0" collapsed="false">
      <c r="A760" s="0" t="s">
        <v>1798</v>
      </c>
      <c r="B760" s="0" t="s">
        <v>1799</v>
      </c>
      <c r="C760" s="0" t="s">
        <v>31</v>
      </c>
      <c r="D760" s="0" t="s">
        <v>1592</v>
      </c>
    </row>
    <row r="761" customFormat="false" ht="13.5" hidden="false" customHeight="false" outlineLevel="0" collapsed="false">
      <c r="A761" s="0" t="s">
        <v>1800</v>
      </c>
      <c r="B761" s="0" t="s">
        <v>1801</v>
      </c>
      <c r="C761" s="0" t="s">
        <v>31</v>
      </c>
      <c r="D761" s="0" t="s">
        <v>16</v>
      </c>
      <c r="E761" s="0" t="s">
        <v>36</v>
      </c>
      <c r="F761" s="0" t="s">
        <v>1669</v>
      </c>
    </row>
    <row r="762" customFormat="false" ht="13.5" hidden="false" customHeight="false" outlineLevel="0" collapsed="false">
      <c r="A762" s="0" t="s">
        <v>1802</v>
      </c>
      <c r="B762" s="0" t="s">
        <v>1803</v>
      </c>
      <c r="C762" s="0" t="s">
        <v>31</v>
      </c>
      <c r="D762" s="0" t="s">
        <v>19</v>
      </c>
      <c r="E762" s="0" t="s">
        <v>869</v>
      </c>
      <c r="F762" s="0" t="s">
        <v>60</v>
      </c>
    </row>
    <row r="763" customFormat="false" ht="13.5" hidden="false" customHeight="false" outlineLevel="0" collapsed="false">
      <c r="A763" s="0" t="s">
        <v>1804</v>
      </c>
      <c r="B763" s="0" t="s">
        <v>1805</v>
      </c>
      <c r="C763" s="0" t="s">
        <v>31</v>
      </c>
      <c r="D763" s="0" t="s">
        <v>16</v>
      </c>
      <c r="E763" s="0" t="s">
        <v>36</v>
      </c>
    </row>
    <row r="764" customFormat="false" ht="13.5" hidden="false" customHeight="false" outlineLevel="0" collapsed="false">
      <c r="A764" s="0" t="s">
        <v>1806</v>
      </c>
      <c r="B764" s="0" t="s">
        <v>1807</v>
      </c>
      <c r="C764" s="0" t="s">
        <v>31</v>
      </c>
      <c r="D764" s="0" t="s">
        <v>19</v>
      </c>
      <c r="E764" s="0" t="s">
        <v>98</v>
      </c>
      <c r="F764" s="0" t="s">
        <v>1808</v>
      </c>
    </row>
    <row r="765" customFormat="false" ht="13.5" hidden="false" customHeight="false" outlineLevel="0" collapsed="false">
      <c r="A765" s="0" t="s">
        <v>1809</v>
      </c>
      <c r="B765" s="0" t="s">
        <v>1810</v>
      </c>
      <c r="C765" s="0" t="s">
        <v>31</v>
      </c>
      <c r="D765" s="0" t="s">
        <v>19</v>
      </c>
      <c r="E765" s="0" t="s">
        <v>208</v>
      </c>
      <c r="F765" s="0" t="s">
        <v>1811</v>
      </c>
    </row>
    <row r="766" customFormat="false" ht="13.5" hidden="false" customHeight="false" outlineLevel="0" collapsed="false">
      <c r="A766" s="0" t="s">
        <v>1812</v>
      </c>
      <c r="B766" s="0" t="s">
        <v>1813</v>
      </c>
      <c r="C766" s="0" t="s">
        <v>31</v>
      </c>
      <c r="D766" s="0" t="s">
        <v>1814</v>
      </c>
    </row>
    <row r="767" customFormat="false" ht="13.5" hidden="false" customHeight="false" outlineLevel="0" collapsed="false">
      <c r="A767" s="0" t="s">
        <v>1815</v>
      </c>
      <c r="B767" s="0" t="s">
        <v>1816</v>
      </c>
      <c r="C767" s="0" t="s">
        <v>31</v>
      </c>
      <c r="D767" s="0" t="s">
        <v>19</v>
      </c>
      <c r="E767" s="0" t="s">
        <v>483</v>
      </c>
      <c r="F767" s="0" t="s">
        <v>1782</v>
      </c>
    </row>
    <row r="768" customFormat="false" ht="13.5" hidden="false" customHeight="false" outlineLevel="0" collapsed="false">
      <c r="A768" s="0" t="s">
        <v>1817</v>
      </c>
      <c r="B768" s="0" t="s">
        <v>1818</v>
      </c>
      <c r="C768" s="0" t="s">
        <v>31</v>
      </c>
      <c r="D768" s="0" t="s">
        <v>1722</v>
      </c>
    </row>
    <row r="769" customFormat="false" ht="13.5" hidden="false" customHeight="false" outlineLevel="0" collapsed="false">
      <c r="A769" s="0" t="s">
        <v>1819</v>
      </c>
      <c r="B769" s="0" t="s">
        <v>1745</v>
      </c>
      <c r="C769" s="0" t="s">
        <v>31</v>
      </c>
      <c r="D769" s="0" t="s">
        <v>16</v>
      </c>
      <c r="F769" s="0" t="s">
        <v>1820</v>
      </c>
    </row>
    <row r="770" customFormat="false" ht="13.5" hidden="false" customHeight="false" outlineLevel="0" collapsed="false">
      <c r="A770" s="0" t="s">
        <v>1821</v>
      </c>
      <c r="B770" s="0" t="s">
        <v>1822</v>
      </c>
      <c r="C770" s="0" t="s">
        <v>31</v>
      </c>
      <c r="D770" s="0" t="s">
        <v>1592</v>
      </c>
    </row>
    <row r="771" customFormat="false" ht="13.5" hidden="false" customHeight="false" outlineLevel="0" collapsed="false">
      <c r="A771" s="0" t="s">
        <v>1823</v>
      </c>
      <c r="B771" s="0" t="s">
        <v>1824</v>
      </c>
      <c r="C771" s="0" t="s">
        <v>31</v>
      </c>
      <c r="D771" s="0" t="s">
        <v>19</v>
      </c>
      <c r="E771" s="0" t="s">
        <v>312</v>
      </c>
      <c r="F771" s="0" t="s">
        <v>211</v>
      </c>
    </row>
    <row r="772" customFormat="false" ht="13.5" hidden="false" customHeight="false" outlineLevel="0" collapsed="false">
      <c r="A772" s="0" t="s">
        <v>1825</v>
      </c>
      <c r="B772" s="0" t="s">
        <v>1826</v>
      </c>
      <c r="C772" s="0" t="s">
        <v>31</v>
      </c>
      <c r="D772" s="0" t="s">
        <v>413</v>
      </c>
      <c r="E772" s="0" t="s">
        <v>1797</v>
      </c>
    </row>
    <row r="773" customFormat="false" ht="13.5" hidden="false" customHeight="false" outlineLevel="0" collapsed="false">
      <c r="A773" s="0" t="s">
        <v>1827</v>
      </c>
      <c r="B773" s="0" t="s">
        <v>1828</v>
      </c>
      <c r="C773" s="0" t="s">
        <v>31</v>
      </c>
      <c r="D773" s="0" t="s">
        <v>1592</v>
      </c>
    </row>
    <row r="774" customFormat="false" ht="13.5" hidden="false" customHeight="false" outlineLevel="0" collapsed="false">
      <c r="A774" s="0" t="s">
        <v>1829</v>
      </c>
      <c r="B774" s="0" t="s">
        <v>1830</v>
      </c>
      <c r="C774" s="0" t="s">
        <v>31</v>
      </c>
      <c r="D774" s="0" t="s">
        <v>1754</v>
      </c>
    </row>
    <row r="775" customFormat="false" ht="13.5" hidden="false" customHeight="false" outlineLevel="0" collapsed="false">
      <c r="A775" s="0" t="s">
        <v>1831</v>
      </c>
      <c r="B775" s="0" t="s">
        <v>1832</v>
      </c>
      <c r="C775" s="0" t="s">
        <v>31</v>
      </c>
      <c r="D775" s="0" t="s">
        <v>1704</v>
      </c>
      <c r="F775" s="0" t="s">
        <v>60</v>
      </c>
    </row>
    <row r="776" customFormat="false" ht="13.5" hidden="false" customHeight="false" outlineLevel="0" collapsed="false">
      <c r="A776" s="0" t="s">
        <v>1833</v>
      </c>
      <c r="B776" s="0" t="s">
        <v>1834</v>
      </c>
      <c r="C776" s="0" t="s">
        <v>31</v>
      </c>
      <c r="D776" s="0" t="s">
        <v>1592</v>
      </c>
    </row>
    <row r="777" customFormat="false" ht="13.5" hidden="false" customHeight="false" outlineLevel="0" collapsed="false">
      <c r="A777" s="0" t="s">
        <v>1835</v>
      </c>
      <c r="B777" s="0" t="s">
        <v>1836</v>
      </c>
      <c r="C777" s="0" t="s">
        <v>31</v>
      </c>
      <c r="D777" s="0" t="s">
        <v>19</v>
      </c>
      <c r="E777" s="0" t="s">
        <v>229</v>
      </c>
      <c r="F777" s="0" t="s">
        <v>60</v>
      </c>
    </row>
    <row r="778" customFormat="false" ht="13.5" hidden="false" customHeight="false" outlineLevel="0" collapsed="false">
      <c r="A778" s="0" t="s">
        <v>1837</v>
      </c>
      <c r="B778" s="0" t="s">
        <v>1838</v>
      </c>
      <c r="C778" s="0" t="s">
        <v>31</v>
      </c>
      <c r="D778" s="0" t="s">
        <v>1651</v>
      </c>
    </row>
    <row r="779" customFormat="false" ht="13.5" hidden="false" customHeight="false" outlineLevel="0" collapsed="false">
      <c r="A779" s="0" t="s">
        <v>1839</v>
      </c>
      <c r="B779" s="0" t="s">
        <v>1840</v>
      </c>
      <c r="C779" s="0" t="s">
        <v>31</v>
      </c>
      <c r="D779" s="0" t="s">
        <v>1651</v>
      </c>
      <c r="F779" s="0" t="s">
        <v>60</v>
      </c>
    </row>
    <row r="780" customFormat="false" ht="13.5" hidden="false" customHeight="false" outlineLevel="0" collapsed="false">
      <c r="A780" s="0" t="s">
        <v>1841</v>
      </c>
      <c r="B780" s="0" t="s">
        <v>1842</v>
      </c>
      <c r="C780" s="0" t="s">
        <v>31</v>
      </c>
      <c r="D780" s="0" t="s">
        <v>19</v>
      </c>
      <c r="E780" s="0" t="s">
        <v>47</v>
      </c>
      <c r="F780" s="0" t="s">
        <v>1782</v>
      </c>
    </row>
    <row r="781" customFormat="false" ht="13.5" hidden="false" customHeight="false" outlineLevel="0" collapsed="false">
      <c r="A781" s="0" t="s">
        <v>1843</v>
      </c>
      <c r="B781" s="0" t="s">
        <v>1844</v>
      </c>
      <c r="C781" s="0" t="s">
        <v>31</v>
      </c>
      <c r="D781" s="0" t="s">
        <v>19</v>
      </c>
      <c r="E781" s="0" t="s">
        <v>1845</v>
      </c>
      <c r="F781" s="0" t="s">
        <v>60</v>
      </c>
    </row>
    <row r="782" customFormat="false" ht="13.5" hidden="false" customHeight="false" outlineLevel="0" collapsed="false">
      <c r="A782" s="0" t="s">
        <v>1846</v>
      </c>
      <c r="B782" s="0" t="s">
        <v>1847</v>
      </c>
      <c r="C782" s="0" t="s">
        <v>31</v>
      </c>
      <c r="D782" s="0" t="s">
        <v>1848</v>
      </c>
    </row>
    <row r="783" customFormat="false" ht="13.5" hidden="false" customHeight="false" outlineLevel="0" collapsed="false">
      <c r="A783" s="0" t="s">
        <v>1849</v>
      </c>
      <c r="B783" s="0" t="s">
        <v>1850</v>
      </c>
      <c r="C783" s="0" t="s">
        <v>31</v>
      </c>
      <c r="D783" s="0" t="s">
        <v>1699</v>
      </c>
    </row>
    <row r="784" customFormat="false" ht="13.5" hidden="false" customHeight="false" outlineLevel="0" collapsed="false">
      <c r="A784" s="0" t="s">
        <v>1851</v>
      </c>
      <c r="B784" s="0" t="s">
        <v>1852</v>
      </c>
      <c r="C784" s="0" t="s">
        <v>31</v>
      </c>
      <c r="D784" s="0" t="s">
        <v>1540</v>
      </c>
    </row>
    <row r="785" customFormat="false" ht="13.5" hidden="false" customHeight="false" outlineLevel="0" collapsed="false">
      <c r="A785" s="0" t="s">
        <v>1853</v>
      </c>
      <c r="B785" s="0" t="s">
        <v>1854</v>
      </c>
      <c r="C785" s="0" t="s">
        <v>31</v>
      </c>
      <c r="D785" s="0" t="s">
        <v>1855</v>
      </c>
    </row>
    <row r="786" customFormat="false" ht="13.5" hidden="false" customHeight="false" outlineLevel="0" collapsed="false">
      <c r="A786" s="0" t="s">
        <v>1856</v>
      </c>
      <c r="B786" s="0" t="s">
        <v>443</v>
      </c>
      <c r="C786" s="0" t="s">
        <v>31</v>
      </c>
      <c r="D786" s="0" t="s">
        <v>1651</v>
      </c>
    </row>
    <row r="787" customFormat="false" ht="13.5" hidden="false" customHeight="false" outlineLevel="0" collapsed="false">
      <c r="A787" s="0" t="s">
        <v>1857</v>
      </c>
      <c r="B787" s="0" t="s">
        <v>1858</v>
      </c>
      <c r="C787" s="0" t="s">
        <v>31</v>
      </c>
      <c r="D787" s="0" t="s">
        <v>413</v>
      </c>
      <c r="E787" s="0" t="s">
        <v>1859</v>
      </c>
    </row>
    <row r="788" customFormat="false" ht="13.5" hidden="false" customHeight="false" outlineLevel="0" collapsed="false">
      <c r="A788" s="0" t="s">
        <v>1860</v>
      </c>
      <c r="B788" s="0" t="s">
        <v>1861</v>
      </c>
      <c r="C788" s="0" t="s">
        <v>31</v>
      </c>
      <c r="D788" s="0" t="s">
        <v>1862</v>
      </c>
    </row>
    <row r="789" customFormat="false" ht="13.5" hidden="false" customHeight="false" outlineLevel="0" collapsed="false">
      <c r="A789" s="0" t="s">
        <v>1863</v>
      </c>
      <c r="B789" s="0" t="s">
        <v>1864</v>
      </c>
      <c r="C789" s="0" t="s">
        <v>31</v>
      </c>
      <c r="D789" s="0" t="s">
        <v>1865</v>
      </c>
    </row>
    <row r="790" customFormat="false" ht="13.5" hidden="false" customHeight="false" outlineLevel="0" collapsed="false">
      <c r="A790" s="0" t="s">
        <v>1866</v>
      </c>
      <c r="B790" s="0" t="s">
        <v>1867</v>
      </c>
      <c r="C790" s="0" t="s">
        <v>31</v>
      </c>
      <c r="D790" s="0" t="s">
        <v>1704</v>
      </c>
    </row>
    <row r="791" customFormat="false" ht="13.5" hidden="false" customHeight="false" outlineLevel="0" collapsed="false">
      <c r="A791" s="0" t="s">
        <v>1868</v>
      </c>
      <c r="B791" s="0" t="s">
        <v>1869</v>
      </c>
      <c r="C791" s="0" t="s">
        <v>31</v>
      </c>
      <c r="D791" s="0" t="s">
        <v>1737</v>
      </c>
    </row>
    <row r="792" customFormat="false" ht="13.5" hidden="false" customHeight="false" outlineLevel="0" collapsed="false">
      <c r="A792" s="0" t="s">
        <v>1870</v>
      </c>
      <c r="B792" s="0" t="s">
        <v>1871</v>
      </c>
      <c r="C792" s="0" t="s">
        <v>31</v>
      </c>
      <c r="D792" s="0" t="s">
        <v>19</v>
      </c>
      <c r="E792" s="0" t="s">
        <v>12</v>
      </c>
      <c r="F792" s="0" t="s">
        <v>60</v>
      </c>
    </row>
    <row r="793" customFormat="false" ht="13.5" hidden="false" customHeight="false" outlineLevel="0" collapsed="false">
      <c r="A793" s="0" t="s">
        <v>1872</v>
      </c>
      <c r="B793" s="0" t="s">
        <v>1873</v>
      </c>
      <c r="C793" s="0" t="s">
        <v>31</v>
      </c>
      <c r="D793" s="0" t="s">
        <v>1737</v>
      </c>
    </row>
    <row r="794" customFormat="false" ht="13.5" hidden="false" customHeight="false" outlineLevel="0" collapsed="false">
      <c r="A794" s="0" t="s">
        <v>1874</v>
      </c>
      <c r="B794" s="0" t="s">
        <v>1875</v>
      </c>
      <c r="C794" s="0" t="s">
        <v>31</v>
      </c>
      <c r="D794" s="0" t="s">
        <v>1704</v>
      </c>
    </row>
    <row r="795" customFormat="false" ht="13.5" hidden="false" customHeight="false" outlineLevel="0" collapsed="false">
      <c r="A795" s="0" t="s">
        <v>1876</v>
      </c>
      <c r="B795" s="0" t="s">
        <v>1877</v>
      </c>
      <c r="C795" s="0" t="s">
        <v>31</v>
      </c>
      <c r="D795" s="0" t="s">
        <v>1592</v>
      </c>
    </row>
    <row r="796" customFormat="false" ht="13.5" hidden="false" customHeight="false" outlineLevel="0" collapsed="false">
      <c r="A796" s="0" t="s">
        <v>1878</v>
      </c>
      <c r="B796" s="0" t="s">
        <v>1879</v>
      </c>
      <c r="C796" s="0" t="s">
        <v>31</v>
      </c>
      <c r="D796" s="0" t="s">
        <v>19</v>
      </c>
      <c r="E796" s="0" t="s">
        <v>970</v>
      </c>
      <c r="F796" s="0" t="s">
        <v>1880</v>
      </c>
    </row>
    <row r="797" customFormat="false" ht="13.5" hidden="false" customHeight="false" outlineLevel="0" collapsed="false">
      <c r="A797" s="0" t="s">
        <v>1881</v>
      </c>
      <c r="B797" s="0" t="s">
        <v>1882</v>
      </c>
      <c r="C797" s="0" t="s">
        <v>31</v>
      </c>
      <c r="D797" s="0" t="s">
        <v>1704</v>
      </c>
      <c r="F797" s="0" t="s">
        <v>60</v>
      </c>
    </row>
    <row r="798" customFormat="false" ht="13.5" hidden="false" customHeight="false" outlineLevel="0" collapsed="false">
      <c r="A798" s="0" t="s">
        <v>1883</v>
      </c>
      <c r="B798" s="0" t="s">
        <v>1884</v>
      </c>
      <c r="C798" s="0" t="s">
        <v>31</v>
      </c>
      <c r="D798" s="0" t="s">
        <v>1508</v>
      </c>
    </row>
    <row r="799" customFormat="false" ht="13.5" hidden="false" customHeight="false" outlineLevel="0" collapsed="false">
      <c r="A799" s="0" t="s">
        <v>1885</v>
      </c>
      <c r="B799" s="0" t="s">
        <v>1886</v>
      </c>
      <c r="C799" s="0" t="s">
        <v>31</v>
      </c>
      <c r="D799" s="0" t="s">
        <v>1592</v>
      </c>
    </row>
    <row r="800" customFormat="false" ht="13.5" hidden="false" customHeight="false" outlineLevel="0" collapsed="false">
      <c r="A800" s="0" t="s">
        <v>1887</v>
      </c>
      <c r="B800" s="0" t="s">
        <v>1888</v>
      </c>
      <c r="C800" s="0" t="s">
        <v>31</v>
      </c>
      <c r="D800" s="0" t="s">
        <v>19</v>
      </c>
      <c r="E800" s="0" t="s">
        <v>1889</v>
      </c>
    </row>
    <row r="801" customFormat="false" ht="13.5" hidden="false" customHeight="false" outlineLevel="0" collapsed="false">
      <c r="A801" s="0" t="s">
        <v>1890</v>
      </c>
      <c r="B801" s="0" t="s">
        <v>1891</v>
      </c>
      <c r="C801" s="0" t="s">
        <v>31</v>
      </c>
      <c r="D801" s="0" t="s">
        <v>1704</v>
      </c>
    </row>
    <row r="802" customFormat="false" ht="13.5" hidden="false" customHeight="false" outlineLevel="0" collapsed="false">
      <c r="A802" s="0" t="s">
        <v>1892</v>
      </c>
      <c r="B802" s="0" t="s">
        <v>1893</v>
      </c>
      <c r="C802" s="0" t="s">
        <v>31</v>
      </c>
      <c r="D802" s="0" t="s">
        <v>1592</v>
      </c>
    </row>
    <row r="803" customFormat="false" ht="13.5" hidden="false" customHeight="false" outlineLevel="0" collapsed="false">
      <c r="A803" s="0" t="s">
        <v>1894</v>
      </c>
      <c r="B803" s="0" t="s">
        <v>1895</v>
      </c>
      <c r="C803" s="0" t="s">
        <v>31</v>
      </c>
      <c r="D803" s="0" t="s">
        <v>1704</v>
      </c>
    </row>
    <row r="804" customFormat="false" ht="13.5" hidden="false" customHeight="false" outlineLevel="0" collapsed="false">
      <c r="A804" s="0" t="s">
        <v>1896</v>
      </c>
      <c r="B804" s="0" t="s">
        <v>1897</v>
      </c>
      <c r="C804" s="0" t="s">
        <v>31</v>
      </c>
      <c r="D804" s="0" t="s">
        <v>1898</v>
      </c>
    </row>
    <row r="805" customFormat="false" ht="13.5" hidden="false" customHeight="false" outlineLevel="0" collapsed="false">
      <c r="A805" s="0" t="s">
        <v>1899</v>
      </c>
      <c r="B805" s="0" t="s">
        <v>1900</v>
      </c>
      <c r="C805" s="0" t="s">
        <v>31</v>
      </c>
      <c r="D805" s="0" t="s">
        <v>19</v>
      </c>
      <c r="E805" s="0" t="s">
        <v>970</v>
      </c>
      <c r="F805" s="0" t="s">
        <v>1901</v>
      </c>
    </row>
    <row r="806" customFormat="false" ht="13.5" hidden="false" customHeight="false" outlineLevel="0" collapsed="false">
      <c r="A806" s="0" t="s">
        <v>1902</v>
      </c>
      <c r="B806" s="0" t="s">
        <v>1903</v>
      </c>
      <c r="C806" s="0" t="s">
        <v>31</v>
      </c>
      <c r="D806" s="0" t="s">
        <v>413</v>
      </c>
      <c r="E806" s="0" t="s">
        <v>150</v>
      </c>
    </row>
    <row r="807" customFormat="false" ht="13.5" hidden="false" customHeight="false" outlineLevel="0" collapsed="false">
      <c r="A807" s="0" t="s">
        <v>1904</v>
      </c>
      <c r="B807" s="0" t="s">
        <v>1905</v>
      </c>
      <c r="C807" s="0" t="s">
        <v>31</v>
      </c>
      <c r="D807" s="0" t="s">
        <v>1699</v>
      </c>
    </row>
    <row r="808" customFormat="false" ht="13.5" hidden="false" customHeight="false" outlineLevel="0" collapsed="false">
      <c r="A808" s="0" t="s">
        <v>1906</v>
      </c>
      <c r="B808" s="0" t="s">
        <v>1907</v>
      </c>
      <c r="C808" s="0" t="s">
        <v>31</v>
      </c>
      <c r="D808" s="0" t="s">
        <v>1737</v>
      </c>
    </row>
    <row r="809" customFormat="false" ht="13.5" hidden="false" customHeight="false" outlineLevel="0" collapsed="false">
      <c r="A809" s="0" t="s">
        <v>1908</v>
      </c>
      <c r="B809" s="0" t="s">
        <v>1909</v>
      </c>
      <c r="C809" s="0" t="s">
        <v>31</v>
      </c>
      <c r="D809" s="0" t="s">
        <v>413</v>
      </c>
    </row>
    <row r="810" customFormat="false" ht="13.5" hidden="false" customHeight="false" outlineLevel="0" collapsed="false">
      <c r="A810" s="0" t="s">
        <v>1910</v>
      </c>
      <c r="B810" s="0" t="s">
        <v>1911</v>
      </c>
      <c r="C810" s="0" t="s">
        <v>31</v>
      </c>
      <c r="D810" s="0" t="s">
        <v>1508</v>
      </c>
    </row>
    <row r="811" customFormat="false" ht="13.5" hidden="false" customHeight="false" outlineLevel="0" collapsed="false">
      <c r="A811" s="0" t="s">
        <v>1912</v>
      </c>
      <c r="B811" s="0" t="s">
        <v>1913</v>
      </c>
      <c r="C811" s="0" t="s">
        <v>31</v>
      </c>
      <c r="D811" s="0" t="s">
        <v>19</v>
      </c>
      <c r="E811" s="0" t="s">
        <v>449</v>
      </c>
      <c r="F811" s="0" t="s">
        <v>1914</v>
      </c>
    </row>
    <row r="812" customFormat="false" ht="13.5" hidden="false" customHeight="false" outlineLevel="0" collapsed="false">
      <c r="A812" s="0" t="s">
        <v>1915</v>
      </c>
      <c r="B812" s="0" t="s">
        <v>1916</v>
      </c>
      <c r="C812" s="0" t="s">
        <v>31</v>
      </c>
      <c r="D812" s="0" t="s">
        <v>69</v>
      </c>
    </row>
    <row r="813" customFormat="false" ht="13.5" hidden="false" customHeight="false" outlineLevel="0" collapsed="false">
      <c r="A813" s="0" t="s">
        <v>1917</v>
      </c>
      <c r="B813" s="0" t="s">
        <v>1918</v>
      </c>
      <c r="C813" s="0" t="s">
        <v>31</v>
      </c>
      <c r="D813" s="0" t="s">
        <v>19</v>
      </c>
      <c r="E813" s="0" t="s">
        <v>1919</v>
      </c>
      <c r="F813" s="0" t="s">
        <v>60</v>
      </c>
    </row>
    <row r="814" customFormat="false" ht="13.5" hidden="false" customHeight="false" outlineLevel="0" collapsed="false">
      <c r="A814" s="0" t="s">
        <v>1920</v>
      </c>
      <c r="B814" s="0" t="s">
        <v>1921</v>
      </c>
      <c r="C814" s="0" t="s">
        <v>31</v>
      </c>
      <c r="D814" s="0" t="s">
        <v>1592</v>
      </c>
    </row>
    <row r="815" customFormat="false" ht="13.5" hidden="false" customHeight="false" outlineLevel="0" collapsed="false">
      <c r="A815" s="0" t="s">
        <v>1922</v>
      </c>
      <c r="B815" s="0" t="s">
        <v>1923</v>
      </c>
      <c r="C815" s="0" t="s">
        <v>31</v>
      </c>
      <c r="D815" s="0" t="s">
        <v>1924</v>
      </c>
    </row>
    <row r="816" customFormat="false" ht="13.5" hidden="false" customHeight="false" outlineLevel="0" collapsed="false">
      <c r="A816" s="0" t="s">
        <v>1925</v>
      </c>
      <c r="B816" s="0" t="s">
        <v>1926</v>
      </c>
      <c r="C816" s="0" t="s">
        <v>31</v>
      </c>
      <c r="D816" s="0" t="s">
        <v>19</v>
      </c>
      <c r="E816" s="0" t="s">
        <v>98</v>
      </c>
      <c r="F816" s="0" t="s">
        <v>1927</v>
      </c>
    </row>
    <row r="817" customFormat="false" ht="13.5" hidden="false" customHeight="false" outlineLevel="0" collapsed="false">
      <c r="A817" s="0" t="s">
        <v>1928</v>
      </c>
      <c r="B817" s="0" t="s">
        <v>1929</v>
      </c>
      <c r="C817" s="0" t="s">
        <v>31</v>
      </c>
      <c r="D817" s="0" t="s">
        <v>1930</v>
      </c>
    </row>
    <row r="818" customFormat="false" ht="13.5" hidden="false" customHeight="false" outlineLevel="0" collapsed="false">
      <c r="A818" s="0" t="s">
        <v>1931</v>
      </c>
      <c r="B818" s="0" t="s">
        <v>1932</v>
      </c>
      <c r="C818" s="0" t="s">
        <v>31</v>
      </c>
      <c r="D818" s="0" t="s">
        <v>1508</v>
      </c>
    </row>
    <row r="819" customFormat="false" ht="13.5" hidden="false" customHeight="false" outlineLevel="0" collapsed="false">
      <c r="A819" s="0" t="s">
        <v>1933</v>
      </c>
      <c r="B819" s="0" t="s">
        <v>1934</v>
      </c>
      <c r="C819" s="0" t="s">
        <v>31</v>
      </c>
      <c r="D819" s="0" t="s">
        <v>1737</v>
      </c>
    </row>
    <row r="820" customFormat="false" ht="13.5" hidden="false" customHeight="false" outlineLevel="0" collapsed="false">
      <c r="A820" s="0" t="s">
        <v>1935</v>
      </c>
      <c r="B820" s="0" t="s">
        <v>1936</v>
      </c>
      <c r="C820" s="0" t="s">
        <v>31</v>
      </c>
      <c r="D820" s="0" t="s">
        <v>1737</v>
      </c>
    </row>
    <row r="821" customFormat="false" ht="13.5" hidden="false" customHeight="false" outlineLevel="0" collapsed="false">
      <c r="A821" s="0" t="s">
        <v>1937</v>
      </c>
      <c r="B821" s="0" t="s">
        <v>1938</v>
      </c>
      <c r="C821" s="0" t="s">
        <v>31</v>
      </c>
      <c r="D821" s="0" t="s">
        <v>19</v>
      </c>
      <c r="E821" s="0" t="s">
        <v>241</v>
      </c>
      <c r="F821" s="0" t="s">
        <v>1939</v>
      </c>
    </row>
    <row r="822" customFormat="false" ht="13.5" hidden="false" customHeight="false" outlineLevel="0" collapsed="false">
      <c r="A822" s="0" t="s">
        <v>1940</v>
      </c>
      <c r="B822" s="0" t="s">
        <v>1941</v>
      </c>
      <c r="C822" s="0" t="s">
        <v>31</v>
      </c>
      <c r="D822" s="0" t="s">
        <v>1737</v>
      </c>
    </row>
    <row r="823" customFormat="false" ht="13.5" hidden="false" customHeight="false" outlineLevel="0" collapsed="false">
      <c r="A823" s="0" t="s">
        <v>1942</v>
      </c>
      <c r="B823" s="0" t="s">
        <v>1943</v>
      </c>
      <c r="C823" s="0" t="s">
        <v>31</v>
      </c>
      <c r="D823" s="0" t="s">
        <v>1704</v>
      </c>
      <c r="F823" s="0" t="s">
        <v>60</v>
      </c>
    </row>
    <row r="824" customFormat="false" ht="13.5" hidden="false" customHeight="false" outlineLevel="0" collapsed="false">
      <c r="A824" s="0" t="s">
        <v>1944</v>
      </c>
      <c r="B824" s="0" t="s">
        <v>1945</v>
      </c>
      <c r="C824" s="0" t="s">
        <v>31</v>
      </c>
      <c r="D824" s="0" t="s">
        <v>19</v>
      </c>
      <c r="E824" s="0" t="s">
        <v>98</v>
      </c>
      <c r="F824" s="0" t="s">
        <v>1946</v>
      </c>
    </row>
    <row r="825" customFormat="false" ht="13.5" hidden="false" customHeight="false" outlineLevel="0" collapsed="false">
      <c r="A825" s="0" t="s">
        <v>1947</v>
      </c>
      <c r="B825" s="0" t="s">
        <v>1948</v>
      </c>
      <c r="C825" s="0" t="s">
        <v>31</v>
      </c>
      <c r="D825" s="0" t="s">
        <v>1949</v>
      </c>
    </row>
    <row r="826" customFormat="false" ht="13.5" hidden="false" customHeight="false" outlineLevel="0" collapsed="false">
      <c r="A826" s="0" t="s">
        <v>1950</v>
      </c>
      <c r="B826" s="0" t="s">
        <v>1951</v>
      </c>
      <c r="C826" s="0" t="s">
        <v>31</v>
      </c>
      <c r="D826" s="0" t="s">
        <v>1737</v>
      </c>
    </row>
    <row r="827" customFormat="false" ht="13.5" hidden="false" customHeight="false" outlineLevel="0" collapsed="false">
      <c r="A827" s="0" t="s">
        <v>1952</v>
      </c>
      <c r="B827" s="0" t="s">
        <v>1953</v>
      </c>
      <c r="C827" s="0" t="s">
        <v>31</v>
      </c>
      <c r="D827" s="0" t="s">
        <v>19</v>
      </c>
      <c r="E827" s="0" t="s">
        <v>1797</v>
      </c>
      <c r="F827" s="0" t="s">
        <v>1954</v>
      </c>
    </row>
    <row r="828" customFormat="false" ht="13.5" hidden="false" customHeight="false" outlineLevel="0" collapsed="false">
      <c r="A828" s="0" t="s">
        <v>1955</v>
      </c>
      <c r="B828" s="0" t="s">
        <v>1956</v>
      </c>
      <c r="C828" s="0" t="s">
        <v>31</v>
      </c>
      <c r="D828" s="0" t="s">
        <v>1957</v>
      </c>
    </row>
    <row r="829" customFormat="false" ht="13.5" hidden="false" customHeight="false" outlineLevel="0" collapsed="false">
      <c r="A829" s="0" t="s">
        <v>1958</v>
      </c>
      <c r="B829" s="0" t="s">
        <v>1959</v>
      </c>
      <c r="C829" s="0" t="s">
        <v>31</v>
      </c>
      <c r="D829" s="0" t="s">
        <v>1924</v>
      </c>
      <c r="G829" s="0" t="s">
        <v>1960</v>
      </c>
    </row>
    <row r="830" customFormat="false" ht="13.5" hidden="false" customHeight="false" outlineLevel="0" collapsed="false">
      <c r="A830" s="0" t="s">
        <v>1961</v>
      </c>
      <c r="B830" s="0" t="s">
        <v>1962</v>
      </c>
      <c r="C830" s="0" t="s">
        <v>31</v>
      </c>
      <c r="D830" s="0" t="s">
        <v>19</v>
      </c>
      <c r="E830" s="0" t="s">
        <v>1963</v>
      </c>
      <c r="F830" s="0" t="s">
        <v>164</v>
      </c>
    </row>
    <row r="831" customFormat="false" ht="13.5" hidden="false" customHeight="false" outlineLevel="0" collapsed="false">
      <c r="A831" s="0" t="s">
        <v>1964</v>
      </c>
      <c r="B831" s="0" t="s">
        <v>1965</v>
      </c>
      <c r="C831" s="0" t="s">
        <v>31</v>
      </c>
      <c r="D831" s="0" t="s">
        <v>1527</v>
      </c>
    </row>
    <row r="832" customFormat="false" ht="13.5" hidden="false" customHeight="false" outlineLevel="0" collapsed="false">
      <c r="A832" s="0" t="s">
        <v>1966</v>
      </c>
      <c r="B832" s="0" t="s">
        <v>1967</v>
      </c>
      <c r="C832" s="0" t="s">
        <v>31</v>
      </c>
      <c r="D832" s="0" t="s">
        <v>1968</v>
      </c>
      <c r="F832" s="0" t="s">
        <v>60</v>
      </c>
    </row>
    <row r="833" customFormat="false" ht="13.5" hidden="false" customHeight="false" outlineLevel="0" collapsed="false">
      <c r="A833" s="0" t="s">
        <v>1969</v>
      </c>
      <c r="B833" s="0" t="s">
        <v>1970</v>
      </c>
      <c r="C833" s="0" t="s">
        <v>31</v>
      </c>
      <c r="D833" s="0" t="s">
        <v>1971</v>
      </c>
    </row>
    <row r="834" customFormat="false" ht="13.5" hidden="false" customHeight="false" outlineLevel="0" collapsed="false">
      <c r="A834" s="0" t="s">
        <v>1972</v>
      </c>
      <c r="B834" s="0" t="s">
        <v>1973</v>
      </c>
      <c r="C834" s="0" t="s">
        <v>31</v>
      </c>
      <c r="D834" s="0" t="s">
        <v>1974</v>
      </c>
    </row>
    <row r="835" customFormat="false" ht="13.5" hidden="false" customHeight="false" outlineLevel="0" collapsed="false">
      <c r="A835" s="0" t="s">
        <v>1975</v>
      </c>
      <c r="B835" s="0" t="s">
        <v>1976</v>
      </c>
      <c r="C835" s="0" t="s">
        <v>31</v>
      </c>
      <c r="D835" s="0" t="s">
        <v>69</v>
      </c>
    </row>
    <row r="836" customFormat="false" ht="13.5" hidden="false" customHeight="false" outlineLevel="0" collapsed="false">
      <c r="A836" s="0" t="s">
        <v>1977</v>
      </c>
      <c r="B836" s="0" t="s">
        <v>1978</v>
      </c>
      <c r="C836" s="0" t="s">
        <v>31</v>
      </c>
      <c r="D836" s="0" t="s">
        <v>413</v>
      </c>
      <c r="E836" s="0" t="s">
        <v>1845</v>
      </c>
    </row>
    <row r="837" customFormat="false" ht="13.5" hidden="false" customHeight="false" outlineLevel="0" collapsed="false">
      <c r="A837" s="0" t="s">
        <v>1979</v>
      </c>
      <c r="B837" s="0" t="s">
        <v>1980</v>
      </c>
      <c r="C837" s="0" t="s">
        <v>31</v>
      </c>
      <c r="D837" s="0" t="s">
        <v>1981</v>
      </c>
    </row>
    <row r="838" customFormat="false" ht="13.5" hidden="false" customHeight="false" outlineLevel="0" collapsed="false">
      <c r="A838" s="0" t="s">
        <v>1982</v>
      </c>
      <c r="B838" s="0" t="s">
        <v>1983</v>
      </c>
      <c r="C838" s="0" t="s">
        <v>31</v>
      </c>
      <c r="D838" s="0" t="s">
        <v>1984</v>
      </c>
    </row>
    <row r="839" customFormat="false" ht="13.5" hidden="false" customHeight="false" outlineLevel="0" collapsed="false">
      <c r="A839" s="0" t="s">
        <v>1985</v>
      </c>
      <c r="B839" s="0" t="s">
        <v>1986</v>
      </c>
      <c r="C839" s="0" t="s">
        <v>31</v>
      </c>
      <c r="D839" s="0" t="s">
        <v>1704</v>
      </c>
      <c r="F839" s="0" t="s">
        <v>60</v>
      </c>
    </row>
    <row r="840" customFormat="false" ht="13.5" hidden="false" customHeight="false" outlineLevel="0" collapsed="false">
      <c r="A840" s="0" t="s">
        <v>1987</v>
      </c>
      <c r="B840" s="0" t="s">
        <v>1988</v>
      </c>
      <c r="C840" s="0" t="s">
        <v>31</v>
      </c>
      <c r="D840" s="0" t="s">
        <v>19</v>
      </c>
      <c r="E840" s="0" t="s">
        <v>1989</v>
      </c>
      <c r="F840" s="0" t="s">
        <v>60</v>
      </c>
    </row>
    <row r="841" customFormat="false" ht="13.5" hidden="false" customHeight="false" outlineLevel="0" collapsed="false">
      <c r="A841" s="0" t="s">
        <v>1990</v>
      </c>
      <c r="B841" s="0" t="s">
        <v>1991</v>
      </c>
      <c r="C841" s="0" t="s">
        <v>31</v>
      </c>
      <c r="D841" s="0" t="s">
        <v>19</v>
      </c>
      <c r="E841" s="0" t="s">
        <v>544</v>
      </c>
      <c r="F841" s="0" t="s">
        <v>60</v>
      </c>
    </row>
    <row r="842" customFormat="false" ht="13.5" hidden="false" customHeight="false" outlineLevel="0" collapsed="false">
      <c r="A842" s="0" t="s">
        <v>1992</v>
      </c>
      <c r="B842" s="0" t="s">
        <v>1993</v>
      </c>
      <c r="C842" s="0" t="s">
        <v>31</v>
      </c>
      <c r="D842" s="0" t="s">
        <v>19</v>
      </c>
      <c r="E842" s="0" t="s">
        <v>1994</v>
      </c>
      <c r="F842" s="0" t="s">
        <v>60</v>
      </c>
    </row>
    <row r="843" customFormat="false" ht="13.5" hidden="false" customHeight="false" outlineLevel="0" collapsed="false">
      <c r="A843" s="0" t="s">
        <v>1995</v>
      </c>
      <c r="B843" s="0" t="s">
        <v>1996</v>
      </c>
      <c r="C843" s="0" t="s">
        <v>31</v>
      </c>
      <c r="D843" s="0" t="s">
        <v>413</v>
      </c>
      <c r="E843" s="0" t="s">
        <v>1997</v>
      </c>
    </row>
    <row r="844" customFormat="false" ht="13.5" hidden="false" customHeight="false" outlineLevel="0" collapsed="false">
      <c r="A844" s="0" t="s">
        <v>1998</v>
      </c>
      <c r="B844" s="0" t="s">
        <v>1983</v>
      </c>
      <c r="C844" s="0" t="s">
        <v>31</v>
      </c>
      <c r="D844" s="0" t="s">
        <v>1984</v>
      </c>
    </row>
    <row r="845" customFormat="false" ht="13.5" hidden="false" customHeight="false" outlineLevel="0" collapsed="false">
      <c r="A845" s="0" t="s">
        <v>1999</v>
      </c>
      <c r="B845" s="0" t="s">
        <v>2000</v>
      </c>
      <c r="C845" s="0" t="s">
        <v>31</v>
      </c>
      <c r="D845" s="0" t="s">
        <v>1527</v>
      </c>
    </row>
    <row r="846" customFormat="false" ht="13.5" hidden="false" customHeight="false" outlineLevel="0" collapsed="false">
      <c r="A846" s="0" t="s">
        <v>2001</v>
      </c>
      <c r="B846" s="0" t="s">
        <v>2002</v>
      </c>
      <c r="C846" s="0" t="s">
        <v>31</v>
      </c>
      <c r="D846" s="0" t="s">
        <v>2003</v>
      </c>
    </row>
    <row r="847" customFormat="false" ht="13.5" hidden="false" customHeight="false" outlineLevel="0" collapsed="false">
      <c r="A847" s="0" t="s">
        <v>2004</v>
      </c>
      <c r="B847" s="0" t="s">
        <v>2005</v>
      </c>
      <c r="C847" s="0" t="s">
        <v>31</v>
      </c>
      <c r="D847" s="0" t="s">
        <v>2003</v>
      </c>
    </row>
    <row r="848" customFormat="false" ht="13.5" hidden="false" customHeight="false" outlineLevel="0" collapsed="false">
      <c r="A848" s="0" t="s">
        <v>2006</v>
      </c>
      <c r="B848" s="0" t="s">
        <v>2007</v>
      </c>
      <c r="C848" s="0" t="s">
        <v>31</v>
      </c>
      <c r="D848" s="0" t="s">
        <v>19</v>
      </c>
      <c r="E848" s="0" t="s">
        <v>2008</v>
      </c>
      <c r="F848" s="0" t="s">
        <v>60</v>
      </c>
    </row>
    <row r="849" customFormat="false" ht="13.5" hidden="false" customHeight="false" outlineLevel="0" collapsed="false">
      <c r="A849" s="0" t="s">
        <v>2009</v>
      </c>
      <c r="B849" s="0" t="s">
        <v>2010</v>
      </c>
      <c r="C849" s="0" t="s">
        <v>31</v>
      </c>
      <c r="D849" s="0" t="s">
        <v>1704</v>
      </c>
      <c r="F849" s="0" t="s">
        <v>60</v>
      </c>
    </row>
    <row r="850" customFormat="false" ht="13.5" hidden="false" customHeight="false" outlineLevel="0" collapsed="false">
      <c r="A850" s="0" t="s">
        <v>2011</v>
      </c>
      <c r="B850" s="0" t="s">
        <v>2012</v>
      </c>
      <c r="C850" s="0" t="s">
        <v>31</v>
      </c>
      <c r="D850" s="0" t="s">
        <v>19</v>
      </c>
      <c r="E850" s="0" t="s">
        <v>181</v>
      </c>
      <c r="F850" s="0" t="s">
        <v>2013</v>
      </c>
    </row>
    <row r="851" customFormat="false" ht="13.5" hidden="false" customHeight="false" outlineLevel="0" collapsed="false">
      <c r="A851" s="0" t="s">
        <v>2014</v>
      </c>
      <c r="B851" s="0" t="s">
        <v>2015</v>
      </c>
      <c r="C851" s="0" t="s">
        <v>31</v>
      </c>
      <c r="D851" s="0" t="s">
        <v>2016</v>
      </c>
    </row>
    <row r="852" customFormat="false" ht="13.5" hidden="false" customHeight="false" outlineLevel="0" collapsed="false">
      <c r="A852" s="0" t="s">
        <v>2017</v>
      </c>
      <c r="B852" s="0" t="s">
        <v>2018</v>
      </c>
      <c r="C852" s="0" t="s">
        <v>31</v>
      </c>
      <c r="D852" s="0" t="s">
        <v>1527</v>
      </c>
    </row>
    <row r="853" customFormat="false" ht="13.5" hidden="false" customHeight="false" outlineLevel="0" collapsed="false">
      <c r="A853" s="0" t="s">
        <v>2019</v>
      </c>
      <c r="B853" s="0" t="s">
        <v>2020</v>
      </c>
      <c r="C853" s="0" t="s">
        <v>31</v>
      </c>
      <c r="D853" s="0" t="s">
        <v>1704</v>
      </c>
    </row>
    <row r="854" customFormat="false" ht="13.5" hidden="false" customHeight="false" outlineLevel="0" collapsed="false">
      <c r="A854" s="0" t="s">
        <v>2021</v>
      </c>
      <c r="B854" s="0" t="s">
        <v>2022</v>
      </c>
      <c r="C854" s="0" t="s">
        <v>31</v>
      </c>
      <c r="D854" s="0" t="s">
        <v>413</v>
      </c>
    </row>
    <row r="855" customFormat="false" ht="13.5" hidden="false" customHeight="false" outlineLevel="0" collapsed="false">
      <c r="A855" s="0" t="s">
        <v>2023</v>
      </c>
      <c r="B855" s="0" t="s">
        <v>2024</v>
      </c>
      <c r="C855" s="0" t="s">
        <v>31</v>
      </c>
      <c r="D855" s="0" t="s">
        <v>19</v>
      </c>
      <c r="E855" s="0" t="s">
        <v>181</v>
      </c>
      <c r="F855" s="0" t="s">
        <v>2013</v>
      </c>
    </row>
    <row r="856" customFormat="false" ht="13.5" hidden="false" customHeight="false" outlineLevel="0" collapsed="false">
      <c r="A856" s="0" t="s">
        <v>2025</v>
      </c>
      <c r="B856" s="0" t="s">
        <v>2026</v>
      </c>
      <c r="C856" s="0" t="s">
        <v>31</v>
      </c>
      <c r="D856" s="0" t="s">
        <v>2027</v>
      </c>
    </row>
    <row r="857" customFormat="false" ht="13.5" hidden="false" customHeight="false" outlineLevel="0" collapsed="false">
      <c r="A857" s="0" t="s">
        <v>2028</v>
      </c>
      <c r="B857" s="0" t="s">
        <v>2029</v>
      </c>
      <c r="C857" s="0" t="s">
        <v>31</v>
      </c>
      <c r="D857" s="0" t="s">
        <v>1592</v>
      </c>
    </row>
    <row r="858" customFormat="false" ht="13.5" hidden="false" customHeight="false" outlineLevel="0" collapsed="false">
      <c r="A858" s="0" t="s">
        <v>2030</v>
      </c>
      <c r="B858" s="0" t="s">
        <v>2031</v>
      </c>
      <c r="C858" s="0" t="s">
        <v>31</v>
      </c>
      <c r="D858" s="0" t="s">
        <v>1984</v>
      </c>
    </row>
    <row r="859" customFormat="false" ht="13.5" hidden="false" customHeight="false" outlineLevel="0" collapsed="false">
      <c r="A859" s="0" t="s">
        <v>2032</v>
      </c>
      <c r="B859" s="0" t="s">
        <v>2033</v>
      </c>
      <c r="C859" s="0" t="s">
        <v>31</v>
      </c>
      <c r="D859" s="0" t="s">
        <v>2034</v>
      </c>
    </row>
    <row r="860" customFormat="false" ht="13.5" hidden="false" customHeight="false" outlineLevel="0" collapsed="false">
      <c r="A860" s="0" t="s">
        <v>2035</v>
      </c>
      <c r="B860" s="0" t="s">
        <v>2036</v>
      </c>
      <c r="C860" s="0" t="s">
        <v>31</v>
      </c>
      <c r="D860" s="0" t="s">
        <v>19</v>
      </c>
      <c r="E860" s="0" t="s">
        <v>241</v>
      </c>
      <c r="F860" s="0" t="s">
        <v>2013</v>
      </c>
    </row>
    <row r="861" customFormat="false" ht="13.5" hidden="false" customHeight="false" outlineLevel="0" collapsed="false">
      <c r="A861" s="0" t="s">
        <v>2037</v>
      </c>
      <c r="B861" s="0" t="s">
        <v>2038</v>
      </c>
      <c r="C861" s="0" t="s">
        <v>31</v>
      </c>
      <c r="D861" s="0" t="s">
        <v>1699</v>
      </c>
    </row>
    <row r="862" customFormat="false" ht="13.5" hidden="false" customHeight="false" outlineLevel="0" collapsed="false">
      <c r="A862" s="0" t="s">
        <v>2039</v>
      </c>
      <c r="B862" s="0" t="s">
        <v>2040</v>
      </c>
      <c r="C862" s="0" t="s">
        <v>31</v>
      </c>
      <c r="D862" s="0" t="s">
        <v>19</v>
      </c>
      <c r="E862" s="0" t="s">
        <v>2041</v>
      </c>
      <c r="F862" s="0" t="s">
        <v>2042</v>
      </c>
    </row>
    <row r="863" customFormat="false" ht="13.5" hidden="false" customHeight="false" outlineLevel="0" collapsed="false">
      <c r="A863" s="0" t="s">
        <v>2043</v>
      </c>
      <c r="B863" s="0" t="s">
        <v>2044</v>
      </c>
      <c r="C863" s="0" t="s">
        <v>31</v>
      </c>
      <c r="D863" s="0" t="s">
        <v>1737</v>
      </c>
    </row>
    <row r="864" customFormat="false" ht="13.5" hidden="false" customHeight="false" outlineLevel="0" collapsed="false">
      <c r="A864" s="0" t="s">
        <v>2045</v>
      </c>
      <c r="B864" s="0" t="s">
        <v>2046</v>
      </c>
      <c r="C864" s="0" t="s">
        <v>31</v>
      </c>
      <c r="D864" s="0" t="s">
        <v>1651</v>
      </c>
    </row>
    <row r="865" customFormat="false" ht="13.5" hidden="false" customHeight="false" outlineLevel="0" collapsed="false">
      <c r="A865" s="0" t="s">
        <v>2047</v>
      </c>
      <c r="B865" s="0" t="s">
        <v>2048</v>
      </c>
      <c r="C865" s="0" t="s">
        <v>31</v>
      </c>
      <c r="D865" s="0" t="s">
        <v>19</v>
      </c>
      <c r="E865" s="0" t="s">
        <v>2049</v>
      </c>
      <c r="F865" s="0" t="s">
        <v>60</v>
      </c>
    </row>
    <row r="866" customFormat="false" ht="13.5" hidden="false" customHeight="false" outlineLevel="0" collapsed="false">
      <c r="A866" s="0" t="s">
        <v>2050</v>
      </c>
      <c r="B866" s="0" t="s">
        <v>2051</v>
      </c>
      <c r="C866" s="0" t="s">
        <v>31</v>
      </c>
      <c r="D866" s="0" t="s">
        <v>19</v>
      </c>
      <c r="E866" s="0" t="s">
        <v>200</v>
      </c>
      <c r="F866" s="0" t="s">
        <v>2013</v>
      </c>
    </row>
    <row r="867" customFormat="false" ht="13.5" hidden="false" customHeight="false" outlineLevel="0" collapsed="false">
      <c r="A867" s="0" t="s">
        <v>2052</v>
      </c>
      <c r="B867" s="0" t="s">
        <v>2053</v>
      </c>
      <c r="C867" s="0" t="s">
        <v>31</v>
      </c>
      <c r="D867" s="0" t="s">
        <v>2054</v>
      </c>
    </row>
    <row r="868" customFormat="false" ht="13.5" hidden="false" customHeight="false" outlineLevel="0" collapsed="false">
      <c r="A868" s="0" t="s">
        <v>2055</v>
      </c>
      <c r="B868" s="0" t="s">
        <v>2056</v>
      </c>
      <c r="C868" s="0" t="s">
        <v>31</v>
      </c>
      <c r="D868" s="0" t="s">
        <v>2057</v>
      </c>
    </row>
    <row r="869" customFormat="false" ht="13.5" hidden="false" customHeight="false" outlineLevel="0" collapsed="false">
      <c r="A869" s="0" t="s">
        <v>2058</v>
      </c>
      <c r="B869" s="0" t="s">
        <v>2059</v>
      </c>
      <c r="C869" s="0" t="s">
        <v>31</v>
      </c>
      <c r="D869" s="0" t="s">
        <v>1737</v>
      </c>
    </row>
    <row r="870" customFormat="false" ht="13.5" hidden="false" customHeight="false" outlineLevel="0" collapsed="false">
      <c r="A870" s="0" t="s">
        <v>2060</v>
      </c>
      <c r="B870" s="0" t="s">
        <v>2061</v>
      </c>
      <c r="C870" s="0" t="s">
        <v>31</v>
      </c>
      <c r="D870" s="0" t="s">
        <v>1592</v>
      </c>
    </row>
    <row r="871" customFormat="false" ht="13.5" hidden="false" customHeight="false" outlineLevel="0" collapsed="false">
      <c r="A871" s="0" t="s">
        <v>2062</v>
      </c>
      <c r="B871" s="0" t="s">
        <v>2063</v>
      </c>
      <c r="C871" s="0" t="s">
        <v>31</v>
      </c>
      <c r="D871" s="0" t="s">
        <v>69</v>
      </c>
    </row>
    <row r="872" customFormat="false" ht="13.5" hidden="false" customHeight="false" outlineLevel="0" collapsed="false">
      <c r="A872" s="0" t="s">
        <v>2064</v>
      </c>
      <c r="B872" s="0" t="s">
        <v>2065</v>
      </c>
      <c r="C872" s="0" t="s">
        <v>31</v>
      </c>
      <c r="D872" s="0" t="s">
        <v>413</v>
      </c>
      <c r="E872" s="0" t="s">
        <v>12</v>
      </c>
    </row>
    <row r="873" customFormat="false" ht="13.5" hidden="false" customHeight="false" outlineLevel="0" collapsed="false">
      <c r="A873" s="0" t="s">
        <v>2066</v>
      </c>
      <c r="B873" s="0" t="s">
        <v>2067</v>
      </c>
      <c r="C873" s="0" t="s">
        <v>31</v>
      </c>
      <c r="D873" s="0" t="s">
        <v>2003</v>
      </c>
    </row>
    <row r="874" customFormat="false" ht="13.5" hidden="false" customHeight="false" outlineLevel="0" collapsed="false">
      <c r="A874" s="0" t="s">
        <v>2068</v>
      </c>
      <c r="B874" s="0" t="s">
        <v>2069</v>
      </c>
      <c r="C874" s="0" t="s">
        <v>31</v>
      </c>
      <c r="D874" s="0" t="s">
        <v>1592</v>
      </c>
    </row>
    <row r="875" customFormat="false" ht="13.5" hidden="false" customHeight="false" outlineLevel="0" collapsed="false">
      <c r="A875" s="0" t="s">
        <v>2070</v>
      </c>
      <c r="B875" s="0" t="s">
        <v>2071</v>
      </c>
      <c r="C875" s="0" t="s">
        <v>31</v>
      </c>
      <c r="D875" s="0" t="s">
        <v>2072</v>
      </c>
    </row>
    <row r="876" customFormat="false" ht="13.5" hidden="false" customHeight="false" outlineLevel="0" collapsed="false">
      <c r="A876" s="0" t="s">
        <v>2073</v>
      </c>
      <c r="B876" s="0" t="s">
        <v>2074</v>
      </c>
      <c r="C876" s="0" t="s">
        <v>31</v>
      </c>
      <c r="D876" s="0" t="s">
        <v>2075</v>
      </c>
    </row>
    <row r="877" customFormat="false" ht="13.5" hidden="false" customHeight="false" outlineLevel="0" collapsed="false">
      <c r="A877" s="0" t="s">
        <v>2076</v>
      </c>
      <c r="B877" s="0" t="s">
        <v>2077</v>
      </c>
      <c r="C877" s="0" t="s">
        <v>31</v>
      </c>
      <c r="D877" s="0" t="s">
        <v>2072</v>
      </c>
    </row>
    <row r="878" customFormat="false" ht="13.5" hidden="false" customHeight="false" outlineLevel="0" collapsed="false">
      <c r="A878" s="0" t="s">
        <v>2078</v>
      </c>
      <c r="B878" s="0" t="s">
        <v>2079</v>
      </c>
      <c r="C878" s="0" t="s">
        <v>31</v>
      </c>
      <c r="D878" s="0" t="s">
        <v>1704</v>
      </c>
    </row>
    <row r="879" customFormat="false" ht="13.5" hidden="false" customHeight="false" outlineLevel="0" collapsed="false">
      <c r="A879" s="0" t="s">
        <v>2080</v>
      </c>
      <c r="B879" s="0" t="s">
        <v>2081</v>
      </c>
      <c r="C879" s="0" t="s">
        <v>31</v>
      </c>
      <c r="D879" s="0" t="s">
        <v>2054</v>
      </c>
    </row>
    <row r="880" customFormat="false" ht="13.5" hidden="false" customHeight="false" outlineLevel="0" collapsed="false">
      <c r="A880" s="0" t="s">
        <v>2082</v>
      </c>
      <c r="B880" s="0" t="s">
        <v>2083</v>
      </c>
      <c r="C880" s="0" t="s">
        <v>31</v>
      </c>
      <c r="D880" s="0" t="s">
        <v>2003</v>
      </c>
    </row>
    <row r="881" customFormat="false" ht="13.5" hidden="false" customHeight="false" outlineLevel="0" collapsed="false">
      <c r="A881" s="0" t="s">
        <v>2084</v>
      </c>
      <c r="B881" s="0" t="s">
        <v>2085</v>
      </c>
      <c r="C881" s="0" t="s">
        <v>31</v>
      </c>
      <c r="D881" s="0" t="s">
        <v>2086</v>
      </c>
    </row>
    <row r="882" customFormat="false" ht="13.5" hidden="false" customHeight="false" outlineLevel="0" collapsed="false">
      <c r="A882" s="0" t="s">
        <v>2087</v>
      </c>
      <c r="B882" s="0" t="s">
        <v>2088</v>
      </c>
      <c r="C882" s="0" t="s">
        <v>31</v>
      </c>
      <c r="D882" s="0" t="s">
        <v>2089</v>
      </c>
    </row>
    <row r="883" customFormat="false" ht="13.5" hidden="false" customHeight="false" outlineLevel="0" collapsed="false">
      <c r="A883" s="0" t="s">
        <v>2090</v>
      </c>
      <c r="B883" s="0" t="s">
        <v>2091</v>
      </c>
      <c r="C883" s="0" t="s">
        <v>31</v>
      </c>
      <c r="D883" s="0" t="s">
        <v>2003</v>
      </c>
    </row>
    <row r="884" customFormat="false" ht="13.5" hidden="false" customHeight="false" outlineLevel="0" collapsed="false">
      <c r="A884" s="0" t="s">
        <v>2092</v>
      </c>
      <c r="B884" s="0" t="s">
        <v>2093</v>
      </c>
      <c r="C884" s="0" t="s">
        <v>31</v>
      </c>
      <c r="D884" s="0" t="s">
        <v>2094</v>
      </c>
    </row>
    <row r="885" customFormat="false" ht="13.5" hidden="false" customHeight="false" outlineLevel="0" collapsed="false">
      <c r="A885" s="0" t="s">
        <v>2095</v>
      </c>
      <c r="B885" s="0" t="s">
        <v>2096</v>
      </c>
      <c r="C885" s="0" t="s">
        <v>31</v>
      </c>
      <c r="D885" s="0" t="s">
        <v>2003</v>
      </c>
    </row>
    <row r="886" customFormat="false" ht="13.5" hidden="false" customHeight="false" outlineLevel="0" collapsed="false">
      <c r="A886" s="0" t="s">
        <v>2097</v>
      </c>
      <c r="B886" s="0" t="s">
        <v>2098</v>
      </c>
      <c r="C886" s="0" t="s">
        <v>31</v>
      </c>
      <c r="D886" s="0" t="s">
        <v>2003</v>
      </c>
    </row>
    <row r="887" customFormat="false" ht="13.5" hidden="false" customHeight="false" outlineLevel="0" collapsed="false">
      <c r="A887" s="0" t="s">
        <v>2099</v>
      </c>
      <c r="B887" s="0" t="s">
        <v>2100</v>
      </c>
      <c r="C887" s="0" t="s">
        <v>31</v>
      </c>
      <c r="D887" s="0" t="s">
        <v>2101</v>
      </c>
    </row>
    <row r="888" customFormat="false" ht="13.5" hidden="false" customHeight="false" outlineLevel="0" collapsed="false">
      <c r="A888" s="0" t="s">
        <v>2102</v>
      </c>
      <c r="B888" s="0" t="s">
        <v>2103</v>
      </c>
      <c r="C888" s="0" t="s">
        <v>31</v>
      </c>
      <c r="D888" s="0" t="s">
        <v>1704</v>
      </c>
    </row>
    <row r="889" customFormat="false" ht="13.5" hidden="false" customHeight="false" outlineLevel="0" collapsed="false">
      <c r="A889" s="0" t="s">
        <v>2104</v>
      </c>
      <c r="B889" s="0" t="s">
        <v>2105</v>
      </c>
      <c r="C889" s="0" t="s">
        <v>31</v>
      </c>
      <c r="D889" s="0" t="s">
        <v>19</v>
      </c>
      <c r="E889" s="0" t="s">
        <v>2106</v>
      </c>
    </row>
    <row r="890" customFormat="false" ht="13.5" hidden="false" customHeight="false" outlineLevel="0" collapsed="false">
      <c r="A890" s="0" t="s">
        <v>2107</v>
      </c>
      <c r="B890" s="0" t="s">
        <v>2108</v>
      </c>
      <c r="C890" s="0" t="s">
        <v>31</v>
      </c>
      <c r="D890" s="0" t="s">
        <v>16</v>
      </c>
      <c r="E890" s="0" t="s">
        <v>36</v>
      </c>
    </row>
    <row r="891" customFormat="false" ht="13.5" hidden="false" customHeight="false" outlineLevel="0" collapsed="false">
      <c r="A891" s="0" t="s">
        <v>2109</v>
      </c>
      <c r="B891" s="0" t="s">
        <v>2110</v>
      </c>
      <c r="C891" s="0" t="s">
        <v>31</v>
      </c>
      <c r="D891" s="0" t="s">
        <v>2111</v>
      </c>
    </row>
    <row r="892" customFormat="false" ht="13.5" hidden="false" customHeight="false" outlineLevel="0" collapsed="false">
      <c r="A892" s="0" t="s">
        <v>2112</v>
      </c>
      <c r="B892" s="0" t="s">
        <v>2113</v>
      </c>
      <c r="C892" s="0" t="s">
        <v>31</v>
      </c>
      <c r="D892" s="0" t="s">
        <v>413</v>
      </c>
      <c r="E892" s="0" t="s">
        <v>98</v>
      </c>
    </row>
    <row r="893" customFormat="false" ht="13.5" hidden="false" customHeight="false" outlineLevel="0" collapsed="false">
      <c r="A893" s="0" t="s">
        <v>2114</v>
      </c>
      <c r="B893" s="0" t="s">
        <v>2115</v>
      </c>
      <c r="C893" s="0" t="s">
        <v>31</v>
      </c>
      <c r="D893" s="0" t="s">
        <v>1592</v>
      </c>
    </row>
    <row r="894" customFormat="false" ht="13.5" hidden="false" customHeight="false" outlineLevel="0" collapsed="false">
      <c r="A894" s="0" t="s">
        <v>2116</v>
      </c>
      <c r="B894" s="0" t="s">
        <v>2117</v>
      </c>
      <c r="C894" s="0" t="s">
        <v>31</v>
      </c>
      <c r="D894" s="0" t="s">
        <v>2072</v>
      </c>
    </row>
    <row r="895" customFormat="false" ht="13.5" hidden="false" customHeight="false" outlineLevel="0" collapsed="false">
      <c r="A895" s="0" t="s">
        <v>2118</v>
      </c>
      <c r="B895" s="0" t="s">
        <v>2119</v>
      </c>
      <c r="C895" s="0" t="s">
        <v>31</v>
      </c>
      <c r="D895" s="0" t="s">
        <v>16</v>
      </c>
      <c r="E895" s="0" t="s">
        <v>36</v>
      </c>
      <c r="F895" s="0" t="s">
        <v>1669</v>
      </c>
    </row>
    <row r="896" customFormat="false" ht="13.5" hidden="false" customHeight="false" outlineLevel="0" collapsed="false">
      <c r="A896" s="0" t="s">
        <v>2120</v>
      </c>
      <c r="B896" s="0" t="s">
        <v>2121</v>
      </c>
      <c r="C896" s="0" t="s">
        <v>31</v>
      </c>
      <c r="D896" s="0" t="s">
        <v>2003</v>
      </c>
    </row>
    <row r="897" customFormat="false" ht="13.5" hidden="false" customHeight="false" outlineLevel="0" collapsed="false">
      <c r="A897" s="0" t="s">
        <v>2122</v>
      </c>
      <c r="B897" s="0" t="s">
        <v>2123</v>
      </c>
      <c r="C897" s="0" t="s">
        <v>31</v>
      </c>
      <c r="D897" s="0" t="s">
        <v>1592</v>
      </c>
    </row>
    <row r="898" customFormat="false" ht="13.5" hidden="false" customHeight="false" outlineLevel="0" collapsed="false">
      <c r="A898" s="0" t="s">
        <v>2124</v>
      </c>
      <c r="B898" s="0" t="s">
        <v>2125</v>
      </c>
      <c r="C898" s="0" t="s">
        <v>31</v>
      </c>
      <c r="D898" s="0" t="s">
        <v>69</v>
      </c>
    </row>
    <row r="899" customFormat="false" ht="13.5" hidden="false" customHeight="false" outlineLevel="0" collapsed="false">
      <c r="A899" s="0" t="s">
        <v>2126</v>
      </c>
      <c r="B899" s="0" t="s">
        <v>2127</v>
      </c>
      <c r="C899" s="0" t="s">
        <v>31</v>
      </c>
      <c r="D899" s="0" t="s">
        <v>69</v>
      </c>
    </row>
    <row r="900" customFormat="false" ht="13.5" hidden="false" customHeight="false" outlineLevel="0" collapsed="false">
      <c r="A900" s="0" t="s">
        <v>2128</v>
      </c>
      <c r="B900" s="0" t="s">
        <v>2129</v>
      </c>
      <c r="C900" s="0" t="s">
        <v>31</v>
      </c>
      <c r="D900" s="0" t="s">
        <v>19</v>
      </c>
      <c r="E900" s="0" t="s">
        <v>695</v>
      </c>
      <c r="F900" s="0" t="s">
        <v>2013</v>
      </c>
    </row>
    <row r="901" customFormat="false" ht="13.5" hidden="false" customHeight="false" outlineLevel="0" collapsed="false">
      <c r="A901" s="0" t="s">
        <v>2130</v>
      </c>
      <c r="B901" s="0" t="s">
        <v>2131</v>
      </c>
      <c r="C901" s="0" t="s">
        <v>31</v>
      </c>
      <c r="D901" s="0" t="s">
        <v>19</v>
      </c>
      <c r="E901" s="0" t="s">
        <v>869</v>
      </c>
      <c r="F901" s="0" t="s">
        <v>60</v>
      </c>
    </row>
    <row r="902" customFormat="false" ht="13.5" hidden="false" customHeight="false" outlineLevel="0" collapsed="false">
      <c r="A902" s="0" t="s">
        <v>2132</v>
      </c>
      <c r="B902" s="0" t="s">
        <v>2133</v>
      </c>
      <c r="C902" s="0" t="s">
        <v>31</v>
      </c>
      <c r="D902" s="0" t="s">
        <v>413</v>
      </c>
      <c r="E902" s="0" t="s">
        <v>2134</v>
      </c>
    </row>
    <row r="903" customFormat="false" ht="13.5" hidden="false" customHeight="false" outlineLevel="0" collapsed="false">
      <c r="A903" s="0" t="s">
        <v>2135</v>
      </c>
      <c r="B903" s="0" t="s">
        <v>2136</v>
      </c>
      <c r="C903" s="0" t="s">
        <v>31</v>
      </c>
      <c r="D903" s="0" t="s">
        <v>2003</v>
      </c>
    </row>
    <row r="904" customFormat="false" ht="13.5" hidden="false" customHeight="false" outlineLevel="0" collapsed="false">
      <c r="A904" s="0" t="s">
        <v>2137</v>
      </c>
      <c r="B904" s="0" t="s">
        <v>2138</v>
      </c>
      <c r="C904" s="0" t="s">
        <v>31</v>
      </c>
      <c r="D904" s="0" t="s">
        <v>413</v>
      </c>
      <c r="E904" s="0" t="s">
        <v>181</v>
      </c>
    </row>
    <row r="905" customFormat="false" ht="13.5" hidden="false" customHeight="false" outlineLevel="0" collapsed="false">
      <c r="A905" s="0" t="s">
        <v>2139</v>
      </c>
      <c r="B905" s="0" t="s">
        <v>2140</v>
      </c>
      <c r="C905" s="0" t="s">
        <v>31</v>
      </c>
      <c r="D905" s="0" t="s">
        <v>19</v>
      </c>
      <c r="E905" s="0" t="s">
        <v>150</v>
      </c>
      <c r="F905" s="0" t="s">
        <v>60</v>
      </c>
    </row>
    <row r="906" customFormat="false" ht="13.5" hidden="false" customHeight="false" outlineLevel="0" collapsed="false">
      <c r="A906" s="0" t="s">
        <v>2141</v>
      </c>
      <c r="B906" s="0" t="s">
        <v>2142</v>
      </c>
      <c r="C906" s="0" t="s">
        <v>31</v>
      </c>
      <c r="D906" s="0" t="s">
        <v>413</v>
      </c>
      <c r="E906" s="0" t="s">
        <v>1994</v>
      </c>
    </row>
    <row r="907" customFormat="false" ht="13.5" hidden="false" customHeight="false" outlineLevel="0" collapsed="false">
      <c r="A907" s="0" t="s">
        <v>2143</v>
      </c>
      <c r="B907" s="0" t="s">
        <v>2144</v>
      </c>
      <c r="C907" s="0" t="s">
        <v>31</v>
      </c>
      <c r="D907" s="0" t="s">
        <v>19</v>
      </c>
      <c r="E907" s="0" t="s">
        <v>12</v>
      </c>
      <c r="F907" s="0" t="s">
        <v>60</v>
      </c>
    </row>
    <row r="908" customFormat="false" ht="13.5" hidden="false" customHeight="false" outlineLevel="0" collapsed="false">
      <c r="A908" s="0" t="s">
        <v>2145</v>
      </c>
      <c r="B908" s="0" t="s">
        <v>2146</v>
      </c>
      <c r="C908" s="0" t="s">
        <v>31</v>
      </c>
      <c r="D908" s="0" t="s">
        <v>16</v>
      </c>
      <c r="E908" s="0" t="s">
        <v>53</v>
      </c>
      <c r="F908" s="0" t="s">
        <v>1669</v>
      </c>
    </row>
    <row r="909" customFormat="false" ht="13.5" hidden="false" customHeight="false" outlineLevel="0" collapsed="false">
      <c r="A909" s="0" t="s">
        <v>2147</v>
      </c>
      <c r="B909" s="0" t="s">
        <v>2148</v>
      </c>
      <c r="C909" s="0" t="s">
        <v>31</v>
      </c>
      <c r="D909" s="0" t="s">
        <v>2149</v>
      </c>
    </row>
    <row r="910" customFormat="false" ht="13.5" hidden="false" customHeight="false" outlineLevel="0" collapsed="false">
      <c r="A910" s="0" t="s">
        <v>2150</v>
      </c>
      <c r="B910" s="0" t="s">
        <v>2151</v>
      </c>
      <c r="C910" s="0" t="s">
        <v>31</v>
      </c>
      <c r="D910" s="0" t="s">
        <v>413</v>
      </c>
      <c r="E910" s="0" t="s">
        <v>2152</v>
      </c>
    </row>
    <row r="911" customFormat="false" ht="13.5" hidden="false" customHeight="false" outlineLevel="0" collapsed="false">
      <c r="A911" s="0" t="s">
        <v>2153</v>
      </c>
      <c r="B911" s="0" t="s">
        <v>2154</v>
      </c>
      <c r="C911" s="0" t="s">
        <v>31</v>
      </c>
      <c r="D911" s="0" t="s">
        <v>413</v>
      </c>
      <c r="E911" s="0" t="s">
        <v>98</v>
      </c>
    </row>
    <row r="912" customFormat="false" ht="13.5" hidden="false" customHeight="false" outlineLevel="0" collapsed="false">
      <c r="A912" s="0" t="s">
        <v>2155</v>
      </c>
      <c r="B912" s="0" t="s">
        <v>2156</v>
      </c>
      <c r="C912" s="0" t="s">
        <v>31</v>
      </c>
      <c r="D912" s="0" t="s">
        <v>19</v>
      </c>
      <c r="E912" s="0" t="s">
        <v>869</v>
      </c>
      <c r="F912" s="0" t="s">
        <v>60</v>
      </c>
    </row>
    <row r="913" customFormat="false" ht="13.5" hidden="false" customHeight="false" outlineLevel="0" collapsed="false">
      <c r="A913" s="0" t="s">
        <v>2157</v>
      </c>
      <c r="B913" s="0" t="s">
        <v>2158</v>
      </c>
      <c r="C913" s="0" t="s">
        <v>31</v>
      </c>
      <c r="D913" s="0" t="s">
        <v>2159</v>
      </c>
    </row>
    <row r="914" customFormat="false" ht="13.5" hidden="false" customHeight="false" outlineLevel="0" collapsed="false">
      <c r="A914" s="0" t="s">
        <v>2160</v>
      </c>
      <c r="B914" s="0" t="s">
        <v>2161</v>
      </c>
      <c r="C914" s="0" t="s">
        <v>31</v>
      </c>
      <c r="D914" s="0" t="s">
        <v>2149</v>
      </c>
    </row>
    <row r="915" customFormat="false" ht="13.5" hidden="false" customHeight="false" outlineLevel="0" collapsed="false">
      <c r="A915" s="0" t="s">
        <v>2162</v>
      </c>
      <c r="B915" s="0" t="s">
        <v>2163</v>
      </c>
      <c r="C915" s="0" t="s">
        <v>31</v>
      </c>
      <c r="D915" s="0" t="s">
        <v>413</v>
      </c>
      <c r="E915" s="0" t="s">
        <v>2164</v>
      </c>
    </row>
    <row r="916" customFormat="false" ht="13.5" hidden="false" customHeight="false" outlineLevel="0" collapsed="false">
      <c r="A916" s="0" t="s">
        <v>2165</v>
      </c>
      <c r="B916" s="0" t="s">
        <v>2166</v>
      </c>
      <c r="C916" s="0" t="s">
        <v>31</v>
      </c>
      <c r="D916" s="0" t="s">
        <v>1651</v>
      </c>
    </row>
    <row r="917" customFormat="false" ht="13.5" hidden="false" customHeight="false" outlineLevel="0" collapsed="false">
      <c r="A917" s="0" t="s">
        <v>2167</v>
      </c>
      <c r="B917" s="0" t="s">
        <v>2168</v>
      </c>
      <c r="C917" s="0" t="s">
        <v>31</v>
      </c>
      <c r="D917" s="0" t="s">
        <v>1508</v>
      </c>
    </row>
    <row r="918" customFormat="false" ht="13.5" hidden="false" customHeight="false" outlineLevel="0" collapsed="false">
      <c r="A918" s="0" t="s">
        <v>2169</v>
      </c>
      <c r="B918" s="0" t="s">
        <v>1632</v>
      </c>
      <c r="C918" s="0" t="s">
        <v>31</v>
      </c>
      <c r="D918" s="0" t="s">
        <v>1527</v>
      </c>
    </row>
    <row r="919" customFormat="false" ht="13.5" hidden="false" customHeight="false" outlineLevel="0" collapsed="false">
      <c r="A919" s="0" t="s">
        <v>2170</v>
      </c>
      <c r="B919" s="0" t="s">
        <v>2171</v>
      </c>
      <c r="C919" s="0" t="s">
        <v>31</v>
      </c>
      <c r="D919" s="0" t="s">
        <v>19</v>
      </c>
      <c r="E919" s="0" t="s">
        <v>936</v>
      </c>
      <c r="F919" s="0" t="s">
        <v>1669</v>
      </c>
    </row>
    <row r="920" customFormat="false" ht="13.5" hidden="false" customHeight="false" outlineLevel="0" collapsed="false">
      <c r="A920" s="0" t="s">
        <v>2172</v>
      </c>
      <c r="B920" s="0" t="s">
        <v>2173</v>
      </c>
      <c r="C920" s="0" t="s">
        <v>31</v>
      </c>
      <c r="D920" s="0" t="s">
        <v>413</v>
      </c>
      <c r="E920" s="0" t="s">
        <v>32</v>
      </c>
    </row>
    <row r="921" customFormat="false" ht="13.5" hidden="false" customHeight="false" outlineLevel="0" collapsed="false">
      <c r="A921" s="0" t="s">
        <v>2174</v>
      </c>
      <c r="B921" s="0" t="s">
        <v>2175</v>
      </c>
      <c r="C921" s="0" t="s">
        <v>31</v>
      </c>
      <c r="D921" s="0" t="s">
        <v>1704</v>
      </c>
    </row>
    <row r="922" customFormat="false" ht="13.5" hidden="false" customHeight="false" outlineLevel="0" collapsed="false">
      <c r="A922" s="0" t="s">
        <v>2176</v>
      </c>
      <c r="B922" s="0" t="s">
        <v>2177</v>
      </c>
      <c r="C922" s="0" t="s">
        <v>31</v>
      </c>
      <c r="D922" s="0" t="s">
        <v>1527</v>
      </c>
    </row>
    <row r="923" customFormat="false" ht="13.5" hidden="false" customHeight="false" outlineLevel="0" collapsed="false">
      <c r="A923" s="0" t="s">
        <v>2178</v>
      </c>
      <c r="B923" s="0" t="s">
        <v>2179</v>
      </c>
      <c r="C923" s="0" t="s">
        <v>31</v>
      </c>
      <c r="D923" s="0" t="s">
        <v>1508</v>
      </c>
    </row>
    <row r="924" customFormat="false" ht="13.5" hidden="false" customHeight="false" outlineLevel="0" collapsed="false">
      <c r="A924" s="0" t="s">
        <v>2180</v>
      </c>
      <c r="B924" s="0" t="s">
        <v>2181</v>
      </c>
      <c r="C924" s="0" t="s">
        <v>31</v>
      </c>
      <c r="D924" s="0" t="s">
        <v>1527</v>
      </c>
    </row>
    <row r="925" customFormat="false" ht="13.5" hidden="false" customHeight="false" outlineLevel="0" collapsed="false">
      <c r="A925" s="0" t="s">
        <v>2182</v>
      </c>
      <c r="B925" s="0" t="s">
        <v>2183</v>
      </c>
      <c r="C925" s="0" t="s">
        <v>31</v>
      </c>
      <c r="D925" s="0" t="s">
        <v>2184</v>
      </c>
    </row>
    <row r="926" customFormat="false" ht="13.5" hidden="false" customHeight="false" outlineLevel="0" collapsed="false">
      <c r="A926" s="0" t="s">
        <v>2185</v>
      </c>
      <c r="B926" s="0" t="s">
        <v>2186</v>
      </c>
      <c r="C926" s="0" t="s">
        <v>31</v>
      </c>
      <c r="D926" s="0" t="s">
        <v>19</v>
      </c>
      <c r="E926" s="0" t="s">
        <v>200</v>
      </c>
      <c r="F926" s="0" t="s">
        <v>1782</v>
      </c>
    </row>
    <row r="927" customFormat="false" ht="13.5" hidden="false" customHeight="false" outlineLevel="0" collapsed="false">
      <c r="A927" s="0" t="s">
        <v>2187</v>
      </c>
      <c r="B927" s="0" t="s">
        <v>1934</v>
      </c>
      <c r="C927" s="0" t="s">
        <v>31</v>
      </c>
      <c r="D927" s="0" t="s">
        <v>1737</v>
      </c>
    </row>
    <row r="928" customFormat="false" ht="13.5" hidden="false" customHeight="false" outlineLevel="0" collapsed="false">
      <c r="A928" s="0" t="s">
        <v>2188</v>
      </c>
      <c r="B928" s="0" t="s">
        <v>2189</v>
      </c>
      <c r="C928" s="0" t="s">
        <v>31</v>
      </c>
      <c r="D928" s="0" t="s">
        <v>1592</v>
      </c>
    </row>
    <row r="929" customFormat="false" ht="13.5" hidden="false" customHeight="false" outlineLevel="0" collapsed="false">
      <c r="A929" s="0" t="s">
        <v>2190</v>
      </c>
      <c r="B929" s="0" t="s">
        <v>2191</v>
      </c>
      <c r="C929" s="0" t="s">
        <v>31</v>
      </c>
      <c r="D929" s="0" t="s">
        <v>2003</v>
      </c>
    </row>
    <row r="930" customFormat="false" ht="13.5" hidden="false" customHeight="false" outlineLevel="0" collapsed="false">
      <c r="A930" s="0" t="s">
        <v>2192</v>
      </c>
      <c r="B930" s="0" t="s">
        <v>2193</v>
      </c>
      <c r="C930" s="0" t="s">
        <v>31</v>
      </c>
      <c r="D930" s="0" t="s">
        <v>1651</v>
      </c>
    </row>
    <row r="931" customFormat="false" ht="13.5" hidden="false" customHeight="false" outlineLevel="0" collapsed="false">
      <c r="A931" s="0" t="s">
        <v>2194</v>
      </c>
      <c r="B931" s="0" t="s">
        <v>2195</v>
      </c>
      <c r="C931" s="0" t="s">
        <v>31</v>
      </c>
      <c r="D931" s="0" t="s">
        <v>2149</v>
      </c>
    </row>
    <row r="932" customFormat="false" ht="13.5" hidden="false" customHeight="false" outlineLevel="0" collapsed="false">
      <c r="A932" s="0" t="s">
        <v>2196</v>
      </c>
      <c r="B932" s="0" t="s">
        <v>2197</v>
      </c>
      <c r="C932" s="3" t="s">
        <v>31</v>
      </c>
      <c r="D932" s="0" t="s">
        <v>1508</v>
      </c>
    </row>
    <row r="933" customFormat="false" ht="13.5" hidden="false" customHeight="false" outlineLevel="0" collapsed="false">
      <c r="A933" s="0" t="s">
        <v>2198</v>
      </c>
      <c r="B933" s="0" t="s">
        <v>2199</v>
      </c>
      <c r="C933" s="0" t="s">
        <v>31</v>
      </c>
      <c r="D933" s="0" t="s">
        <v>2054</v>
      </c>
    </row>
    <row r="934" customFormat="false" ht="13.5" hidden="false" customHeight="false" outlineLevel="0" collapsed="false">
      <c r="A934" s="0" t="s">
        <v>2200</v>
      </c>
      <c r="B934" s="0" t="s">
        <v>2201</v>
      </c>
      <c r="C934" s="0" t="s">
        <v>31</v>
      </c>
      <c r="D934" s="0" t="s">
        <v>1651</v>
      </c>
    </row>
    <row r="935" customFormat="false" ht="13.5" hidden="false" customHeight="false" outlineLevel="0" collapsed="false">
      <c r="A935" s="0" t="s">
        <v>2202</v>
      </c>
      <c r="B935" s="0" t="s">
        <v>2203</v>
      </c>
      <c r="C935" s="0" t="s">
        <v>31</v>
      </c>
      <c r="D935" s="0" t="s">
        <v>1924</v>
      </c>
    </row>
    <row r="936" customFormat="false" ht="13.5" hidden="false" customHeight="false" outlineLevel="0" collapsed="false">
      <c r="A936" s="0" t="s">
        <v>2204</v>
      </c>
      <c r="B936" s="0" t="s">
        <v>2205</v>
      </c>
      <c r="C936" s="0" t="s">
        <v>31</v>
      </c>
      <c r="D936" s="0" t="s">
        <v>2149</v>
      </c>
    </row>
    <row r="937" customFormat="false" ht="13.5" hidden="false" customHeight="false" outlineLevel="0" collapsed="false">
      <c r="A937" s="0" t="s">
        <v>2206</v>
      </c>
      <c r="B937" s="0" t="s">
        <v>2207</v>
      </c>
      <c r="C937" s="0" t="s">
        <v>31</v>
      </c>
      <c r="D937" s="0" t="s">
        <v>19</v>
      </c>
      <c r="E937" s="0" t="s">
        <v>98</v>
      </c>
      <c r="F937" s="0" t="s">
        <v>60</v>
      </c>
    </row>
    <row r="938" customFormat="false" ht="13.5" hidden="false" customHeight="false" outlineLevel="0" collapsed="false">
      <c r="A938" s="0" t="s">
        <v>2208</v>
      </c>
      <c r="B938" s="0" t="s">
        <v>2209</v>
      </c>
      <c r="C938" s="0" t="s">
        <v>31</v>
      </c>
      <c r="D938" s="0" t="s">
        <v>1592</v>
      </c>
    </row>
    <row r="939" customFormat="false" ht="13.5" hidden="false" customHeight="false" outlineLevel="0" collapsed="false">
      <c r="A939" s="0" t="s">
        <v>2210</v>
      </c>
      <c r="B939" s="0" t="s">
        <v>2211</v>
      </c>
      <c r="C939" s="0" t="s">
        <v>31</v>
      </c>
      <c r="D939" s="0" t="s">
        <v>2094</v>
      </c>
    </row>
    <row r="940" customFormat="false" ht="13.5" hidden="false" customHeight="false" outlineLevel="0" collapsed="false">
      <c r="A940" s="0" t="s">
        <v>2212</v>
      </c>
      <c r="B940" s="0" t="s">
        <v>2213</v>
      </c>
      <c r="C940" s="0" t="s">
        <v>31</v>
      </c>
      <c r="D940" s="0" t="s">
        <v>2003</v>
      </c>
    </row>
    <row r="941" customFormat="false" ht="13.5" hidden="false" customHeight="false" outlineLevel="0" collapsed="false">
      <c r="A941" s="0" t="s">
        <v>2214</v>
      </c>
      <c r="B941" s="0" t="s">
        <v>2215</v>
      </c>
      <c r="C941" s="0" t="s">
        <v>31</v>
      </c>
      <c r="D941" s="0" t="s">
        <v>2216</v>
      </c>
      <c r="E941" s="0" t="s">
        <v>150</v>
      </c>
    </row>
    <row r="942" customFormat="false" ht="13.5" hidden="false" customHeight="false" outlineLevel="0" collapsed="false">
      <c r="A942" s="0" t="s">
        <v>2217</v>
      </c>
      <c r="B942" s="0" t="s">
        <v>2218</v>
      </c>
      <c r="C942" s="0" t="s">
        <v>31</v>
      </c>
      <c r="D942" s="0" t="s">
        <v>1924</v>
      </c>
    </row>
    <row r="943" customFormat="false" ht="13.5" hidden="false" customHeight="false" outlineLevel="0" collapsed="false">
      <c r="A943" s="0" t="s">
        <v>2219</v>
      </c>
      <c r="B943" s="0" t="s">
        <v>2220</v>
      </c>
      <c r="C943" s="0" t="s">
        <v>31</v>
      </c>
      <c r="D943" s="0" t="s">
        <v>19</v>
      </c>
      <c r="E943" s="0" t="s">
        <v>775</v>
      </c>
      <c r="F943" s="0" t="s">
        <v>2221</v>
      </c>
    </row>
    <row r="944" customFormat="false" ht="13.5" hidden="false" customHeight="false" outlineLevel="0" collapsed="false">
      <c r="A944" s="0" t="s">
        <v>2222</v>
      </c>
      <c r="B944" s="0" t="s">
        <v>2223</v>
      </c>
      <c r="C944" s="0" t="s">
        <v>31</v>
      </c>
      <c r="D944" s="0" t="s">
        <v>19</v>
      </c>
      <c r="E944" s="0" t="s">
        <v>2224</v>
      </c>
      <c r="F944" s="0" t="s">
        <v>2221</v>
      </c>
    </row>
    <row r="945" customFormat="false" ht="13.5" hidden="false" customHeight="false" outlineLevel="0" collapsed="false">
      <c r="A945" s="0" t="s">
        <v>2225</v>
      </c>
      <c r="B945" s="0" t="s">
        <v>2226</v>
      </c>
      <c r="C945" s="0" t="s">
        <v>31</v>
      </c>
      <c r="D945" s="0" t="s">
        <v>413</v>
      </c>
      <c r="E945" s="0" t="s">
        <v>47</v>
      </c>
    </row>
    <row r="946" customFormat="false" ht="13.5" hidden="false" customHeight="false" outlineLevel="0" collapsed="false">
      <c r="A946" s="0" t="s">
        <v>2227</v>
      </c>
      <c r="B946" s="0" t="s">
        <v>2228</v>
      </c>
      <c r="C946" s="0" t="s">
        <v>31</v>
      </c>
      <c r="D946" s="0" t="s">
        <v>1508</v>
      </c>
    </row>
    <row r="947" customFormat="false" ht="13.5" hidden="false" customHeight="false" outlineLevel="0" collapsed="false">
      <c r="A947" s="0" t="s">
        <v>2229</v>
      </c>
      <c r="B947" s="0" t="s">
        <v>2230</v>
      </c>
      <c r="C947" s="0" t="s">
        <v>31</v>
      </c>
      <c r="D947" s="0" t="s">
        <v>2231</v>
      </c>
    </row>
    <row r="948" customFormat="false" ht="13.5" hidden="false" customHeight="false" outlineLevel="0" collapsed="false">
      <c r="A948" s="0" t="s">
        <v>2232</v>
      </c>
      <c r="B948" s="0" t="s">
        <v>2233</v>
      </c>
      <c r="C948" s="0" t="s">
        <v>31</v>
      </c>
      <c r="D948" s="0" t="s">
        <v>19</v>
      </c>
      <c r="E948" s="0" t="s">
        <v>2234</v>
      </c>
      <c r="F948" s="0" t="s">
        <v>2221</v>
      </c>
    </row>
    <row r="949" customFormat="false" ht="13.5" hidden="false" customHeight="false" outlineLevel="0" collapsed="false">
      <c r="A949" s="0" t="s">
        <v>2235</v>
      </c>
      <c r="B949" s="0" t="s">
        <v>2236</v>
      </c>
      <c r="C949" s="0" t="s">
        <v>31</v>
      </c>
      <c r="D949" s="0" t="s">
        <v>413</v>
      </c>
      <c r="E949" s="0" t="s">
        <v>150</v>
      </c>
      <c r="F949" s="0" t="s">
        <v>60</v>
      </c>
    </row>
    <row r="950" customFormat="false" ht="13.5" hidden="false" customHeight="false" outlineLevel="0" collapsed="false">
      <c r="A950" s="0" t="s">
        <v>2237</v>
      </c>
      <c r="B950" s="0" t="s">
        <v>2238</v>
      </c>
      <c r="C950" s="0" t="s">
        <v>31</v>
      </c>
      <c r="D950" s="0" t="s">
        <v>1651</v>
      </c>
    </row>
    <row r="951" customFormat="false" ht="13.5" hidden="false" customHeight="false" outlineLevel="0" collapsed="false">
      <c r="A951" s="0" t="s">
        <v>2239</v>
      </c>
      <c r="B951" s="0" t="s">
        <v>2240</v>
      </c>
      <c r="C951" s="0" t="s">
        <v>31</v>
      </c>
      <c r="D951" s="0" t="s">
        <v>413</v>
      </c>
      <c r="E951" s="0" t="s">
        <v>2241</v>
      </c>
    </row>
    <row r="952" customFormat="false" ht="13.5" hidden="false" customHeight="false" outlineLevel="0" collapsed="false">
      <c r="A952" s="0" t="s">
        <v>2242</v>
      </c>
      <c r="B952" s="0" t="s">
        <v>2243</v>
      </c>
      <c r="C952" s="0" t="s">
        <v>31</v>
      </c>
      <c r="D952" s="0" t="s">
        <v>2244</v>
      </c>
      <c r="E952" s="0" t="s">
        <v>150</v>
      </c>
    </row>
    <row r="953" customFormat="false" ht="13.5" hidden="false" customHeight="false" outlineLevel="0" collapsed="false">
      <c r="A953" s="0" t="s">
        <v>2245</v>
      </c>
      <c r="B953" s="0" t="s">
        <v>2246</v>
      </c>
      <c r="C953" s="0" t="s">
        <v>31</v>
      </c>
      <c r="D953" s="0" t="s">
        <v>1592</v>
      </c>
    </row>
    <row r="954" customFormat="false" ht="13.5" hidden="false" customHeight="false" outlineLevel="0" collapsed="false">
      <c r="A954" s="0" t="s">
        <v>2247</v>
      </c>
      <c r="B954" s="0" t="s">
        <v>2248</v>
      </c>
      <c r="C954" s="0" t="s">
        <v>31</v>
      </c>
      <c r="D954" s="0" t="s">
        <v>1592</v>
      </c>
    </row>
    <row r="955" customFormat="false" ht="13.5" hidden="false" customHeight="false" outlineLevel="0" collapsed="false">
      <c r="A955" s="0" t="s">
        <v>2249</v>
      </c>
      <c r="B955" s="0" t="s">
        <v>2250</v>
      </c>
      <c r="C955" s="0" t="s">
        <v>31</v>
      </c>
      <c r="D955" s="0" t="s">
        <v>2149</v>
      </c>
    </row>
    <row r="956" customFormat="false" ht="13.5" hidden="false" customHeight="false" outlineLevel="0" collapsed="false">
      <c r="A956" s="0" t="s">
        <v>2251</v>
      </c>
      <c r="B956" s="0" t="s">
        <v>2252</v>
      </c>
      <c r="C956" s="0" t="s">
        <v>31</v>
      </c>
      <c r="D956" s="0" t="s">
        <v>19</v>
      </c>
      <c r="E956" s="0" t="s">
        <v>307</v>
      </c>
      <c r="F956" s="0" t="s">
        <v>1782</v>
      </c>
    </row>
    <row r="957" customFormat="false" ht="13.5" hidden="false" customHeight="false" outlineLevel="0" collapsed="false">
      <c r="A957" s="0" t="s">
        <v>2253</v>
      </c>
      <c r="B957" s="0" t="s">
        <v>2254</v>
      </c>
      <c r="C957" s="0" t="s">
        <v>31</v>
      </c>
      <c r="D957" s="0" t="s">
        <v>413</v>
      </c>
      <c r="E957" s="0" t="s">
        <v>936</v>
      </c>
    </row>
    <row r="958" customFormat="false" ht="13.5" hidden="false" customHeight="false" outlineLevel="0" collapsed="false">
      <c r="A958" s="0" t="s">
        <v>2255</v>
      </c>
      <c r="B958" s="0" t="s">
        <v>2256</v>
      </c>
      <c r="C958" s="0" t="s">
        <v>31</v>
      </c>
      <c r="D958" s="0" t="s">
        <v>2257</v>
      </c>
    </row>
    <row r="959" customFormat="false" ht="13.5" hidden="false" customHeight="false" outlineLevel="0" collapsed="false">
      <c r="A959" s="0" t="s">
        <v>2258</v>
      </c>
      <c r="B959" s="0" t="s">
        <v>2259</v>
      </c>
      <c r="C959" s="0" t="s">
        <v>31</v>
      </c>
      <c r="D959" s="0" t="s">
        <v>1924</v>
      </c>
    </row>
    <row r="960" customFormat="false" ht="13.5" hidden="false" customHeight="false" outlineLevel="0" collapsed="false">
      <c r="A960" s="0" t="s">
        <v>2260</v>
      </c>
      <c r="B960" s="0" t="s">
        <v>2261</v>
      </c>
      <c r="C960" s="0" t="s">
        <v>31</v>
      </c>
      <c r="D960" s="0" t="s">
        <v>1924</v>
      </c>
    </row>
    <row r="961" customFormat="false" ht="13.5" hidden="false" customHeight="false" outlineLevel="0" collapsed="false">
      <c r="A961" s="0" t="s">
        <v>2262</v>
      </c>
      <c r="B961" s="0" t="s">
        <v>2263</v>
      </c>
      <c r="C961" s="0" t="s">
        <v>31</v>
      </c>
      <c r="D961" s="0" t="s">
        <v>2264</v>
      </c>
      <c r="E961" s="0" t="s">
        <v>948</v>
      </c>
    </row>
    <row r="962" customFormat="false" ht="13.5" hidden="false" customHeight="false" outlineLevel="0" collapsed="false">
      <c r="A962" s="0" t="s">
        <v>2265</v>
      </c>
      <c r="B962" s="0" t="s">
        <v>2266</v>
      </c>
      <c r="C962" s="0" t="s">
        <v>31</v>
      </c>
      <c r="D962" s="0" t="s">
        <v>1924</v>
      </c>
    </row>
    <row r="963" customFormat="false" ht="13.5" hidden="false" customHeight="false" outlineLevel="0" collapsed="false">
      <c r="A963" s="0" t="s">
        <v>2267</v>
      </c>
      <c r="B963" s="0" t="s">
        <v>2268</v>
      </c>
      <c r="C963" s="0" t="s">
        <v>31</v>
      </c>
      <c r="D963" s="0" t="s">
        <v>1651</v>
      </c>
    </row>
    <row r="964" customFormat="false" ht="13.5" hidden="false" customHeight="false" outlineLevel="0" collapsed="false">
      <c r="A964" s="0" t="s">
        <v>2269</v>
      </c>
      <c r="B964" s="0" t="s">
        <v>2270</v>
      </c>
      <c r="C964" s="0" t="s">
        <v>31</v>
      </c>
      <c r="D964" s="0" t="s">
        <v>279</v>
      </c>
    </row>
    <row r="965" customFormat="false" ht="13.5" hidden="false" customHeight="false" outlineLevel="0" collapsed="false">
      <c r="A965" s="0" t="s">
        <v>2271</v>
      </c>
      <c r="B965" s="0" t="s">
        <v>2272</v>
      </c>
      <c r="C965" s="0" t="s">
        <v>31</v>
      </c>
      <c r="D965" s="0" t="s">
        <v>19</v>
      </c>
      <c r="E965" s="0" t="s">
        <v>625</v>
      </c>
      <c r="F965" s="0" t="s">
        <v>1782</v>
      </c>
    </row>
    <row r="966" customFormat="false" ht="13.5" hidden="false" customHeight="false" outlineLevel="0" collapsed="false">
      <c r="A966" s="0" t="s">
        <v>2273</v>
      </c>
      <c r="B966" s="0" t="s">
        <v>2274</v>
      </c>
      <c r="C966" s="0" t="s">
        <v>31</v>
      </c>
      <c r="D966" s="0" t="s">
        <v>19</v>
      </c>
      <c r="E966" s="0" t="s">
        <v>2275</v>
      </c>
      <c r="F966" s="0" t="s">
        <v>2276</v>
      </c>
    </row>
    <row r="967" customFormat="false" ht="13.5" hidden="false" customHeight="false" outlineLevel="0" collapsed="false">
      <c r="A967" s="0" t="s">
        <v>2277</v>
      </c>
      <c r="B967" s="0" t="s">
        <v>2278</v>
      </c>
      <c r="C967" s="0" t="s">
        <v>31</v>
      </c>
      <c r="D967" s="0" t="s">
        <v>19</v>
      </c>
      <c r="E967" s="0" t="s">
        <v>625</v>
      </c>
      <c r="F967" s="0" t="s">
        <v>1782</v>
      </c>
    </row>
    <row r="968" customFormat="false" ht="13.5" hidden="false" customHeight="false" outlineLevel="0" collapsed="false">
      <c r="A968" s="0" t="s">
        <v>2279</v>
      </c>
      <c r="B968" s="0" t="s">
        <v>2280</v>
      </c>
      <c r="C968" s="0" t="s">
        <v>31</v>
      </c>
      <c r="D968" s="0" t="s">
        <v>1508</v>
      </c>
    </row>
    <row r="969" customFormat="false" ht="13.5" hidden="false" customHeight="false" outlineLevel="0" collapsed="false">
      <c r="A969" s="0" t="s">
        <v>2281</v>
      </c>
      <c r="B969" s="0" t="s">
        <v>2282</v>
      </c>
      <c r="C969" s="0" t="s">
        <v>31</v>
      </c>
      <c r="D969" s="0" t="s">
        <v>2072</v>
      </c>
      <c r="F969" s="0" t="s">
        <v>2221</v>
      </c>
    </row>
    <row r="970" customFormat="false" ht="13.5" hidden="false" customHeight="false" outlineLevel="0" collapsed="false">
      <c r="A970" s="0" t="s">
        <v>2283</v>
      </c>
      <c r="B970" s="0" t="s">
        <v>2284</v>
      </c>
      <c r="C970" s="0" t="s">
        <v>31</v>
      </c>
      <c r="D970" s="0" t="s">
        <v>413</v>
      </c>
    </row>
    <row r="971" customFormat="false" ht="13.5" hidden="false" customHeight="false" outlineLevel="0" collapsed="false">
      <c r="A971" s="0" t="s">
        <v>2285</v>
      </c>
      <c r="B971" s="0" t="s">
        <v>2286</v>
      </c>
      <c r="C971" s="0" t="s">
        <v>31</v>
      </c>
      <c r="D971" s="0" t="s">
        <v>19</v>
      </c>
      <c r="E971" s="0" t="s">
        <v>98</v>
      </c>
      <c r="F971" s="0" t="s">
        <v>164</v>
      </c>
    </row>
    <row r="972" customFormat="false" ht="13.5" hidden="false" customHeight="false" outlineLevel="0" collapsed="false">
      <c r="A972" s="0" t="s">
        <v>2287</v>
      </c>
      <c r="B972" s="0" t="s">
        <v>2288</v>
      </c>
      <c r="C972" s="0" t="s">
        <v>31</v>
      </c>
      <c r="D972" s="0" t="s">
        <v>19</v>
      </c>
      <c r="E972" s="0" t="s">
        <v>200</v>
      </c>
      <c r="F972" s="0" t="s">
        <v>2289</v>
      </c>
    </row>
    <row r="973" customFormat="false" ht="13.5" hidden="false" customHeight="false" outlineLevel="0" collapsed="false">
      <c r="A973" s="0" t="s">
        <v>2290</v>
      </c>
      <c r="B973" s="0" t="s">
        <v>2291</v>
      </c>
      <c r="C973" s="0" t="s">
        <v>31</v>
      </c>
      <c r="D973" s="0" t="s">
        <v>413</v>
      </c>
    </row>
    <row r="974" customFormat="false" ht="13.5" hidden="false" customHeight="false" outlineLevel="0" collapsed="false">
      <c r="A974" s="0" t="s">
        <v>2292</v>
      </c>
      <c r="B974" s="0" t="s">
        <v>2293</v>
      </c>
      <c r="C974" s="0" t="s">
        <v>31</v>
      </c>
      <c r="D974" s="0" t="s">
        <v>1699</v>
      </c>
    </row>
    <row r="975" customFormat="false" ht="13.5" hidden="false" customHeight="false" outlineLevel="0" collapsed="false">
      <c r="A975" s="0" t="s">
        <v>2294</v>
      </c>
      <c r="B975" s="0" t="s">
        <v>2295</v>
      </c>
      <c r="C975" s="0" t="s">
        <v>31</v>
      </c>
      <c r="D975" s="0" t="s">
        <v>1957</v>
      </c>
    </row>
    <row r="976" customFormat="false" ht="13.5" hidden="false" customHeight="false" outlineLevel="0" collapsed="false">
      <c r="A976" s="0" t="s">
        <v>2296</v>
      </c>
      <c r="B976" s="0" t="s">
        <v>2297</v>
      </c>
      <c r="C976" s="0" t="s">
        <v>31</v>
      </c>
      <c r="D976" s="0" t="s">
        <v>413</v>
      </c>
      <c r="E976" s="0" t="s">
        <v>150</v>
      </c>
    </row>
    <row r="977" customFormat="false" ht="13.5" hidden="false" customHeight="false" outlineLevel="0" collapsed="false">
      <c r="A977" s="0" t="s">
        <v>2298</v>
      </c>
      <c r="B977" s="0" t="s">
        <v>2299</v>
      </c>
      <c r="C977" s="0" t="s">
        <v>31</v>
      </c>
      <c r="D977" s="0" t="s">
        <v>1848</v>
      </c>
    </row>
    <row r="978" customFormat="false" ht="13.5" hidden="false" customHeight="false" outlineLevel="0" collapsed="false">
      <c r="A978" s="0" t="s">
        <v>2300</v>
      </c>
      <c r="B978" s="0" t="s">
        <v>2301</v>
      </c>
      <c r="C978" s="0" t="s">
        <v>31</v>
      </c>
      <c r="D978" s="0" t="s">
        <v>1924</v>
      </c>
    </row>
    <row r="979" customFormat="false" ht="13.5" hidden="false" customHeight="false" outlineLevel="0" collapsed="false">
      <c r="A979" s="0" t="s">
        <v>2302</v>
      </c>
      <c r="B979" s="0" t="s">
        <v>2303</v>
      </c>
      <c r="C979" s="0" t="s">
        <v>31</v>
      </c>
      <c r="D979" s="0" t="s">
        <v>19</v>
      </c>
      <c r="E979" s="0" t="s">
        <v>200</v>
      </c>
      <c r="F979" s="0" t="s">
        <v>60</v>
      </c>
    </row>
    <row r="980" customFormat="false" ht="13.5" hidden="false" customHeight="false" outlineLevel="0" collapsed="false">
      <c r="A980" s="0" t="s">
        <v>2304</v>
      </c>
      <c r="B980" s="0" t="s">
        <v>2305</v>
      </c>
      <c r="C980" s="0" t="s">
        <v>31</v>
      </c>
      <c r="D980" s="0" t="s">
        <v>1737</v>
      </c>
    </row>
    <row r="981" customFormat="false" ht="13.5" hidden="false" customHeight="false" outlineLevel="0" collapsed="false">
      <c r="A981" s="0" t="s">
        <v>2306</v>
      </c>
      <c r="B981" s="0" t="s">
        <v>2307</v>
      </c>
      <c r="C981" s="0" t="s">
        <v>31</v>
      </c>
      <c r="D981" s="0" t="s">
        <v>1737</v>
      </c>
    </row>
    <row r="982" customFormat="false" ht="13.5" hidden="false" customHeight="false" outlineLevel="0" collapsed="false">
      <c r="A982" s="0" t="s">
        <v>2308</v>
      </c>
      <c r="B982" s="0" t="s">
        <v>2309</v>
      </c>
      <c r="C982" s="0" t="s">
        <v>31</v>
      </c>
      <c r="D982" s="0" t="s">
        <v>19</v>
      </c>
      <c r="E982" s="0" t="s">
        <v>775</v>
      </c>
      <c r="F982" s="0" t="s">
        <v>60</v>
      </c>
    </row>
    <row r="983" customFormat="false" ht="13.5" hidden="false" customHeight="false" outlineLevel="0" collapsed="false">
      <c r="A983" s="0" t="s">
        <v>2310</v>
      </c>
      <c r="B983" s="0" t="s">
        <v>2311</v>
      </c>
      <c r="C983" s="0" t="s">
        <v>31</v>
      </c>
      <c r="D983" s="0" t="s">
        <v>19</v>
      </c>
      <c r="E983" s="0" t="s">
        <v>2008</v>
      </c>
      <c r="F983" s="0" t="s">
        <v>2042</v>
      </c>
    </row>
    <row r="984" customFormat="false" ht="13.5" hidden="false" customHeight="false" outlineLevel="0" collapsed="false">
      <c r="A984" s="0" t="s">
        <v>2312</v>
      </c>
      <c r="B984" s="0" t="s">
        <v>2313</v>
      </c>
      <c r="C984" s="0" t="s">
        <v>31</v>
      </c>
      <c r="D984" s="0" t="s">
        <v>1722</v>
      </c>
    </row>
    <row r="985" customFormat="false" ht="13.5" hidden="false" customHeight="false" outlineLevel="0" collapsed="false">
      <c r="A985" s="0" t="s">
        <v>2314</v>
      </c>
      <c r="B985" s="0" t="s">
        <v>2315</v>
      </c>
      <c r="C985" s="0" t="s">
        <v>31</v>
      </c>
      <c r="D985" s="0" t="s">
        <v>19</v>
      </c>
      <c r="E985" s="0" t="s">
        <v>200</v>
      </c>
      <c r="F985" s="0" t="s">
        <v>2316</v>
      </c>
    </row>
    <row r="986" customFormat="false" ht="13.5" hidden="false" customHeight="false" outlineLevel="0" collapsed="false">
      <c r="A986" s="0" t="s">
        <v>2317</v>
      </c>
      <c r="B986" s="0" t="s">
        <v>2318</v>
      </c>
      <c r="C986" s="0" t="s">
        <v>31</v>
      </c>
      <c r="D986" s="0" t="s">
        <v>19</v>
      </c>
      <c r="E986" s="0" t="s">
        <v>2008</v>
      </c>
      <c r="F986" s="0" t="s">
        <v>2042</v>
      </c>
    </row>
    <row r="987" customFormat="false" ht="13.5" hidden="false" customHeight="false" outlineLevel="0" collapsed="false">
      <c r="A987" s="0" t="s">
        <v>2319</v>
      </c>
      <c r="B987" s="0" t="s">
        <v>2320</v>
      </c>
      <c r="C987" s="0" t="s">
        <v>31</v>
      </c>
      <c r="D987" s="0" t="s">
        <v>1699</v>
      </c>
    </row>
    <row r="988" customFormat="false" ht="13.5" hidden="false" customHeight="false" outlineLevel="0" collapsed="false">
      <c r="A988" s="0" t="s">
        <v>2321</v>
      </c>
      <c r="B988" s="0" t="s">
        <v>2322</v>
      </c>
      <c r="C988" s="0" t="s">
        <v>31</v>
      </c>
      <c r="D988" s="0" t="s">
        <v>2323</v>
      </c>
    </row>
    <row r="989" customFormat="false" ht="13.5" hidden="false" customHeight="false" outlineLevel="0" collapsed="false">
      <c r="A989" s="0" t="s">
        <v>2324</v>
      </c>
      <c r="B989" s="0" t="s">
        <v>2325</v>
      </c>
      <c r="C989" s="0" t="s">
        <v>31</v>
      </c>
      <c r="D989" s="0" t="s">
        <v>19</v>
      </c>
      <c r="E989" s="0" t="s">
        <v>766</v>
      </c>
      <c r="F989" s="0" t="s">
        <v>164</v>
      </c>
    </row>
    <row r="990" customFormat="false" ht="13.5" hidden="false" customHeight="false" outlineLevel="0" collapsed="false">
      <c r="A990" s="0" t="s">
        <v>2326</v>
      </c>
      <c r="B990" s="0" t="s">
        <v>2327</v>
      </c>
      <c r="C990" s="0" t="s">
        <v>31</v>
      </c>
      <c r="D990" s="0" t="s">
        <v>2003</v>
      </c>
    </row>
    <row r="991" customFormat="false" ht="13.5" hidden="false" customHeight="false" outlineLevel="0" collapsed="false">
      <c r="A991" s="0" t="s">
        <v>2328</v>
      </c>
      <c r="B991" s="0" t="s">
        <v>2329</v>
      </c>
      <c r="C991" s="0" t="s">
        <v>31</v>
      </c>
      <c r="D991" s="0" t="s">
        <v>1924</v>
      </c>
    </row>
    <row r="992" customFormat="false" ht="13.5" hidden="false" customHeight="false" outlineLevel="0" collapsed="false">
      <c r="A992" s="0" t="s">
        <v>2330</v>
      </c>
      <c r="B992" s="0" t="s">
        <v>2331</v>
      </c>
      <c r="C992" s="0" t="s">
        <v>31</v>
      </c>
      <c r="D992" s="0" t="s">
        <v>19</v>
      </c>
      <c r="E992" s="0" t="s">
        <v>2332</v>
      </c>
      <c r="F992" s="0" t="s">
        <v>164</v>
      </c>
    </row>
    <row r="993" customFormat="false" ht="13.5" hidden="false" customHeight="false" outlineLevel="0" collapsed="false">
      <c r="A993" s="0" t="s">
        <v>2333</v>
      </c>
      <c r="B993" s="0" t="s">
        <v>2334</v>
      </c>
      <c r="C993" s="0" t="s">
        <v>31</v>
      </c>
      <c r="D993" s="0" t="s">
        <v>1592</v>
      </c>
    </row>
    <row r="994" customFormat="false" ht="13.5" hidden="false" customHeight="false" outlineLevel="0" collapsed="false">
      <c r="A994" s="0" t="s">
        <v>2335</v>
      </c>
      <c r="B994" s="0" t="s">
        <v>2336</v>
      </c>
      <c r="C994" s="0" t="s">
        <v>31</v>
      </c>
      <c r="D994" s="0" t="s">
        <v>16</v>
      </c>
      <c r="E994" s="0" t="s">
        <v>36</v>
      </c>
      <c r="F994" s="0" t="s">
        <v>2337</v>
      </c>
    </row>
    <row r="995" customFormat="false" ht="13.5" hidden="false" customHeight="false" outlineLevel="0" collapsed="false">
      <c r="A995" s="0" t="s">
        <v>2338</v>
      </c>
      <c r="B995" s="0" t="s">
        <v>2339</v>
      </c>
      <c r="C995" s="0" t="s">
        <v>31</v>
      </c>
      <c r="D995" s="0" t="s">
        <v>413</v>
      </c>
      <c r="E995" s="0" t="s">
        <v>150</v>
      </c>
    </row>
    <row r="996" customFormat="false" ht="13.5" hidden="false" customHeight="false" outlineLevel="0" collapsed="false">
      <c r="A996" s="0" t="s">
        <v>2340</v>
      </c>
      <c r="B996" s="0" t="s">
        <v>2341</v>
      </c>
      <c r="C996" s="0" t="s">
        <v>31</v>
      </c>
      <c r="D996" s="0" t="s">
        <v>1651</v>
      </c>
    </row>
    <row r="997" customFormat="false" ht="13.5" hidden="false" customHeight="false" outlineLevel="0" collapsed="false">
      <c r="A997" s="0" t="s">
        <v>2342</v>
      </c>
      <c r="B997" s="0" t="s">
        <v>2343</v>
      </c>
      <c r="C997" s="0" t="s">
        <v>31</v>
      </c>
      <c r="D997" s="0" t="s">
        <v>413</v>
      </c>
      <c r="E997" s="0" t="s">
        <v>226</v>
      </c>
    </row>
    <row r="998" customFormat="false" ht="13.5" hidden="false" customHeight="false" outlineLevel="0" collapsed="false">
      <c r="A998" s="0" t="s">
        <v>2344</v>
      </c>
      <c r="B998" s="0" t="s">
        <v>2345</v>
      </c>
      <c r="C998" s="0" t="s">
        <v>31</v>
      </c>
      <c r="D998" s="0" t="s">
        <v>1699</v>
      </c>
    </row>
    <row r="999" customFormat="false" ht="13.5" hidden="false" customHeight="false" outlineLevel="0" collapsed="false">
      <c r="A999" s="0" t="s">
        <v>2346</v>
      </c>
      <c r="B999" s="0" t="s">
        <v>2347</v>
      </c>
      <c r="C999" s="0" t="s">
        <v>31</v>
      </c>
      <c r="D999" s="0" t="s">
        <v>1924</v>
      </c>
    </row>
    <row r="1000" customFormat="false" ht="13.5" hidden="false" customHeight="false" outlineLevel="0" collapsed="false">
      <c r="A1000" s="0" t="s">
        <v>2348</v>
      </c>
      <c r="B1000" s="0" t="s">
        <v>2349</v>
      </c>
      <c r="C1000" s="0" t="s">
        <v>31</v>
      </c>
      <c r="D1000" s="0" t="s">
        <v>24</v>
      </c>
      <c r="E1000" s="0" t="s">
        <v>2350</v>
      </c>
      <c r="F1000" s="0" t="s">
        <v>2351</v>
      </c>
    </row>
    <row r="1001" customFormat="false" ht="13.5" hidden="false" customHeight="false" outlineLevel="0" collapsed="false">
      <c r="A1001" s="0" t="s">
        <v>2352</v>
      </c>
      <c r="B1001" s="0" t="s">
        <v>2353</v>
      </c>
      <c r="C1001" s="0" t="s">
        <v>31</v>
      </c>
      <c r="D1001" s="0" t="s">
        <v>413</v>
      </c>
      <c r="E1001" s="0" t="s">
        <v>936</v>
      </c>
    </row>
    <row r="1002" customFormat="false" ht="13.5" hidden="false" customHeight="false" outlineLevel="0" collapsed="false">
      <c r="A1002" s="0" t="s">
        <v>2354</v>
      </c>
      <c r="B1002" s="0" t="s">
        <v>2355</v>
      </c>
      <c r="C1002" s="0" t="s">
        <v>31</v>
      </c>
      <c r="D1002" s="0" t="s">
        <v>2356</v>
      </c>
    </row>
    <row r="1003" customFormat="false" ht="13.5" hidden="false" customHeight="false" outlineLevel="0" collapsed="false">
      <c r="A1003" s="0" t="s">
        <v>2357</v>
      </c>
      <c r="B1003" s="0" t="s">
        <v>2358</v>
      </c>
      <c r="C1003" s="0" t="s">
        <v>31</v>
      </c>
      <c r="D1003" s="0" t="s">
        <v>16</v>
      </c>
      <c r="E1003" s="0" t="s">
        <v>53</v>
      </c>
      <c r="F1003" s="0" t="s">
        <v>2359</v>
      </c>
    </row>
    <row r="1004" customFormat="false" ht="13.5" hidden="false" customHeight="false" outlineLevel="0" collapsed="false">
      <c r="A1004" s="0" t="s">
        <v>2360</v>
      </c>
      <c r="B1004" s="0" t="s">
        <v>2361</v>
      </c>
      <c r="C1004" s="0" t="s">
        <v>31</v>
      </c>
      <c r="D1004" s="0" t="s">
        <v>2054</v>
      </c>
    </row>
    <row r="1005" customFormat="false" ht="13.5" hidden="false" customHeight="false" outlineLevel="0" collapsed="false">
      <c r="A1005" s="0" t="s">
        <v>2362</v>
      </c>
      <c r="B1005" s="0" t="s">
        <v>2363</v>
      </c>
      <c r="C1005" s="0" t="s">
        <v>31</v>
      </c>
      <c r="D1005" s="0" t="s">
        <v>2364</v>
      </c>
    </row>
    <row r="1006" customFormat="false" ht="13.5" hidden="false" customHeight="false" outlineLevel="0" collapsed="false">
      <c r="A1006" s="0" t="s">
        <v>2365</v>
      </c>
      <c r="B1006" s="0" t="s">
        <v>2366</v>
      </c>
      <c r="C1006" s="0" t="s">
        <v>31</v>
      </c>
      <c r="D1006" s="0" t="s">
        <v>413</v>
      </c>
      <c r="E1006" s="0" t="s">
        <v>32</v>
      </c>
    </row>
    <row r="1007" customFormat="false" ht="13.5" hidden="false" customHeight="false" outlineLevel="0" collapsed="false">
      <c r="A1007" s="0" t="s">
        <v>2367</v>
      </c>
      <c r="B1007" s="0" t="s">
        <v>2368</v>
      </c>
      <c r="C1007" s="0" t="s">
        <v>31</v>
      </c>
      <c r="D1007" s="0" t="s">
        <v>2003</v>
      </c>
    </row>
    <row r="1008" customFormat="false" ht="13.5" hidden="false" customHeight="false" outlineLevel="0" collapsed="false">
      <c r="A1008" s="0" t="s">
        <v>2369</v>
      </c>
      <c r="B1008" s="0" t="s">
        <v>2370</v>
      </c>
      <c r="C1008" s="0" t="s">
        <v>31</v>
      </c>
      <c r="D1008" s="0" t="s">
        <v>16</v>
      </c>
      <c r="E1008" s="0" t="s">
        <v>36</v>
      </c>
      <c r="F1008" s="0" t="s">
        <v>1669</v>
      </c>
    </row>
    <row r="1009" customFormat="false" ht="13.5" hidden="false" customHeight="false" outlineLevel="0" collapsed="false">
      <c r="A1009" s="0" t="s">
        <v>2371</v>
      </c>
      <c r="B1009" s="0" t="s">
        <v>2372</v>
      </c>
      <c r="C1009" s="0" t="s">
        <v>31</v>
      </c>
      <c r="D1009" s="0" t="s">
        <v>1699</v>
      </c>
    </row>
    <row r="1010" customFormat="false" ht="13.5" hidden="false" customHeight="false" outlineLevel="0" collapsed="false">
      <c r="A1010" s="0" t="s">
        <v>2373</v>
      </c>
      <c r="B1010" s="0" t="s">
        <v>2374</v>
      </c>
      <c r="C1010" s="0" t="s">
        <v>31</v>
      </c>
      <c r="D1010" s="0" t="s">
        <v>413</v>
      </c>
      <c r="E1010" s="0" t="s">
        <v>150</v>
      </c>
    </row>
    <row r="1011" customFormat="false" ht="13.5" hidden="false" customHeight="false" outlineLevel="0" collapsed="false">
      <c r="A1011" s="0" t="s">
        <v>2375</v>
      </c>
      <c r="B1011" s="0" t="s">
        <v>2376</v>
      </c>
      <c r="C1011" s="0" t="s">
        <v>31</v>
      </c>
      <c r="D1011" s="0" t="s">
        <v>16</v>
      </c>
      <c r="E1011" s="0" t="s">
        <v>36</v>
      </c>
      <c r="F1011" s="0" t="s">
        <v>1669</v>
      </c>
    </row>
    <row r="1012" customFormat="false" ht="13.5" hidden="false" customHeight="false" outlineLevel="0" collapsed="false">
      <c r="A1012" s="0" t="s">
        <v>2377</v>
      </c>
      <c r="B1012" s="0" t="s">
        <v>2378</v>
      </c>
      <c r="C1012" s="0" t="s">
        <v>31</v>
      </c>
      <c r="D1012" s="0" t="s">
        <v>413</v>
      </c>
      <c r="E1012" s="0" t="s">
        <v>2379</v>
      </c>
    </row>
    <row r="1013" customFormat="false" ht="13.5" hidden="false" customHeight="false" outlineLevel="0" collapsed="false">
      <c r="A1013" s="0" t="s">
        <v>2380</v>
      </c>
      <c r="B1013" s="0" t="s">
        <v>2381</v>
      </c>
      <c r="C1013" s="0" t="s">
        <v>31</v>
      </c>
      <c r="D1013" s="0" t="s">
        <v>19</v>
      </c>
      <c r="E1013" s="0" t="s">
        <v>150</v>
      </c>
      <c r="F1013" s="0" t="s">
        <v>60</v>
      </c>
    </row>
    <row r="1014" customFormat="false" ht="13.5" hidden="false" customHeight="false" outlineLevel="0" collapsed="false">
      <c r="A1014" s="0" t="s">
        <v>2382</v>
      </c>
      <c r="B1014" s="0" t="s">
        <v>2383</v>
      </c>
      <c r="C1014" s="0" t="s">
        <v>31</v>
      </c>
      <c r="D1014" s="0" t="s">
        <v>413</v>
      </c>
      <c r="E1014" s="0" t="s">
        <v>449</v>
      </c>
    </row>
    <row r="1015" customFormat="false" ht="13.5" hidden="false" customHeight="false" outlineLevel="0" collapsed="false">
      <c r="A1015" s="0" t="s">
        <v>2384</v>
      </c>
      <c r="B1015" s="0" t="s">
        <v>2385</v>
      </c>
      <c r="C1015" s="0" t="s">
        <v>31</v>
      </c>
      <c r="D1015" s="0" t="s">
        <v>2386</v>
      </c>
    </row>
    <row r="1016" customFormat="false" ht="13.5" hidden="false" customHeight="false" outlineLevel="0" collapsed="false">
      <c r="A1016" s="0" t="s">
        <v>2387</v>
      </c>
      <c r="B1016" s="0" t="s">
        <v>2388</v>
      </c>
      <c r="C1016" s="0" t="s">
        <v>31</v>
      </c>
      <c r="D1016" s="0" t="s">
        <v>1527</v>
      </c>
    </row>
    <row r="1017" customFormat="false" ht="13.5" hidden="false" customHeight="false" outlineLevel="0" collapsed="false">
      <c r="A1017" s="0" t="s">
        <v>2389</v>
      </c>
      <c r="B1017" s="0" t="s">
        <v>2390</v>
      </c>
      <c r="C1017" s="0" t="s">
        <v>31</v>
      </c>
      <c r="D1017" s="0" t="s">
        <v>413</v>
      </c>
      <c r="E1017" s="0" t="s">
        <v>12</v>
      </c>
    </row>
    <row r="1018" customFormat="false" ht="13.5" hidden="false" customHeight="false" outlineLevel="0" collapsed="false">
      <c r="A1018" s="0" t="s">
        <v>2391</v>
      </c>
      <c r="B1018" s="0" t="s">
        <v>2392</v>
      </c>
      <c r="C1018" s="0" t="s">
        <v>31</v>
      </c>
      <c r="D1018" s="0" t="s">
        <v>1508</v>
      </c>
    </row>
    <row r="1019" customFormat="false" ht="13.5" hidden="false" customHeight="false" outlineLevel="0" collapsed="false">
      <c r="A1019" s="0" t="s">
        <v>2393</v>
      </c>
      <c r="B1019" s="0" t="s">
        <v>2394</v>
      </c>
      <c r="C1019" s="0" t="s">
        <v>31</v>
      </c>
      <c r="D1019" s="0" t="s">
        <v>19</v>
      </c>
      <c r="E1019" s="0" t="s">
        <v>449</v>
      </c>
      <c r="F1019" s="0" t="s">
        <v>60</v>
      </c>
    </row>
    <row r="1020" customFormat="false" ht="13.5" hidden="false" customHeight="false" outlineLevel="0" collapsed="false">
      <c r="A1020" s="0" t="s">
        <v>2395</v>
      </c>
      <c r="B1020" s="0" t="s">
        <v>2396</v>
      </c>
      <c r="C1020" s="0" t="s">
        <v>31</v>
      </c>
      <c r="D1020" s="0" t="s">
        <v>2356</v>
      </c>
    </row>
    <row r="1021" customFormat="false" ht="13.5" hidden="false" customHeight="false" outlineLevel="0" collapsed="false">
      <c r="A1021" s="0" t="s">
        <v>2397</v>
      </c>
      <c r="B1021" s="0" t="s">
        <v>2398</v>
      </c>
      <c r="C1021" s="0" t="s">
        <v>31</v>
      </c>
      <c r="D1021" s="0" t="s">
        <v>1508</v>
      </c>
    </row>
    <row r="1022" customFormat="false" ht="13.5" hidden="false" customHeight="false" outlineLevel="0" collapsed="false">
      <c r="A1022" s="0" t="s">
        <v>2399</v>
      </c>
      <c r="B1022" s="0" t="s">
        <v>2400</v>
      </c>
      <c r="C1022" s="0" t="s">
        <v>31</v>
      </c>
      <c r="D1022" s="0" t="s">
        <v>1957</v>
      </c>
    </row>
    <row r="1023" customFormat="false" ht="13.5" hidden="false" customHeight="false" outlineLevel="0" collapsed="false">
      <c r="A1023" s="0" t="s">
        <v>2401</v>
      </c>
      <c r="B1023" s="0" t="s">
        <v>2402</v>
      </c>
      <c r="C1023" s="0" t="s">
        <v>31</v>
      </c>
      <c r="D1023" s="0" t="s">
        <v>413</v>
      </c>
      <c r="E1023" s="0" t="s">
        <v>200</v>
      </c>
    </row>
    <row r="1024" customFormat="false" ht="13.5" hidden="false" customHeight="false" outlineLevel="0" collapsed="false">
      <c r="A1024" s="0" t="s">
        <v>2403</v>
      </c>
      <c r="B1024" s="0" t="s">
        <v>2404</v>
      </c>
      <c r="C1024" s="0" t="s">
        <v>31</v>
      </c>
      <c r="D1024" s="0" t="s">
        <v>2386</v>
      </c>
    </row>
    <row r="1025" customFormat="false" ht="13.5" hidden="false" customHeight="false" outlineLevel="0" collapsed="false">
      <c r="A1025" s="0" t="s">
        <v>2405</v>
      </c>
      <c r="B1025" s="0" t="s">
        <v>2156</v>
      </c>
      <c r="C1025" s="0" t="s">
        <v>31</v>
      </c>
      <c r="D1025" s="0" t="s">
        <v>19</v>
      </c>
      <c r="E1025" s="0" t="s">
        <v>869</v>
      </c>
      <c r="F1025" s="0" t="s">
        <v>60</v>
      </c>
    </row>
    <row r="1026" customFormat="false" ht="13.5" hidden="false" customHeight="false" outlineLevel="0" collapsed="false">
      <c r="A1026" s="0" t="s">
        <v>2406</v>
      </c>
      <c r="B1026" s="0" t="s">
        <v>2407</v>
      </c>
      <c r="C1026" s="0" t="s">
        <v>31</v>
      </c>
      <c r="D1026" s="0" t="s">
        <v>19</v>
      </c>
      <c r="E1026" s="0" t="s">
        <v>32</v>
      </c>
      <c r="F1026" s="0" t="s">
        <v>211</v>
      </c>
    </row>
    <row r="1027" customFormat="false" ht="13.5" hidden="false" customHeight="false" outlineLevel="0" collapsed="false">
      <c r="A1027" s="0" t="s">
        <v>2408</v>
      </c>
      <c r="B1027" s="0" t="s">
        <v>2409</v>
      </c>
      <c r="C1027" s="0" t="s">
        <v>31</v>
      </c>
      <c r="D1027" s="0" t="s">
        <v>413</v>
      </c>
    </row>
    <row r="1028" customFormat="false" ht="13.5" hidden="false" customHeight="false" outlineLevel="0" collapsed="false">
      <c r="A1028" s="0" t="s">
        <v>2410</v>
      </c>
      <c r="B1028" s="0" t="s">
        <v>2411</v>
      </c>
      <c r="C1028" s="0" t="s">
        <v>31</v>
      </c>
      <c r="D1028" s="0" t="s">
        <v>413</v>
      </c>
      <c r="E1028" s="0" t="s">
        <v>200</v>
      </c>
    </row>
    <row r="1029" customFormat="false" ht="13.5" hidden="false" customHeight="false" outlineLevel="0" collapsed="false">
      <c r="A1029" s="0" t="s">
        <v>2412</v>
      </c>
      <c r="B1029" s="0" t="s">
        <v>2413</v>
      </c>
      <c r="C1029" s="0" t="s">
        <v>31</v>
      </c>
      <c r="D1029" s="0" t="s">
        <v>1651</v>
      </c>
    </row>
    <row r="1030" customFormat="false" ht="13.5" hidden="false" customHeight="false" outlineLevel="0" collapsed="false">
      <c r="A1030" s="0" t="s">
        <v>2414</v>
      </c>
      <c r="B1030" s="0" t="s">
        <v>2415</v>
      </c>
      <c r="C1030" s="0" t="s">
        <v>31</v>
      </c>
      <c r="D1030" s="0" t="s">
        <v>69</v>
      </c>
    </row>
    <row r="1031" customFormat="false" ht="13.5" hidden="false" customHeight="false" outlineLevel="0" collapsed="false">
      <c r="A1031" s="0" t="s">
        <v>2416</v>
      </c>
      <c r="B1031" s="0" t="s">
        <v>2417</v>
      </c>
      <c r="C1031" s="0" t="s">
        <v>31</v>
      </c>
      <c r="D1031" s="0" t="s">
        <v>413</v>
      </c>
      <c r="E1031" s="0" t="s">
        <v>898</v>
      </c>
    </row>
    <row r="1032" customFormat="false" ht="13.5" hidden="false" customHeight="false" outlineLevel="0" collapsed="false">
      <c r="A1032" s="0" t="s">
        <v>2418</v>
      </c>
      <c r="B1032" s="0" t="s">
        <v>2419</v>
      </c>
      <c r="C1032" s="0" t="s">
        <v>31</v>
      </c>
      <c r="D1032" s="0" t="s">
        <v>1704</v>
      </c>
    </row>
    <row r="1033" customFormat="false" ht="13.5" hidden="false" customHeight="false" outlineLevel="0" collapsed="false">
      <c r="A1033" s="0" t="s">
        <v>2420</v>
      </c>
      <c r="B1033" s="0" t="s">
        <v>2421</v>
      </c>
      <c r="C1033" s="0" t="s">
        <v>31</v>
      </c>
      <c r="D1033" s="0" t="s">
        <v>413</v>
      </c>
      <c r="E1033" s="0" t="s">
        <v>150</v>
      </c>
    </row>
    <row r="1034" customFormat="false" ht="13.5" hidden="false" customHeight="false" outlineLevel="0" collapsed="false">
      <c r="A1034" s="0" t="s">
        <v>2422</v>
      </c>
      <c r="B1034" s="0" t="s">
        <v>2423</v>
      </c>
      <c r="C1034" s="0" t="s">
        <v>31</v>
      </c>
      <c r="D1034" s="0" t="s">
        <v>19</v>
      </c>
      <c r="E1034" s="0" t="s">
        <v>370</v>
      </c>
      <c r="F1034" s="0" t="s">
        <v>164</v>
      </c>
    </row>
    <row r="1035" customFormat="false" ht="13.5" hidden="false" customHeight="false" outlineLevel="0" collapsed="false">
      <c r="A1035" s="0" t="s">
        <v>2424</v>
      </c>
      <c r="B1035" s="0" t="s">
        <v>2425</v>
      </c>
      <c r="C1035" s="0" t="s">
        <v>31</v>
      </c>
      <c r="D1035" s="0" t="s">
        <v>19</v>
      </c>
      <c r="E1035" s="0" t="s">
        <v>1725</v>
      </c>
      <c r="F1035" s="0" t="s">
        <v>2042</v>
      </c>
    </row>
    <row r="1036" customFormat="false" ht="13.5" hidden="false" customHeight="false" outlineLevel="0" collapsed="false">
      <c r="A1036" s="0" t="s">
        <v>2426</v>
      </c>
      <c r="B1036" s="0" t="s">
        <v>2427</v>
      </c>
      <c r="C1036" s="0" t="s">
        <v>31</v>
      </c>
      <c r="D1036" s="0" t="s">
        <v>413</v>
      </c>
      <c r="E1036" s="0" t="s">
        <v>81</v>
      </c>
    </row>
    <row r="1037" customFormat="false" ht="13.5" hidden="false" customHeight="false" outlineLevel="0" collapsed="false">
      <c r="A1037" s="0" t="s">
        <v>2428</v>
      </c>
      <c r="B1037" s="0" t="s">
        <v>2429</v>
      </c>
      <c r="C1037" s="0" t="s">
        <v>31</v>
      </c>
      <c r="D1037" s="0" t="s">
        <v>413</v>
      </c>
      <c r="E1037" s="0" t="s">
        <v>47</v>
      </c>
    </row>
    <row r="1038" customFormat="false" ht="13.5" hidden="false" customHeight="false" outlineLevel="0" collapsed="false">
      <c r="A1038" s="0" t="s">
        <v>2430</v>
      </c>
      <c r="B1038" s="0" t="s">
        <v>2431</v>
      </c>
      <c r="C1038" s="0" t="s">
        <v>31</v>
      </c>
      <c r="D1038" s="0" t="s">
        <v>24</v>
      </c>
      <c r="E1038" s="0" t="s">
        <v>2432</v>
      </c>
      <c r="F1038" s="0" t="s">
        <v>164</v>
      </c>
    </row>
    <row r="1039" customFormat="false" ht="13.5" hidden="false" customHeight="false" outlineLevel="0" collapsed="false">
      <c r="A1039" s="0" t="s">
        <v>2433</v>
      </c>
      <c r="B1039" s="0" t="s">
        <v>2434</v>
      </c>
      <c r="C1039" s="0" t="s">
        <v>31</v>
      </c>
      <c r="D1039" s="0" t="s">
        <v>2435</v>
      </c>
      <c r="E1039" s="0" t="s">
        <v>36</v>
      </c>
    </row>
    <row r="1040" customFormat="false" ht="13.5" hidden="false" customHeight="false" outlineLevel="0" collapsed="false">
      <c r="A1040" s="0" t="s">
        <v>2436</v>
      </c>
      <c r="B1040" s="0" t="s">
        <v>2437</v>
      </c>
      <c r="C1040" s="0" t="s">
        <v>31</v>
      </c>
      <c r="D1040" s="0" t="s">
        <v>1540</v>
      </c>
    </row>
    <row r="1041" customFormat="false" ht="13.5" hidden="false" customHeight="false" outlineLevel="0" collapsed="false">
      <c r="A1041" s="0" t="s">
        <v>2438</v>
      </c>
      <c r="B1041" s="0" t="s">
        <v>2439</v>
      </c>
      <c r="C1041" s="0" t="s">
        <v>31</v>
      </c>
      <c r="D1041" s="0" t="s">
        <v>19</v>
      </c>
      <c r="E1041" s="0" t="s">
        <v>200</v>
      </c>
      <c r="F1041" s="0" t="s">
        <v>2042</v>
      </c>
    </row>
    <row r="1042" customFormat="false" ht="13.5" hidden="false" customHeight="false" outlineLevel="0" collapsed="false">
      <c r="A1042" s="0" t="s">
        <v>2440</v>
      </c>
      <c r="B1042" s="0" t="s">
        <v>2441</v>
      </c>
      <c r="C1042" s="0" t="s">
        <v>31</v>
      </c>
      <c r="D1042" s="0" t="s">
        <v>413</v>
      </c>
      <c r="E1042" s="0" t="s">
        <v>2442</v>
      </c>
    </row>
    <row r="1043" customFormat="false" ht="13.5" hidden="false" customHeight="false" outlineLevel="0" collapsed="false">
      <c r="A1043" s="0" t="s">
        <v>2443</v>
      </c>
      <c r="B1043" s="0" t="s">
        <v>1603</v>
      </c>
      <c r="C1043" s="0" t="s">
        <v>31</v>
      </c>
      <c r="D1043" s="0" t="s">
        <v>2444</v>
      </c>
    </row>
    <row r="1044" customFormat="false" ht="13.5" hidden="false" customHeight="false" outlineLevel="0" collapsed="false">
      <c r="A1044" s="0" t="s">
        <v>2445</v>
      </c>
      <c r="B1044" s="0" t="s">
        <v>2446</v>
      </c>
      <c r="C1044" s="0" t="s">
        <v>31</v>
      </c>
      <c r="D1044" s="0" t="s">
        <v>413</v>
      </c>
      <c r="E1044" s="0" t="s">
        <v>32</v>
      </c>
    </row>
    <row r="1045" customFormat="false" ht="13.5" hidden="false" customHeight="false" outlineLevel="0" collapsed="false">
      <c r="A1045" s="0" t="s">
        <v>2447</v>
      </c>
      <c r="B1045" s="0" t="s">
        <v>2448</v>
      </c>
      <c r="C1045" s="0" t="s">
        <v>31</v>
      </c>
      <c r="D1045" s="0" t="s">
        <v>413</v>
      </c>
      <c r="E1045" s="0" t="s">
        <v>2379</v>
      </c>
    </row>
    <row r="1046" customFormat="false" ht="13.5" hidden="false" customHeight="false" outlineLevel="0" collapsed="false">
      <c r="A1046" s="0" t="s">
        <v>2449</v>
      </c>
      <c r="B1046" s="0" t="s">
        <v>2450</v>
      </c>
      <c r="C1046" s="0" t="s">
        <v>31</v>
      </c>
      <c r="D1046" s="0" t="s">
        <v>2451</v>
      </c>
      <c r="E1046" s="0" t="s">
        <v>936</v>
      </c>
    </row>
    <row r="1047" customFormat="false" ht="13.5" hidden="false" customHeight="false" outlineLevel="0" collapsed="false">
      <c r="A1047" s="0" t="s">
        <v>2452</v>
      </c>
      <c r="B1047" s="0" t="s">
        <v>2453</v>
      </c>
      <c r="C1047" s="0" t="s">
        <v>31</v>
      </c>
      <c r="D1047" s="0" t="s">
        <v>413</v>
      </c>
      <c r="E1047" s="0" t="s">
        <v>625</v>
      </c>
    </row>
    <row r="1048" customFormat="false" ht="13.5" hidden="false" customHeight="false" outlineLevel="0" collapsed="false">
      <c r="A1048" s="0" t="s">
        <v>2454</v>
      </c>
      <c r="B1048" s="0" t="s">
        <v>2455</v>
      </c>
      <c r="C1048" s="0" t="s">
        <v>31</v>
      </c>
      <c r="D1048" s="0" t="s">
        <v>413</v>
      </c>
      <c r="E1048" s="0" t="s">
        <v>307</v>
      </c>
    </row>
    <row r="1049" customFormat="false" ht="13.5" hidden="false" customHeight="false" outlineLevel="0" collapsed="false">
      <c r="A1049" s="0" t="s">
        <v>2456</v>
      </c>
      <c r="B1049" s="0" t="s">
        <v>2457</v>
      </c>
      <c r="C1049" s="0" t="s">
        <v>31</v>
      </c>
      <c r="D1049" s="0" t="s">
        <v>1924</v>
      </c>
    </row>
    <row r="1050" customFormat="false" ht="13.5" hidden="false" customHeight="false" outlineLevel="0" collapsed="false">
      <c r="A1050" s="0" t="s">
        <v>2458</v>
      </c>
      <c r="B1050" s="0" t="s">
        <v>2459</v>
      </c>
      <c r="C1050" s="0" t="s">
        <v>31</v>
      </c>
      <c r="D1050" s="0" t="s">
        <v>1508</v>
      </c>
      <c r="F1050" s="0" t="s">
        <v>2460</v>
      </c>
    </row>
    <row r="1051" customFormat="false" ht="13.5" hidden="false" customHeight="false" outlineLevel="0" collapsed="false">
      <c r="A1051" s="0" t="s">
        <v>2461</v>
      </c>
      <c r="B1051" s="0" t="s">
        <v>2462</v>
      </c>
      <c r="C1051" s="0" t="s">
        <v>31</v>
      </c>
      <c r="D1051" s="0" t="s">
        <v>413</v>
      </c>
      <c r="E1051" s="0" t="s">
        <v>2463</v>
      </c>
    </row>
    <row r="1052" customFormat="false" ht="13.5" hidden="false" customHeight="false" outlineLevel="0" collapsed="false">
      <c r="A1052" s="0" t="s">
        <v>2464</v>
      </c>
      <c r="B1052" s="0" t="s">
        <v>2465</v>
      </c>
      <c r="C1052" s="0" t="s">
        <v>31</v>
      </c>
      <c r="D1052" s="0" t="s">
        <v>413</v>
      </c>
      <c r="E1052" s="0" t="s">
        <v>580</v>
      </c>
    </row>
    <row r="1053" customFormat="false" ht="13.5" hidden="false" customHeight="false" outlineLevel="0" collapsed="false">
      <c r="A1053" s="0" t="s">
        <v>2466</v>
      </c>
      <c r="B1053" s="0" t="s">
        <v>2467</v>
      </c>
      <c r="C1053" s="0" t="s">
        <v>31</v>
      </c>
      <c r="D1053" s="0" t="s">
        <v>16</v>
      </c>
      <c r="E1053" s="0" t="s">
        <v>53</v>
      </c>
      <c r="F1053" s="0" t="s">
        <v>2468</v>
      </c>
    </row>
    <row r="1054" customFormat="false" ht="13.5" hidden="false" customHeight="false" outlineLevel="0" collapsed="false">
      <c r="A1054" s="0" t="s">
        <v>2469</v>
      </c>
      <c r="B1054" s="0" t="s">
        <v>2470</v>
      </c>
      <c r="C1054" s="0" t="s">
        <v>31</v>
      </c>
      <c r="D1054" s="0" t="s">
        <v>16</v>
      </c>
      <c r="E1054" s="0" t="s">
        <v>53</v>
      </c>
      <c r="F1054" s="0" t="s">
        <v>2468</v>
      </c>
    </row>
    <row r="1055" customFormat="false" ht="13.5" hidden="false" customHeight="false" outlineLevel="0" collapsed="false">
      <c r="A1055" s="0" t="s">
        <v>2471</v>
      </c>
      <c r="B1055" s="0" t="s">
        <v>2472</v>
      </c>
      <c r="C1055" s="0" t="s">
        <v>31</v>
      </c>
      <c r="D1055" s="0" t="s">
        <v>2386</v>
      </c>
    </row>
    <row r="1056" customFormat="false" ht="13.5" hidden="false" customHeight="false" outlineLevel="0" collapsed="false">
      <c r="A1056" s="0" t="s">
        <v>2473</v>
      </c>
      <c r="B1056" s="0" t="s">
        <v>2474</v>
      </c>
      <c r="C1056" s="0" t="s">
        <v>31</v>
      </c>
      <c r="D1056" s="0" t="s">
        <v>16</v>
      </c>
      <c r="E1056" s="0" t="s">
        <v>36</v>
      </c>
      <c r="F1056" s="0" t="s">
        <v>2468</v>
      </c>
    </row>
    <row r="1057" customFormat="false" ht="13.5" hidden="false" customHeight="false" outlineLevel="0" collapsed="false">
      <c r="A1057" s="0" t="s">
        <v>2475</v>
      </c>
      <c r="B1057" s="0" t="s">
        <v>2476</v>
      </c>
      <c r="C1057" s="0" t="s">
        <v>31</v>
      </c>
      <c r="D1057" s="0" t="s">
        <v>1704</v>
      </c>
    </row>
    <row r="1058" customFormat="false" ht="13.5" hidden="false" customHeight="false" outlineLevel="0" collapsed="false">
      <c r="A1058" s="0" t="s">
        <v>2477</v>
      </c>
      <c r="B1058" s="0" t="s">
        <v>2478</v>
      </c>
      <c r="C1058" s="0" t="s">
        <v>31</v>
      </c>
      <c r="D1058" s="0" t="s">
        <v>1704</v>
      </c>
    </row>
    <row r="1059" customFormat="false" ht="13.5" hidden="false" customHeight="false" outlineLevel="0" collapsed="false">
      <c r="A1059" s="0" t="s">
        <v>2479</v>
      </c>
      <c r="B1059" s="0" t="s">
        <v>2480</v>
      </c>
      <c r="C1059" s="0" t="s">
        <v>31</v>
      </c>
      <c r="D1059" s="0" t="s">
        <v>1957</v>
      </c>
    </row>
    <row r="1060" customFormat="false" ht="13.5" hidden="false" customHeight="false" outlineLevel="0" collapsed="false">
      <c r="A1060" s="0" t="s">
        <v>2481</v>
      </c>
      <c r="B1060" s="0" t="s">
        <v>2482</v>
      </c>
      <c r="C1060" s="0" t="s">
        <v>31</v>
      </c>
      <c r="D1060" s="0" t="s">
        <v>2435</v>
      </c>
    </row>
    <row r="1061" customFormat="false" ht="13.5" hidden="false" customHeight="false" outlineLevel="0" collapsed="false">
      <c r="A1061" s="0" t="s">
        <v>2483</v>
      </c>
      <c r="B1061" s="0" t="s">
        <v>712</v>
      </c>
      <c r="C1061" s="0" t="s">
        <v>31</v>
      </c>
      <c r="D1061" s="0" t="s">
        <v>24</v>
      </c>
      <c r="E1061" s="0" t="s">
        <v>2008</v>
      </c>
      <c r="F1061" s="0" t="s">
        <v>2484</v>
      </c>
    </row>
    <row r="1062" customFormat="false" ht="13.5" hidden="false" customHeight="false" outlineLevel="0" collapsed="false">
      <c r="A1062" s="0" t="s">
        <v>2485</v>
      </c>
      <c r="B1062" s="0" t="s">
        <v>2315</v>
      </c>
      <c r="C1062" s="0" t="s">
        <v>31</v>
      </c>
      <c r="D1062" s="0" t="s">
        <v>1592</v>
      </c>
    </row>
    <row r="1063" customFormat="false" ht="13.5" hidden="false" customHeight="false" outlineLevel="0" collapsed="false">
      <c r="A1063" s="0" t="s">
        <v>2486</v>
      </c>
      <c r="B1063" s="0" t="s">
        <v>2487</v>
      </c>
      <c r="C1063" s="0" t="s">
        <v>31</v>
      </c>
      <c r="D1063" s="0" t="s">
        <v>413</v>
      </c>
    </row>
    <row r="1064" customFormat="false" ht="13.5" hidden="false" customHeight="false" outlineLevel="0" collapsed="false">
      <c r="A1064" s="0" t="s">
        <v>2488</v>
      </c>
      <c r="B1064" s="0" t="s">
        <v>2489</v>
      </c>
      <c r="C1064" s="0" t="s">
        <v>31</v>
      </c>
      <c r="D1064" s="0" t="s">
        <v>413</v>
      </c>
      <c r="E1064" s="0" t="s">
        <v>410</v>
      </c>
    </row>
    <row r="1065" customFormat="false" ht="13.5" hidden="false" customHeight="false" outlineLevel="0" collapsed="false">
      <c r="A1065" s="0" t="s">
        <v>2490</v>
      </c>
      <c r="B1065" s="0" t="s">
        <v>2491</v>
      </c>
      <c r="C1065" s="0" t="s">
        <v>31</v>
      </c>
      <c r="D1065" s="0" t="s">
        <v>2492</v>
      </c>
    </row>
    <row r="1066" customFormat="false" ht="13.5" hidden="false" customHeight="false" outlineLevel="0" collapsed="false">
      <c r="A1066" s="0" t="s">
        <v>2493</v>
      </c>
      <c r="B1066" s="0" t="s">
        <v>2494</v>
      </c>
      <c r="C1066" s="0" t="s">
        <v>31</v>
      </c>
      <c r="D1066" s="0" t="s">
        <v>1924</v>
      </c>
    </row>
    <row r="1067" customFormat="false" ht="13.5" hidden="false" customHeight="false" outlineLevel="0" collapsed="false">
      <c r="A1067" s="0" t="s">
        <v>2495</v>
      </c>
      <c r="B1067" s="0" t="s">
        <v>2496</v>
      </c>
      <c r="C1067" s="0" t="s">
        <v>31</v>
      </c>
      <c r="D1067" s="0" t="s">
        <v>2072</v>
      </c>
    </row>
    <row r="1068" customFormat="false" ht="13.5" hidden="false" customHeight="false" outlineLevel="0" collapsed="false">
      <c r="A1068" s="0" t="s">
        <v>2497</v>
      </c>
      <c r="B1068" s="0" t="s">
        <v>2494</v>
      </c>
      <c r="C1068" s="0" t="s">
        <v>31</v>
      </c>
      <c r="D1068" s="0" t="s">
        <v>1592</v>
      </c>
    </row>
    <row r="1069" customFormat="false" ht="13.5" hidden="false" customHeight="false" outlineLevel="0" collapsed="false">
      <c r="A1069" s="0" t="s">
        <v>2498</v>
      </c>
      <c r="B1069" s="0" t="s">
        <v>1586</v>
      </c>
      <c r="C1069" s="0" t="s">
        <v>31</v>
      </c>
      <c r="D1069" s="0" t="s">
        <v>413</v>
      </c>
    </row>
    <row r="1070" customFormat="false" ht="13.5" hidden="false" customHeight="false" outlineLevel="0" collapsed="false">
      <c r="A1070" s="0" t="s">
        <v>2499</v>
      </c>
      <c r="B1070" s="0" t="s">
        <v>2500</v>
      </c>
      <c r="C1070" s="0" t="s">
        <v>31</v>
      </c>
      <c r="D1070" s="0" t="s">
        <v>413</v>
      </c>
    </row>
    <row r="1071" customFormat="false" ht="13.5" hidden="false" customHeight="false" outlineLevel="0" collapsed="false">
      <c r="A1071" s="0" t="s">
        <v>2501</v>
      </c>
      <c r="B1071" s="0" t="s">
        <v>2502</v>
      </c>
      <c r="C1071" s="0" t="s">
        <v>31</v>
      </c>
      <c r="D1071" s="0" t="s">
        <v>413</v>
      </c>
      <c r="E1071" s="0" t="s">
        <v>150</v>
      </c>
    </row>
    <row r="1072" customFormat="false" ht="13.5" hidden="false" customHeight="false" outlineLevel="0" collapsed="false">
      <c r="A1072" s="0" t="s">
        <v>2503</v>
      </c>
      <c r="B1072" s="0" t="s">
        <v>2007</v>
      </c>
      <c r="C1072" s="0" t="s">
        <v>31</v>
      </c>
      <c r="D1072" s="0" t="s">
        <v>19</v>
      </c>
      <c r="E1072" s="0" t="s">
        <v>2504</v>
      </c>
      <c r="F1072" s="0" t="s">
        <v>2505</v>
      </c>
    </row>
    <row r="1073" customFormat="false" ht="13.5" hidden="false" customHeight="false" outlineLevel="0" collapsed="false">
      <c r="A1073" s="0" t="s">
        <v>2506</v>
      </c>
      <c r="B1073" s="0" t="s">
        <v>2507</v>
      </c>
      <c r="C1073" s="0" t="s">
        <v>31</v>
      </c>
      <c r="D1073" s="0" t="s">
        <v>2492</v>
      </c>
    </row>
    <row r="1074" customFormat="false" ht="13.5" hidden="false" customHeight="false" outlineLevel="0" collapsed="false">
      <c r="A1074" s="0" t="s">
        <v>2508</v>
      </c>
      <c r="B1074" s="0" t="s">
        <v>2509</v>
      </c>
      <c r="C1074" s="0" t="s">
        <v>31</v>
      </c>
      <c r="D1074" s="0" t="s">
        <v>413</v>
      </c>
      <c r="E1074" s="0" t="s">
        <v>98</v>
      </c>
    </row>
    <row r="1075" customFormat="false" ht="13.5" hidden="false" customHeight="false" outlineLevel="0" collapsed="false">
      <c r="A1075" s="0" t="s">
        <v>2510</v>
      </c>
      <c r="B1075" s="0" t="s">
        <v>2511</v>
      </c>
      <c r="C1075" s="0" t="s">
        <v>31</v>
      </c>
      <c r="D1075" s="0" t="s">
        <v>2435</v>
      </c>
    </row>
    <row r="1076" customFormat="false" ht="13.5" hidden="false" customHeight="false" outlineLevel="0" collapsed="false">
      <c r="A1076" s="0" t="s">
        <v>2512</v>
      </c>
      <c r="B1076" s="0" t="s">
        <v>2513</v>
      </c>
      <c r="C1076" s="0" t="s">
        <v>31</v>
      </c>
      <c r="D1076" s="0" t="s">
        <v>413</v>
      </c>
      <c r="E1076" s="0" t="s">
        <v>32</v>
      </c>
    </row>
    <row r="1077" customFormat="false" ht="13.5" hidden="false" customHeight="false" outlineLevel="0" collapsed="false">
      <c r="A1077" s="0" t="s">
        <v>2514</v>
      </c>
      <c r="B1077" s="0" t="s">
        <v>2177</v>
      </c>
      <c r="C1077" s="0" t="s">
        <v>31</v>
      </c>
      <c r="D1077" s="0" t="s">
        <v>2515</v>
      </c>
    </row>
    <row r="1078" customFormat="false" ht="13.5" hidden="false" customHeight="false" outlineLevel="0" collapsed="false">
      <c r="A1078" s="0" t="s">
        <v>2516</v>
      </c>
      <c r="B1078" s="0" t="s">
        <v>2517</v>
      </c>
      <c r="C1078" s="0" t="s">
        <v>31</v>
      </c>
      <c r="D1078" s="0" t="s">
        <v>2072</v>
      </c>
      <c r="E1078" s="0" t="s">
        <v>2518</v>
      </c>
    </row>
    <row r="1079" customFormat="false" ht="13.5" hidden="false" customHeight="false" outlineLevel="0" collapsed="false">
      <c r="A1079" s="0" t="s">
        <v>2519</v>
      </c>
      <c r="B1079" s="0" t="s">
        <v>2520</v>
      </c>
      <c r="C1079" s="0" t="s">
        <v>31</v>
      </c>
      <c r="D1079" s="0" t="s">
        <v>1592</v>
      </c>
      <c r="E1079" s="0" t="s">
        <v>53</v>
      </c>
    </row>
    <row r="1080" customFormat="false" ht="13.5" hidden="false" customHeight="false" outlineLevel="0" collapsed="false">
      <c r="A1080" s="0" t="s">
        <v>2521</v>
      </c>
      <c r="B1080" s="0" t="s">
        <v>2522</v>
      </c>
      <c r="C1080" s="0" t="s">
        <v>31</v>
      </c>
      <c r="D1080" s="0" t="s">
        <v>413</v>
      </c>
      <c r="E1080" s="0" t="s">
        <v>12</v>
      </c>
    </row>
    <row r="1081" customFormat="false" ht="13.5" hidden="false" customHeight="false" outlineLevel="0" collapsed="false">
      <c r="A1081" s="0" t="s">
        <v>2523</v>
      </c>
      <c r="B1081" s="0" t="s">
        <v>2524</v>
      </c>
      <c r="C1081" s="0" t="s">
        <v>31</v>
      </c>
      <c r="D1081" s="0" t="s">
        <v>2492</v>
      </c>
    </row>
    <row r="1082" customFormat="false" ht="13.5" hidden="false" customHeight="false" outlineLevel="0" collapsed="false">
      <c r="A1082" s="0" t="s">
        <v>2525</v>
      </c>
      <c r="B1082" s="0" t="s">
        <v>2526</v>
      </c>
      <c r="C1082" s="0" t="s">
        <v>31</v>
      </c>
      <c r="D1082" s="0" t="s">
        <v>1592</v>
      </c>
    </row>
    <row r="1083" customFormat="false" ht="13.5" hidden="false" customHeight="false" outlineLevel="0" collapsed="false">
      <c r="A1083" s="0" t="s">
        <v>2527</v>
      </c>
      <c r="B1083" s="0" t="s">
        <v>2528</v>
      </c>
      <c r="C1083" s="0" t="s">
        <v>31</v>
      </c>
      <c r="D1083" s="0" t="s">
        <v>413</v>
      </c>
      <c r="E1083" s="0" t="s">
        <v>32</v>
      </c>
    </row>
    <row r="1084" customFormat="false" ht="13.5" hidden="false" customHeight="false" outlineLevel="0" collapsed="false">
      <c r="A1084" s="0" t="s">
        <v>2529</v>
      </c>
      <c r="B1084" s="0" t="s">
        <v>2530</v>
      </c>
      <c r="C1084" s="0" t="s">
        <v>31</v>
      </c>
      <c r="D1084" s="0" t="s">
        <v>1924</v>
      </c>
    </row>
    <row r="1085" customFormat="false" ht="13.5" hidden="false" customHeight="false" outlineLevel="0" collapsed="false">
      <c r="A1085" s="0" t="s">
        <v>2531</v>
      </c>
      <c r="B1085" s="0" t="s">
        <v>2532</v>
      </c>
      <c r="C1085" s="0" t="s">
        <v>31</v>
      </c>
      <c r="D1085" s="0" t="s">
        <v>2323</v>
      </c>
    </row>
    <row r="1086" customFormat="false" ht="13.5" hidden="false" customHeight="false" outlineLevel="0" collapsed="false">
      <c r="A1086" s="0" t="s">
        <v>2533</v>
      </c>
      <c r="B1086" s="0" t="s">
        <v>2534</v>
      </c>
      <c r="C1086" s="0" t="s">
        <v>31</v>
      </c>
      <c r="D1086" s="0" t="s">
        <v>413</v>
      </c>
      <c r="E1086" s="0" t="s">
        <v>98</v>
      </c>
      <c r="F1086" s="0" t="s">
        <v>2535</v>
      </c>
    </row>
    <row r="1087" customFormat="false" ht="13.5" hidden="false" customHeight="false" outlineLevel="0" collapsed="false">
      <c r="A1087" s="0" t="s">
        <v>2536</v>
      </c>
      <c r="B1087" s="0" t="s">
        <v>2537</v>
      </c>
      <c r="C1087" s="0" t="s">
        <v>31</v>
      </c>
      <c r="D1087" s="0" t="s">
        <v>1508</v>
      </c>
    </row>
    <row r="1088" customFormat="false" ht="13.5" hidden="false" customHeight="false" outlineLevel="0" collapsed="false">
      <c r="A1088" s="0" t="s">
        <v>2538</v>
      </c>
      <c r="B1088" s="0" t="s">
        <v>2539</v>
      </c>
      <c r="C1088" s="0" t="s">
        <v>31</v>
      </c>
      <c r="D1088" s="0" t="s">
        <v>2540</v>
      </c>
    </row>
    <row r="1089" customFormat="false" ht="13.5" hidden="false" customHeight="false" outlineLevel="0" collapsed="false">
      <c r="A1089" s="0" t="s">
        <v>2541</v>
      </c>
      <c r="B1089" s="0" t="s">
        <v>2542</v>
      </c>
      <c r="C1089" s="0" t="s">
        <v>31</v>
      </c>
      <c r="D1089" s="0" t="s">
        <v>1699</v>
      </c>
    </row>
    <row r="1090" customFormat="false" ht="13.5" hidden="false" customHeight="false" outlineLevel="0" collapsed="false">
      <c r="A1090" s="0" t="s">
        <v>2543</v>
      </c>
      <c r="B1090" s="0" t="s">
        <v>2544</v>
      </c>
      <c r="C1090" s="0" t="s">
        <v>31</v>
      </c>
      <c r="D1090" s="0" t="s">
        <v>2545</v>
      </c>
      <c r="E1090" s="0" t="s">
        <v>36</v>
      </c>
    </row>
    <row r="1091" customFormat="false" ht="13.5" hidden="false" customHeight="false" outlineLevel="0" collapsed="false">
      <c r="A1091" s="0" t="s">
        <v>2546</v>
      </c>
      <c r="B1091" s="0" t="s">
        <v>2547</v>
      </c>
      <c r="C1091" s="0" t="s">
        <v>31</v>
      </c>
      <c r="D1091" s="0" t="s">
        <v>413</v>
      </c>
      <c r="E1091" s="0" t="s">
        <v>200</v>
      </c>
    </row>
    <row r="1092" customFormat="false" ht="13.5" hidden="false" customHeight="false" outlineLevel="0" collapsed="false">
      <c r="A1092" s="0" t="s">
        <v>2548</v>
      </c>
      <c r="B1092" s="0" t="s">
        <v>2549</v>
      </c>
      <c r="C1092" s="0" t="s">
        <v>31</v>
      </c>
      <c r="D1092" s="0" t="s">
        <v>1957</v>
      </c>
    </row>
    <row r="1093" customFormat="false" ht="13.5" hidden="false" customHeight="false" outlineLevel="0" collapsed="false">
      <c r="A1093" s="0" t="s">
        <v>2550</v>
      </c>
      <c r="B1093" s="0" t="s">
        <v>2551</v>
      </c>
      <c r="C1093" s="0" t="s">
        <v>31</v>
      </c>
      <c r="D1093" s="0" t="s">
        <v>2552</v>
      </c>
    </row>
    <row r="1094" customFormat="false" ht="13.5" hidden="false" customHeight="false" outlineLevel="0" collapsed="false">
      <c r="A1094" s="0" t="s">
        <v>2553</v>
      </c>
      <c r="B1094" s="0" t="s">
        <v>2554</v>
      </c>
      <c r="C1094" s="0" t="s">
        <v>31</v>
      </c>
      <c r="D1094" s="0" t="s">
        <v>1561</v>
      </c>
    </row>
    <row r="1095" customFormat="false" ht="13.5" hidden="false" customHeight="false" outlineLevel="0" collapsed="false">
      <c r="A1095" s="0" t="s">
        <v>2555</v>
      </c>
      <c r="B1095" s="0" t="s">
        <v>2556</v>
      </c>
      <c r="C1095" s="0" t="s">
        <v>31</v>
      </c>
      <c r="D1095" s="0" t="s">
        <v>2072</v>
      </c>
    </row>
    <row r="1096" customFormat="false" ht="13.5" hidden="false" customHeight="false" outlineLevel="0" collapsed="false">
      <c r="A1096" s="0" t="s">
        <v>2557</v>
      </c>
      <c r="B1096" s="0" t="s">
        <v>2558</v>
      </c>
      <c r="C1096" s="0" t="s">
        <v>31</v>
      </c>
      <c r="D1096" s="0" t="s">
        <v>1704</v>
      </c>
    </row>
    <row r="1097" customFormat="false" ht="13.5" hidden="false" customHeight="false" outlineLevel="0" collapsed="false">
      <c r="A1097" s="0" t="s">
        <v>2559</v>
      </c>
      <c r="B1097" s="0" t="s">
        <v>2560</v>
      </c>
      <c r="C1097" s="0" t="s">
        <v>31</v>
      </c>
      <c r="D1097" s="0" t="s">
        <v>19</v>
      </c>
      <c r="E1097" s="0" t="s">
        <v>241</v>
      </c>
      <c r="F1097" s="0" t="s">
        <v>2561</v>
      </c>
    </row>
    <row r="1098" customFormat="false" ht="13.5" hidden="false" customHeight="false" outlineLevel="0" collapsed="false">
      <c r="A1098" s="0" t="s">
        <v>2562</v>
      </c>
      <c r="B1098" s="0" t="s">
        <v>2563</v>
      </c>
      <c r="C1098" s="0" t="s">
        <v>31</v>
      </c>
      <c r="D1098" s="0" t="s">
        <v>16</v>
      </c>
      <c r="E1098" s="0" t="s">
        <v>36</v>
      </c>
    </row>
    <row r="1099" customFormat="false" ht="13.5" hidden="false" customHeight="false" outlineLevel="0" collapsed="false">
      <c r="A1099" s="0" t="s">
        <v>2564</v>
      </c>
      <c r="B1099" s="0" t="s">
        <v>2565</v>
      </c>
      <c r="C1099" s="0" t="s">
        <v>31</v>
      </c>
      <c r="D1099" s="0" t="s">
        <v>1508</v>
      </c>
    </row>
    <row r="1100" customFormat="false" ht="13.5" hidden="false" customHeight="false" outlineLevel="0" collapsed="false">
      <c r="A1100" s="0" t="s">
        <v>2566</v>
      </c>
      <c r="B1100" s="0" t="s">
        <v>2567</v>
      </c>
      <c r="C1100" s="0" t="s">
        <v>31</v>
      </c>
      <c r="D1100" s="0" t="s">
        <v>2568</v>
      </c>
    </row>
    <row r="1101" customFormat="false" ht="13.5" hidden="false" customHeight="false" outlineLevel="0" collapsed="false">
      <c r="A1101" s="0" t="s">
        <v>2569</v>
      </c>
      <c r="B1101" s="0" t="s">
        <v>2570</v>
      </c>
      <c r="C1101" s="0" t="s">
        <v>31</v>
      </c>
      <c r="D1101" s="0" t="s">
        <v>2072</v>
      </c>
    </row>
    <row r="1102" customFormat="false" ht="13.5" hidden="false" customHeight="false" outlineLevel="0" collapsed="false">
      <c r="A1102" s="0" t="s">
        <v>2571</v>
      </c>
      <c r="B1102" s="0" t="s">
        <v>2572</v>
      </c>
      <c r="C1102" s="0" t="s">
        <v>31</v>
      </c>
      <c r="D1102" s="0" t="s">
        <v>1540</v>
      </c>
    </row>
    <row r="1103" customFormat="false" ht="13.5" hidden="false" customHeight="false" outlineLevel="0" collapsed="false">
      <c r="A1103" s="0" t="s">
        <v>2573</v>
      </c>
      <c r="B1103" s="0" t="s">
        <v>2574</v>
      </c>
      <c r="C1103" s="0" t="s">
        <v>31</v>
      </c>
      <c r="D1103" s="0" t="s">
        <v>1569</v>
      </c>
    </row>
    <row r="1104" customFormat="false" ht="13.5" hidden="false" customHeight="false" outlineLevel="0" collapsed="false">
      <c r="A1104" s="0" t="s">
        <v>2575</v>
      </c>
      <c r="B1104" s="0" t="s">
        <v>2576</v>
      </c>
      <c r="C1104" s="0" t="s">
        <v>31</v>
      </c>
      <c r="D1104" s="0" t="s">
        <v>2221</v>
      </c>
    </row>
    <row r="1105" customFormat="false" ht="13.5" hidden="false" customHeight="false" outlineLevel="0" collapsed="false">
      <c r="A1105" s="0" t="s">
        <v>2577</v>
      </c>
      <c r="B1105" s="0" t="s">
        <v>2578</v>
      </c>
      <c r="C1105" s="0" t="s">
        <v>31</v>
      </c>
      <c r="D1105" s="0" t="s">
        <v>2552</v>
      </c>
    </row>
    <row r="1106" customFormat="false" ht="13.5" hidden="false" customHeight="false" outlineLevel="0" collapsed="false">
      <c r="A1106" s="0" t="s">
        <v>2579</v>
      </c>
      <c r="B1106" s="0" t="s">
        <v>2580</v>
      </c>
      <c r="C1106" s="0" t="s">
        <v>31</v>
      </c>
      <c r="D1106" s="0" t="s">
        <v>1761</v>
      </c>
    </row>
    <row r="1107" customFormat="false" ht="13.5" hidden="false" customHeight="false" outlineLevel="0" collapsed="false">
      <c r="A1107" s="0" t="s">
        <v>2581</v>
      </c>
      <c r="B1107" s="0" t="s">
        <v>2582</v>
      </c>
      <c r="C1107" s="0" t="s">
        <v>31</v>
      </c>
      <c r="D1107" s="0" t="s">
        <v>19</v>
      </c>
      <c r="E1107" s="0" t="s">
        <v>1725</v>
      </c>
      <c r="F1107" s="0" t="s">
        <v>2042</v>
      </c>
    </row>
    <row r="1108" customFormat="false" ht="13.5" hidden="false" customHeight="false" outlineLevel="0" collapsed="false">
      <c r="A1108" s="0" t="s">
        <v>2583</v>
      </c>
      <c r="B1108" s="0" t="s">
        <v>2584</v>
      </c>
      <c r="C1108" s="0" t="s">
        <v>31</v>
      </c>
      <c r="D1108" s="0" t="s">
        <v>1814</v>
      </c>
    </row>
    <row r="1109" customFormat="false" ht="13.5" hidden="false" customHeight="false" outlineLevel="0" collapsed="false">
      <c r="A1109" s="0" t="s">
        <v>2585</v>
      </c>
      <c r="B1109" s="0" t="s">
        <v>2586</v>
      </c>
      <c r="C1109" s="0" t="s">
        <v>31</v>
      </c>
      <c r="D1109" s="0" t="s">
        <v>1814</v>
      </c>
    </row>
    <row r="1110" customFormat="false" ht="13.5" hidden="false" customHeight="false" outlineLevel="0" collapsed="false">
      <c r="A1110" s="0" t="s">
        <v>2587</v>
      </c>
      <c r="B1110" s="0" t="s">
        <v>2588</v>
      </c>
      <c r="C1110" s="0" t="s">
        <v>31</v>
      </c>
      <c r="D1110" s="0" t="s">
        <v>413</v>
      </c>
      <c r="E1110" s="0" t="s">
        <v>98</v>
      </c>
    </row>
    <row r="1111" customFormat="false" ht="13.5" hidden="false" customHeight="false" outlineLevel="0" collapsed="false">
      <c r="A1111" s="0" t="s">
        <v>2589</v>
      </c>
      <c r="B1111" s="0" t="s">
        <v>2590</v>
      </c>
      <c r="C1111" s="0" t="s">
        <v>31</v>
      </c>
      <c r="D1111" s="0" t="s">
        <v>2591</v>
      </c>
    </row>
    <row r="1112" customFormat="false" ht="13.5" hidden="false" customHeight="false" outlineLevel="0" collapsed="false">
      <c r="A1112" s="0" t="s">
        <v>2592</v>
      </c>
      <c r="B1112" s="0" t="s">
        <v>2593</v>
      </c>
      <c r="C1112" s="0" t="s">
        <v>31</v>
      </c>
      <c r="D1112" s="0" t="s">
        <v>413</v>
      </c>
      <c r="E1112" s="0" t="s">
        <v>219</v>
      </c>
    </row>
    <row r="1113" customFormat="false" ht="13.5" hidden="false" customHeight="false" outlineLevel="0" collapsed="false">
      <c r="A1113" s="0" t="s">
        <v>2594</v>
      </c>
      <c r="B1113" s="0" t="s">
        <v>2595</v>
      </c>
      <c r="C1113" s="0" t="s">
        <v>31</v>
      </c>
      <c r="D1113" s="0" t="s">
        <v>1924</v>
      </c>
    </row>
    <row r="1114" customFormat="false" ht="13.5" hidden="false" customHeight="false" outlineLevel="0" collapsed="false">
      <c r="A1114" s="0" t="s">
        <v>2596</v>
      </c>
      <c r="B1114" s="0" t="s">
        <v>2597</v>
      </c>
      <c r="C1114" s="0" t="s">
        <v>31</v>
      </c>
      <c r="D1114" s="0" t="s">
        <v>2598</v>
      </c>
    </row>
    <row r="1115" customFormat="false" ht="13.5" hidden="false" customHeight="false" outlineLevel="0" collapsed="false">
      <c r="A1115" s="0" t="s">
        <v>2599</v>
      </c>
      <c r="B1115" s="0" t="s">
        <v>2600</v>
      </c>
      <c r="C1115" s="0" t="s">
        <v>31</v>
      </c>
      <c r="D1115" s="0" t="s">
        <v>413</v>
      </c>
      <c r="E1115" s="0" t="s">
        <v>150</v>
      </c>
    </row>
    <row r="1116" customFormat="false" ht="13.5" hidden="false" customHeight="false" outlineLevel="0" collapsed="false">
      <c r="A1116" s="0" t="s">
        <v>2601</v>
      </c>
      <c r="B1116" s="0" t="s">
        <v>2602</v>
      </c>
      <c r="C1116" s="0" t="s">
        <v>31</v>
      </c>
      <c r="D1116" s="0" t="s">
        <v>1699</v>
      </c>
    </row>
    <row r="1117" customFormat="false" ht="13.5" hidden="false" customHeight="false" outlineLevel="0" collapsed="false">
      <c r="A1117" s="0" t="s">
        <v>2603</v>
      </c>
      <c r="B1117" s="0" t="s">
        <v>2604</v>
      </c>
      <c r="C1117" s="0" t="s">
        <v>31</v>
      </c>
      <c r="D1117" s="0" t="s">
        <v>2072</v>
      </c>
    </row>
    <row r="1118" customFormat="false" ht="13.5" hidden="false" customHeight="false" outlineLevel="0" collapsed="false">
      <c r="A1118" s="0" t="s">
        <v>2605</v>
      </c>
      <c r="B1118" s="0" t="s">
        <v>2606</v>
      </c>
      <c r="C1118" s="0" t="s">
        <v>31</v>
      </c>
      <c r="D1118" s="0" t="s">
        <v>2072</v>
      </c>
    </row>
    <row r="1119" customFormat="false" ht="13.5" hidden="false" customHeight="false" outlineLevel="0" collapsed="false">
      <c r="A1119" s="0" t="s">
        <v>2607</v>
      </c>
      <c r="B1119" s="0" t="s">
        <v>2608</v>
      </c>
      <c r="C1119" s="0" t="s">
        <v>31</v>
      </c>
      <c r="D1119" s="0" t="s">
        <v>19</v>
      </c>
      <c r="E1119" s="0" t="s">
        <v>200</v>
      </c>
      <c r="F1119" s="0" t="s">
        <v>2460</v>
      </c>
    </row>
    <row r="1120" customFormat="false" ht="13.5" hidden="false" customHeight="false" outlineLevel="0" collapsed="false">
      <c r="A1120" s="0" t="s">
        <v>2609</v>
      </c>
      <c r="B1120" s="0" t="s">
        <v>2363</v>
      </c>
      <c r="C1120" s="0" t="s">
        <v>31</v>
      </c>
      <c r="D1120" s="0" t="s">
        <v>2364</v>
      </c>
    </row>
    <row r="1121" customFormat="false" ht="13.5" hidden="false" customHeight="false" outlineLevel="0" collapsed="false">
      <c r="A1121" s="0" t="s">
        <v>2610</v>
      </c>
      <c r="B1121" s="0" t="s">
        <v>2611</v>
      </c>
      <c r="C1121" s="0" t="s">
        <v>31</v>
      </c>
      <c r="D1121" s="0" t="s">
        <v>413</v>
      </c>
      <c r="E1121" s="0" t="s">
        <v>2612</v>
      </c>
    </row>
    <row r="1122" customFormat="false" ht="13.5" hidden="false" customHeight="false" outlineLevel="0" collapsed="false">
      <c r="A1122" s="0" t="s">
        <v>2613</v>
      </c>
      <c r="B1122" s="0" t="s">
        <v>2614</v>
      </c>
      <c r="C1122" s="0" t="s">
        <v>31</v>
      </c>
      <c r="D1122" s="0" t="s">
        <v>19</v>
      </c>
      <c r="E1122" s="0" t="s">
        <v>936</v>
      </c>
      <c r="F1122" s="0" t="s">
        <v>2468</v>
      </c>
    </row>
    <row r="1123" customFormat="false" ht="13.5" hidden="false" customHeight="false" outlineLevel="0" collapsed="false">
      <c r="A1123" s="0" t="s">
        <v>2615</v>
      </c>
      <c r="B1123" s="0" t="s">
        <v>2616</v>
      </c>
      <c r="C1123" s="0" t="s">
        <v>31</v>
      </c>
      <c r="D1123" s="0" t="s">
        <v>2617</v>
      </c>
      <c r="E1123" s="0" t="s">
        <v>2618</v>
      </c>
    </row>
    <row r="1124" customFormat="false" ht="13.5" hidden="false" customHeight="false" outlineLevel="0" collapsed="false">
      <c r="A1124" s="0" t="s">
        <v>2619</v>
      </c>
      <c r="B1124" s="0" t="s">
        <v>2620</v>
      </c>
      <c r="C1124" s="0" t="s">
        <v>31</v>
      </c>
      <c r="D1124" s="0" t="s">
        <v>1508</v>
      </c>
    </row>
    <row r="1125" customFormat="false" ht="13.5" hidden="false" customHeight="false" outlineLevel="0" collapsed="false">
      <c r="A1125" s="0" t="s">
        <v>2621</v>
      </c>
      <c r="B1125" s="0" t="s">
        <v>2622</v>
      </c>
      <c r="C1125" s="0" t="s">
        <v>31</v>
      </c>
      <c r="D1125" s="0" t="s">
        <v>2072</v>
      </c>
    </row>
    <row r="1126" customFormat="false" ht="13.5" hidden="false" customHeight="false" outlineLevel="0" collapsed="false">
      <c r="A1126" s="0" t="s">
        <v>2623</v>
      </c>
      <c r="B1126" s="0" t="s">
        <v>2624</v>
      </c>
      <c r="C1126" s="3" t="s">
        <v>31</v>
      </c>
      <c r="D1126" s="0" t="s">
        <v>1814</v>
      </c>
    </row>
    <row r="1127" customFormat="false" ht="13.5" hidden="false" customHeight="false" outlineLevel="0" collapsed="false">
      <c r="A1127" s="0" t="s">
        <v>2625</v>
      </c>
      <c r="B1127" s="0" t="s">
        <v>2626</v>
      </c>
      <c r="C1127" s="0" t="s">
        <v>31</v>
      </c>
      <c r="D1127" s="0" t="s">
        <v>413</v>
      </c>
      <c r="E1127" s="0" t="s">
        <v>390</v>
      </c>
    </row>
    <row r="1128" customFormat="false" ht="13.5" hidden="false" customHeight="false" outlineLevel="0" collapsed="false">
      <c r="A1128" s="0" t="s">
        <v>2627</v>
      </c>
      <c r="B1128" s="0" t="s">
        <v>2628</v>
      </c>
      <c r="C1128" s="0" t="s">
        <v>31</v>
      </c>
      <c r="D1128" s="0" t="s">
        <v>2629</v>
      </c>
    </row>
    <row r="1129" customFormat="false" ht="13.5" hidden="false" customHeight="false" outlineLevel="0" collapsed="false">
      <c r="A1129" s="0" t="s">
        <v>2630</v>
      </c>
      <c r="B1129" s="0" t="s">
        <v>2631</v>
      </c>
      <c r="C1129" s="0" t="s">
        <v>31</v>
      </c>
      <c r="D1129" s="0" t="s">
        <v>413</v>
      </c>
      <c r="E1129" s="0" t="s">
        <v>150</v>
      </c>
    </row>
    <row r="1130" customFormat="false" ht="13.5" hidden="false" customHeight="false" outlineLevel="0" collapsed="false">
      <c r="A1130" s="0" t="s">
        <v>2632</v>
      </c>
      <c r="B1130" s="0" t="s">
        <v>2633</v>
      </c>
      <c r="C1130" s="0" t="s">
        <v>31</v>
      </c>
      <c r="D1130" s="0" t="s">
        <v>413</v>
      </c>
      <c r="E1130" s="0" t="s">
        <v>2634</v>
      </c>
    </row>
    <row r="1131" customFormat="false" ht="13.5" hidden="false" customHeight="false" outlineLevel="0" collapsed="false">
      <c r="A1131" s="0" t="s">
        <v>2635</v>
      </c>
      <c r="B1131" s="0" t="s">
        <v>2636</v>
      </c>
      <c r="C1131" s="0" t="s">
        <v>31</v>
      </c>
      <c r="D1131" s="0" t="s">
        <v>1699</v>
      </c>
    </row>
    <row r="1132" customFormat="false" ht="13.5" hidden="false" customHeight="false" outlineLevel="0" collapsed="false">
      <c r="A1132" s="0" t="s">
        <v>2637</v>
      </c>
      <c r="B1132" s="0" t="s">
        <v>2638</v>
      </c>
      <c r="C1132" s="0" t="s">
        <v>31</v>
      </c>
      <c r="D1132" s="0" t="s">
        <v>413</v>
      </c>
      <c r="E1132" s="0" t="s">
        <v>98</v>
      </c>
    </row>
    <row r="1133" customFormat="false" ht="13.5" hidden="false" customHeight="false" outlineLevel="0" collapsed="false">
      <c r="A1133" s="0" t="s">
        <v>2639</v>
      </c>
      <c r="B1133" s="0" t="s">
        <v>2640</v>
      </c>
      <c r="C1133" s="0" t="s">
        <v>31</v>
      </c>
      <c r="D1133" s="0" t="s">
        <v>69</v>
      </c>
    </row>
    <row r="1134" customFormat="false" ht="13.5" hidden="false" customHeight="false" outlineLevel="0" collapsed="false">
      <c r="A1134" s="0" t="s">
        <v>2641</v>
      </c>
      <c r="B1134" s="0" t="s">
        <v>2642</v>
      </c>
      <c r="C1134" s="0" t="s">
        <v>31</v>
      </c>
      <c r="D1134" s="0" t="s">
        <v>1540</v>
      </c>
    </row>
    <row r="1135" customFormat="false" ht="13.5" hidden="false" customHeight="false" outlineLevel="0" collapsed="false">
      <c r="A1135" s="0" t="s">
        <v>2643</v>
      </c>
      <c r="B1135" s="0" t="s">
        <v>2644</v>
      </c>
      <c r="C1135" s="0" t="s">
        <v>31</v>
      </c>
      <c r="D1135" s="0" t="s">
        <v>413</v>
      </c>
    </row>
    <row r="1136" customFormat="false" ht="13.5" hidden="false" customHeight="false" outlineLevel="0" collapsed="false">
      <c r="A1136" s="0" t="s">
        <v>2645</v>
      </c>
      <c r="B1136" s="0" t="s">
        <v>2646</v>
      </c>
      <c r="C1136" s="0" t="s">
        <v>31</v>
      </c>
      <c r="D1136" s="0" t="s">
        <v>413</v>
      </c>
    </row>
    <row r="1137" customFormat="false" ht="13.5" hidden="false" customHeight="false" outlineLevel="0" collapsed="false">
      <c r="A1137" s="0" t="s">
        <v>2647</v>
      </c>
      <c r="B1137" s="0" t="s">
        <v>2648</v>
      </c>
      <c r="C1137" s="0" t="s">
        <v>31</v>
      </c>
      <c r="D1137" s="0" t="s">
        <v>1699</v>
      </c>
      <c r="F1137" s="0" t="s">
        <v>60</v>
      </c>
    </row>
    <row r="1138" customFormat="false" ht="13.5" hidden="false" customHeight="false" outlineLevel="0" collapsed="false">
      <c r="A1138" s="0" t="s">
        <v>2649</v>
      </c>
      <c r="B1138" s="0" t="s">
        <v>2650</v>
      </c>
      <c r="C1138" s="0" t="s">
        <v>31</v>
      </c>
      <c r="D1138" s="0" t="s">
        <v>1957</v>
      </c>
    </row>
    <row r="1139" customFormat="false" ht="13.5" hidden="false" customHeight="false" outlineLevel="0" collapsed="false">
      <c r="A1139" s="0" t="s">
        <v>2651</v>
      </c>
      <c r="B1139" s="0" t="s">
        <v>2652</v>
      </c>
      <c r="C1139" s="0" t="s">
        <v>31</v>
      </c>
      <c r="D1139" s="0" t="s">
        <v>413</v>
      </c>
      <c r="E1139" s="0" t="s">
        <v>150</v>
      </c>
    </row>
    <row r="1140" customFormat="false" ht="13.5" hidden="false" customHeight="false" outlineLevel="0" collapsed="false">
      <c r="A1140" s="0" t="s">
        <v>2653</v>
      </c>
      <c r="B1140" s="0" t="s">
        <v>2654</v>
      </c>
      <c r="C1140" s="0" t="s">
        <v>31</v>
      </c>
      <c r="D1140" s="0" t="s">
        <v>413</v>
      </c>
      <c r="E1140" s="0" t="s">
        <v>1725</v>
      </c>
    </row>
    <row r="1141" customFormat="false" ht="13.5" hidden="false" customHeight="false" outlineLevel="0" collapsed="false">
      <c r="A1141" s="0" t="s">
        <v>2655</v>
      </c>
      <c r="B1141" s="0" t="s">
        <v>2656</v>
      </c>
      <c r="C1141" s="0" t="s">
        <v>31</v>
      </c>
      <c r="D1141" s="0" t="s">
        <v>413</v>
      </c>
      <c r="E1141" s="0" t="s">
        <v>36</v>
      </c>
    </row>
    <row r="1142" customFormat="false" ht="13.5" hidden="false" customHeight="false" outlineLevel="0" collapsed="false">
      <c r="A1142" s="0" t="s">
        <v>2657</v>
      </c>
      <c r="B1142" s="0" t="s">
        <v>2570</v>
      </c>
      <c r="C1142" s="0" t="s">
        <v>31</v>
      </c>
      <c r="D1142" s="0" t="s">
        <v>2072</v>
      </c>
      <c r="F1142" s="0" t="s">
        <v>60</v>
      </c>
    </row>
    <row r="1143" customFormat="false" ht="13.5" hidden="false" customHeight="false" outlineLevel="0" collapsed="false">
      <c r="A1143" s="0" t="s">
        <v>2658</v>
      </c>
      <c r="B1143" s="0" t="s">
        <v>2659</v>
      </c>
      <c r="C1143" s="0" t="s">
        <v>31</v>
      </c>
      <c r="D1143" s="0" t="s">
        <v>2660</v>
      </c>
      <c r="E1143" s="0" t="s">
        <v>902</v>
      </c>
    </row>
    <row r="1144" customFormat="false" ht="13.5" hidden="false" customHeight="false" outlineLevel="0" collapsed="false">
      <c r="A1144" s="0" t="s">
        <v>2661</v>
      </c>
      <c r="B1144" s="0" t="s">
        <v>2662</v>
      </c>
      <c r="C1144" s="0" t="s">
        <v>31</v>
      </c>
      <c r="D1144" s="0" t="s">
        <v>1737</v>
      </c>
    </row>
    <row r="1145" customFormat="false" ht="13.5" hidden="false" customHeight="false" outlineLevel="0" collapsed="false">
      <c r="A1145" s="0" t="s">
        <v>2663</v>
      </c>
      <c r="B1145" s="0" t="s">
        <v>324</v>
      </c>
      <c r="C1145" s="0" t="s">
        <v>31</v>
      </c>
      <c r="D1145" s="0" t="s">
        <v>413</v>
      </c>
      <c r="E1145" s="0" t="s">
        <v>12</v>
      </c>
    </row>
    <row r="1146" customFormat="false" ht="13.5" hidden="false" customHeight="false" outlineLevel="0" collapsed="false">
      <c r="A1146" s="0" t="s">
        <v>2664</v>
      </c>
      <c r="B1146" s="0" t="s">
        <v>2665</v>
      </c>
      <c r="C1146" s="0" t="s">
        <v>31</v>
      </c>
      <c r="D1146" s="0" t="s">
        <v>2221</v>
      </c>
    </row>
    <row r="1147" customFormat="false" ht="13.5" hidden="false" customHeight="false" outlineLevel="0" collapsed="false">
      <c r="A1147" s="0" t="s">
        <v>2666</v>
      </c>
      <c r="B1147" s="0" t="s">
        <v>2667</v>
      </c>
      <c r="C1147" s="0" t="s">
        <v>31</v>
      </c>
      <c r="D1147" s="0" t="s">
        <v>2668</v>
      </c>
    </row>
    <row r="1148" customFormat="false" ht="13.5" hidden="false" customHeight="false" outlineLevel="0" collapsed="false">
      <c r="A1148" s="0" t="s">
        <v>2669</v>
      </c>
      <c r="B1148" s="0" t="s">
        <v>2670</v>
      </c>
      <c r="C1148" s="0" t="s">
        <v>31</v>
      </c>
      <c r="D1148" s="0" t="s">
        <v>2671</v>
      </c>
      <c r="E1148" s="0" t="s">
        <v>36</v>
      </c>
    </row>
    <row r="1149" customFormat="false" ht="13.5" hidden="false" customHeight="false" outlineLevel="0" collapsed="false">
      <c r="A1149" s="0" t="s">
        <v>2672</v>
      </c>
      <c r="B1149" s="0" t="s">
        <v>2673</v>
      </c>
      <c r="C1149" s="0" t="s">
        <v>31</v>
      </c>
      <c r="D1149" s="0" t="s">
        <v>413</v>
      </c>
      <c r="E1149" s="0" t="s">
        <v>273</v>
      </c>
    </row>
    <row r="1150" customFormat="false" ht="13.5" hidden="false" customHeight="false" outlineLevel="0" collapsed="false">
      <c r="A1150" s="0" t="s">
        <v>2674</v>
      </c>
      <c r="B1150" s="0" t="s">
        <v>2675</v>
      </c>
      <c r="C1150" s="0" t="s">
        <v>31</v>
      </c>
      <c r="D1150" s="0" t="s">
        <v>1540</v>
      </c>
    </row>
    <row r="1151" customFormat="false" ht="13.5" hidden="false" customHeight="false" outlineLevel="0" collapsed="false">
      <c r="A1151" s="0" t="s">
        <v>2676</v>
      </c>
      <c r="B1151" s="0" t="s">
        <v>2677</v>
      </c>
      <c r="C1151" s="0" t="s">
        <v>31</v>
      </c>
      <c r="D1151" s="0" t="s">
        <v>2678</v>
      </c>
    </row>
    <row r="1152" customFormat="false" ht="13.5" hidden="false" customHeight="false" outlineLevel="0" collapsed="false">
      <c r="A1152" s="0" t="s">
        <v>2679</v>
      </c>
      <c r="B1152" s="0" t="s">
        <v>2680</v>
      </c>
      <c r="C1152" s="0" t="s">
        <v>31</v>
      </c>
      <c r="D1152" s="0" t="s">
        <v>2221</v>
      </c>
    </row>
    <row r="1153" customFormat="false" ht="13.5" hidden="false" customHeight="false" outlineLevel="0" collapsed="false">
      <c r="A1153" s="0" t="s">
        <v>2681</v>
      </c>
      <c r="B1153" s="0" t="s">
        <v>2682</v>
      </c>
      <c r="C1153" s="0" t="s">
        <v>31</v>
      </c>
      <c r="D1153" s="0" t="s">
        <v>19</v>
      </c>
      <c r="E1153" s="0" t="s">
        <v>2234</v>
      </c>
      <c r="F1153" s="0" t="s">
        <v>2042</v>
      </c>
    </row>
    <row r="1154" customFormat="false" ht="13.5" hidden="false" customHeight="false" outlineLevel="0" collapsed="false">
      <c r="A1154" s="0" t="s">
        <v>2683</v>
      </c>
      <c r="B1154" s="0" t="s">
        <v>2684</v>
      </c>
      <c r="C1154" s="0" t="s">
        <v>31</v>
      </c>
      <c r="D1154" s="0" t="s">
        <v>1651</v>
      </c>
    </row>
    <row r="1155" customFormat="false" ht="13.5" hidden="false" customHeight="false" outlineLevel="0" collapsed="false">
      <c r="A1155" s="0" t="s">
        <v>2685</v>
      </c>
      <c r="B1155" s="0" t="s">
        <v>2686</v>
      </c>
      <c r="C1155" s="0" t="s">
        <v>31</v>
      </c>
      <c r="D1155" s="0" t="s">
        <v>2687</v>
      </c>
    </row>
    <row r="1156" customFormat="false" ht="13.5" hidden="false" customHeight="false" outlineLevel="0" collapsed="false">
      <c r="A1156" s="0" t="s">
        <v>2688</v>
      </c>
      <c r="B1156" s="0" t="s">
        <v>2689</v>
      </c>
      <c r="C1156" s="0" t="s">
        <v>31</v>
      </c>
      <c r="D1156" s="0" t="s">
        <v>1527</v>
      </c>
    </row>
    <row r="1157" customFormat="false" ht="13.5" hidden="false" customHeight="false" outlineLevel="0" collapsed="false">
      <c r="A1157" s="0" t="s">
        <v>2690</v>
      </c>
      <c r="B1157" s="0" t="s">
        <v>2691</v>
      </c>
      <c r="C1157" s="0" t="s">
        <v>31</v>
      </c>
      <c r="D1157" s="0" t="s">
        <v>1651</v>
      </c>
    </row>
    <row r="1158" customFormat="false" ht="13.5" hidden="false" customHeight="false" outlineLevel="0" collapsed="false">
      <c r="A1158" s="0" t="s">
        <v>2692</v>
      </c>
      <c r="B1158" s="0" t="s">
        <v>2693</v>
      </c>
      <c r="C1158" s="0" t="s">
        <v>31</v>
      </c>
      <c r="D1158" s="0" t="s">
        <v>1527</v>
      </c>
    </row>
    <row r="1159" customFormat="false" ht="13.5" hidden="false" customHeight="false" outlineLevel="0" collapsed="false">
      <c r="A1159" s="0" t="s">
        <v>2694</v>
      </c>
      <c r="B1159" s="0" t="s">
        <v>2695</v>
      </c>
      <c r="C1159" s="0" t="s">
        <v>31</v>
      </c>
      <c r="D1159" s="0" t="s">
        <v>1699</v>
      </c>
      <c r="F1159" s="0" t="s">
        <v>60</v>
      </c>
    </row>
    <row r="1160" customFormat="false" ht="13.5" hidden="false" customHeight="false" outlineLevel="0" collapsed="false">
      <c r="A1160" s="0" t="s">
        <v>2696</v>
      </c>
      <c r="B1160" s="0" t="s">
        <v>2697</v>
      </c>
      <c r="C1160" s="0" t="s">
        <v>31</v>
      </c>
      <c r="D1160" s="0" t="s">
        <v>1540</v>
      </c>
    </row>
    <row r="1161" customFormat="false" ht="13.5" hidden="false" customHeight="false" outlineLevel="0" collapsed="false">
      <c r="A1161" s="0" t="s">
        <v>2698</v>
      </c>
      <c r="B1161" s="0" t="s">
        <v>2699</v>
      </c>
      <c r="C1161" s="0" t="s">
        <v>31</v>
      </c>
      <c r="D1161" s="0" t="s">
        <v>1704</v>
      </c>
    </row>
    <row r="1162" customFormat="false" ht="13.5" hidden="false" customHeight="false" outlineLevel="0" collapsed="false">
      <c r="A1162" s="0" t="s">
        <v>2700</v>
      </c>
      <c r="B1162" s="0" t="s">
        <v>2110</v>
      </c>
      <c r="C1162" s="0" t="s">
        <v>31</v>
      </c>
      <c r="D1162" s="0" t="s">
        <v>2701</v>
      </c>
    </row>
    <row r="1163" customFormat="false" ht="13.5" hidden="false" customHeight="false" outlineLevel="0" collapsed="false">
      <c r="A1163" s="0" t="s">
        <v>2702</v>
      </c>
      <c r="B1163" s="0" t="s">
        <v>2703</v>
      </c>
      <c r="C1163" s="0" t="s">
        <v>31</v>
      </c>
      <c r="D1163" s="0" t="s">
        <v>413</v>
      </c>
      <c r="E1163" s="0" t="s">
        <v>47</v>
      </c>
    </row>
    <row r="1164" customFormat="false" ht="13.5" hidden="false" customHeight="false" outlineLevel="0" collapsed="false">
      <c r="A1164" s="0" t="s">
        <v>2704</v>
      </c>
      <c r="B1164" s="0" t="s">
        <v>2705</v>
      </c>
      <c r="C1164" s="0" t="s">
        <v>31</v>
      </c>
      <c r="D1164" s="0" t="s">
        <v>1814</v>
      </c>
    </row>
    <row r="1165" customFormat="false" ht="13.5" hidden="false" customHeight="false" outlineLevel="0" collapsed="false">
      <c r="A1165" s="0" t="s">
        <v>2706</v>
      </c>
      <c r="B1165" s="0" t="s">
        <v>2707</v>
      </c>
      <c r="C1165" s="0" t="s">
        <v>31</v>
      </c>
      <c r="D1165" s="0" t="s">
        <v>1814</v>
      </c>
    </row>
    <row r="1166" customFormat="false" ht="13.5" hidden="false" customHeight="false" outlineLevel="0" collapsed="false">
      <c r="A1166" s="0" t="s">
        <v>2708</v>
      </c>
      <c r="B1166" s="0" t="s">
        <v>2709</v>
      </c>
      <c r="C1166" s="0" t="s">
        <v>31</v>
      </c>
      <c r="D1166" s="0" t="s">
        <v>2072</v>
      </c>
    </row>
    <row r="1167" customFormat="false" ht="13.5" hidden="false" customHeight="false" outlineLevel="0" collapsed="false">
      <c r="A1167" s="0" t="s">
        <v>2710</v>
      </c>
      <c r="B1167" s="0" t="s">
        <v>2711</v>
      </c>
      <c r="C1167" s="0" t="s">
        <v>31</v>
      </c>
      <c r="D1167" s="0" t="s">
        <v>1957</v>
      </c>
      <c r="E1167" s="0" t="s">
        <v>47</v>
      </c>
    </row>
    <row r="1168" customFormat="false" ht="13.5" hidden="false" customHeight="false" outlineLevel="0" collapsed="false">
      <c r="A1168" s="0" t="s">
        <v>2712</v>
      </c>
      <c r="B1168" s="0" t="s">
        <v>2713</v>
      </c>
      <c r="C1168" s="0" t="s">
        <v>31</v>
      </c>
      <c r="D1168" s="0" t="s">
        <v>1704</v>
      </c>
      <c r="F1168" s="0" t="s">
        <v>60</v>
      </c>
    </row>
    <row r="1169" customFormat="false" ht="13.5" hidden="false" customHeight="false" outlineLevel="0" collapsed="false">
      <c r="A1169" s="0" t="s">
        <v>2714</v>
      </c>
      <c r="B1169" s="0" t="s">
        <v>2715</v>
      </c>
      <c r="C1169" s="0" t="s">
        <v>31</v>
      </c>
      <c r="D1169" s="0" t="s">
        <v>413</v>
      </c>
      <c r="E1169" s="0" t="s">
        <v>2716</v>
      </c>
    </row>
    <row r="1170" customFormat="false" ht="13.5" hidden="false" customHeight="false" outlineLevel="0" collapsed="false">
      <c r="A1170" s="0" t="s">
        <v>2717</v>
      </c>
      <c r="B1170" s="0" t="s">
        <v>2718</v>
      </c>
      <c r="C1170" s="0" t="s">
        <v>31</v>
      </c>
      <c r="D1170" s="0" t="s">
        <v>1704</v>
      </c>
    </row>
    <row r="1171" customFormat="false" ht="13.5" hidden="false" customHeight="false" outlineLevel="0" collapsed="false">
      <c r="A1171" s="0" t="s">
        <v>2719</v>
      </c>
      <c r="B1171" s="0" t="s">
        <v>2720</v>
      </c>
      <c r="C1171" s="0" t="s">
        <v>31</v>
      </c>
      <c r="D1171" s="0" t="s">
        <v>1704</v>
      </c>
    </row>
    <row r="1172" customFormat="false" ht="13.5" hidden="false" customHeight="false" outlineLevel="0" collapsed="false">
      <c r="A1172" s="0" t="s">
        <v>2721</v>
      </c>
      <c r="B1172" s="0" t="s">
        <v>2722</v>
      </c>
      <c r="C1172" s="0" t="s">
        <v>31</v>
      </c>
      <c r="D1172" s="0" t="s">
        <v>2072</v>
      </c>
      <c r="F1172" s="0" t="s">
        <v>60</v>
      </c>
    </row>
    <row r="1173" customFormat="false" ht="13.5" hidden="false" customHeight="false" outlineLevel="0" collapsed="false">
      <c r="A1173" s="0" t="s">
        <v>2723</v>
      </c>
      <c r="B1173" s="0" t="s">
        <v>2724</v>
      </c>
      <c r="C1173" s="0" t="s">
        <v>31</v>
      </c>
      <c r="D1173" s="0" t="s">
        <v>413</v>
      </c>
      <c r="E1173" s="0" t="s">
        <v>2725</v>
      </c>
    </row>
    <row r="1174" customFormat="false" ht="13.5" hidden="false" customHeight="false" outlineLevel="0" collapsed="false">
      <c r="A1174" s="0" t="s">
        <v>2726</v>
      </c>
      <c r="B1174" s="0" t="s">
        <v>2727</v>
      </c>
      <c r="C1174" s="0" t="s">
        <v>31</v>
      </c>
      <c r="D1174" s="0" t="s">
        <v>2072</v>
      </c>
      <c r="F1174" s="0" t="s">
        <v>60</v>
      </c>
    </row>
    <row r="1175" customFormat="false" ht="13.5" hidden="false" customHeight="false" outlineLevel="0" collapsed="false">
      <c r="A1175" s="0" t="s">
        <v>2728</v>
      </c>
      <c r="B1175" s="0" t="s">
        <v>2729</v>
      </c>
      <c r="C1175" s="0" t="s">
        <v>31</v>
      </c>
      <c r="D1175" s="0" t="s">
        <v>19</v>
      </c>
      <c r="E1175" s="0" t="s">
        <v>219</v>
      </c>
      <c r="F1175" s="0" t="s">
        <v>2730</v>
      </c>
    </row>
    <row r="1176" customFormat="false" ht="13.5" hidden="false" customHeight="false" outlineLevel="0" collapsed="false">
      <c r="A1176" s="0" t="s">
        <v>2731</v>
      </c>
      <c r="B1176" s="0" t="s">
        <v>2732</v>
      </c>
      <c r="C1176" s="0" t="s">
        <v>31</v>
      </c>
      <c r="D1176" s="0" t="s">
        <v>19</v>
      </c>
      <c r="E1176" s="0" t="s">
        <v>36</v>
      </c>
      <c r="F1176" s="0" t="s">
        <v>1669</v>
      </c>
    </row>
    <row r="1177" customFormat="false" ht="13.5" hidden="false" customHeight="false" outlineLevel="0" collapsed="false">
      <c r="A1177" s="0" t="s">
        <v>2733</v>
      </c>
      <c r="B1177" s="0" t="s">
        <v>2734</v>
      </c>
      <c r="C1177" s="0" t="s">
        <v>31</v>
      </c>
      <c r="D1177" s="0" t="s">
        <v>1949</v>
      </c>
    </row>
    <row r="1178" customFormat="false" ht="13.5" hidden="false" customHeight="false" outlineLevel="0" collapsed="false">
      <c r="A1178" s="0" t="s">
        <v>2735</v>
      </c>
      <c r="B1178" s="0" t="s">
        <v>2736</v>
      </c>
      <c r="C1178" s="0" t="s">
        <v>31</v>
      </c>
      <c r="D1178" s="0" t="s">
        <v>2444</v>
      </c>
    </row>
    <row r="1179" customFormat="false" ht="13.5" hidden="false" customHeight="false" outlineLevel="0" collapsed="false">
      <c r="A1179" s="0" t="s">
        <v>2737</v>
      </c>
      <c r="B1179" s="0" t="s">
        <v>2738</v>
      </c>
      <c r="C1179" s="0" t="s">
        <v>31</v>
      </c>
      <c r="D1179" s="0" t="s">
        <v>2739</v>
      </c>
    </row>
    <row r="1180" customFormat="false" ht="13.5" hidden="false" customHeight="false" outlineLevel="0" collapsed="false">
      <c r="A1180" s="0" t="s">
        <v>2740</v>
      </c>
      <c r="B1180" s="0" t="s">
        <v>2741</v>
      </c>
      <c r="C1180" s="0" t="s">
        <v>31</v>
      </c>
      <c r="D1180" s="0" t="s">
        <v>1592</v>
      </c>
    </row>
    <row r="1181" customFormat="false" ht="13.5" hidden="false" customHeight="false" outlineLevel="0" collapsed="false">
      <c r="A1181" s="0" t="s">
        <v>2742</v>
      </c>
      <c r="B1181" s="0" t="s">
        <v>2743</v>
      </c>
      <c r="C1181" s="0" t="s">
        <v>31</v>
      </c>
      <c r="D1181" s="0" t="s">
        <v>2364</v>
      </c>
    </row>
    <row r="1182" customFormat="false" ht="13.5" hidden="false" customHeight="false" outlineLevel="0" collapsed="false">
      <c r="A1182" s="0" t="s">
        <v>2744</v>
      </c>
      <c r="B1182" s="0" t="s">
        <v>2745</v>
      </c>
      <c r="C1182" s="0" t="s">
        <v>31</v>
      </c>
      <c r="D1182" s="0" t="s">
        <v>1505</v>
      </c>
    </row>
    <row r="1183" customFormat="false" ht="13.5" hidden="false" customHeight="false" outlineLevel="0" collapsed="false">
      <c r="A1183" s="0" t="s">
        <v>2746</v>
      </c>
      <c r="B1183" s="0" t="s">
        <v>2747</v>
      </c>
      <c r="C1183" s="0" t="s">
        <v>31</v>
      </c>
      <c r="D1183" s="0" t="s">
        <v>2748</v>
      </c>
    </row>
    <row r="1184" customFormat="false" ht="13.5" hidden="false" customHeight="false" outlineLevel="0" collapsed="false">
      <c r="A1184" s="0" t="s">
        <v>2749</v>
      </c>
      <c r="B1184" s="0" t="s">
        <v>2750</v>
      </c>
      <c r="C1184" s="0" t="s">
        <v>31</v>
      </c>
      <c r="D1184" s="0" t="s">
        <v>1704</v>
      </c>
    </row>
    <row r="1185" customFormat="false" ht="13.5" hidden="false" customHeight="false" outlineLevel="0" collapsed="false">
      <c r="A1185" s="0" t="s">
        <v>2751</v>
      </c>
      <c r="B1185" s="0" t="s">
        <v>2752</v>
      </c>
      <c r="C1185" s="0" t="s">
        <v>31</v>
      </c>
      <c r="D1185" s="0" t="s">
        <v>413</v>
      </c>
      <c r="E1185" s="0" t="s">
        <v>273</v>
      </c>
    </row>
    <row r="1186" customFormat="false" ht="13.5" hidden="false" customHeight="false" outlineLevel="0" collapsed="false">
      <c r="A1186" s="0" t="s">
        <v>2753</v>
      </c>
      <c r="B1186" s="0" t="s">
        <v>2754</v>
      </c>
      <c r="C1186" s="0" t="s">
        <v>31</v>
      </c>
      <c r="D1186" s="0" t="s">
        <v>2755</v>
      </c>
    </row>
    <row r="1187" customFormat="false" ht="13.5" hidden="false" customHeight="false" outlineLevel="0" collapsed="false">
      <c r="A1187" s="0" t="s">
        <v>2756</v>
      </c>
      <c r="B1187" s="0" t="s">
        <v>2757</v>
      </c>
      <c r="C1187" s="0" t="s">
        <v>31</v>
      </c>
      <c r="D1187" s="0" t="s">
        <v>2758</v>
      </c>
    </row>
    <row r="1188" customFormat="false" ht="13.5" hidden="false" customHeight="false" outlineLevel="0" collapsed="false">
      <c r="A1188" s="0" t="s">
        <v>2759</v>
      </c>
      <c r="B1188" s="0" t="s">
        <v>2760</v>
      </c>
      <c r="C1188" s="0" t="s">
        <v>31</v>
      </c>
      <c r="D1188" s="0" t="s">
        <v>1957</v>
      </c>
    </row>
    <row r="1189" customFormat="false" ht="13.5" hidden="false" customHeight="false" outlineLevel="0" collapsed="false">
      <c r="A1189" s="0" t="s">
        <v>2761</v>
      </c>
      <c r="B1189" s="0" t="s">
        <v>2762</v>
      </c>
      <c r="C1189" s="0" t="s">
        <v>31</v>
      </c>
      <c r="D1189" s="0" t="s">
        <v>19</v>
      </c>
      <c r="E1189" s="0" t="s">
        <v>241</v>
      </c>
      <c r="F1189" s="0" t="s">
        <v>2763</v>
      </c>
    </row>
    <row r="1190" customFormat="false" ht="13.5" hidden="false" customHeight="false" outlineLevel="0" collapsed="false">
      <c r="A1190" s="0" t="s">
        <v>2764</v>
      </c>
      <c r="B1190" s="0" t="s">
        <v>2765</v>
      </c>
      <c r="C1190" s="0" t="s">
        <v>31</v>
      </c>
      <c r="D1190" s="0" t="s">
        <v>1540</v>
      </c>
    </row>
    <row r="1191" customFormat="false" ht="13.5" hidden="false" customHeight="false" outlineLevel="0" collapsed="false">
      <c r="A1191" s="0" t="s">
        <v>2766</v>
      </c>
      <c r="B1191" s="0" t="s">
        <v>2767</v>
      </c>
      <c r="C1191" s="0" t="s">
        <v>31</v>
      </c>
      <c r="D1191" s="0" t="s">
        <v>413</v>
      </c>
      <c r="E1191" s="0" t="s">
        <v>1012</v>
      </c>
    </row>
    <row r="1192" customFormat="false" ht="13.5" hidden="false" customHeight="false" outlineLevel="0" collapsed="false">
      <c r="A1192" s="0" t="s">
        <v>2768</v>
      </c>
      <c r="B1192" s="0" t="s">
        <v>2769</v>
      </c>
      <c r="C1192" s="0" t="s">
        <v>31</v>
      </c>
      <c r="D1192" s="0" t="s">
        <v>19</v>
      </c>
      <c r="E1192" s="0" t="s">
        <v>2770</v>
      </c>
      <c r="F1192" s="0" t="s">
        <v>60</v>
      </c>
    </row>
    <row r="1193" customFormat="false" ht="13.5" hidden="false" customHeight="false" outlineLevel="0" collapsed="false">
      <c r="A1193" s="0" t="s">
        <v>2771</v>
      </c>
      <c r="B1193" s="0" t="s">
        <v>2772</v>
      </c>
      <c r="C1193" s="0" t="s">
        <v>31</v>
      </c>
      <c r="D1193" s="0" t="s">
        <v>413</v>
      </c>
      <c r="E1193" s="0" t="s">
        <v>47</v>
      </c>
    </row>
    <row r="1194" customFormat="false" ht="13.5" hidden="false" customHeight="false" outlineLevel="0" collapsed="false">
      <c r="A1194" s="0" t="s">
        <v>2773</v>
      </c>
      <c r="B1194" s="0" t="s">
        <v>2774</v>
      </c>
      <c r="C1194" s="0" t="s">
        <v>31</v>
      </c>
      <c r="D1194" s="0" t="s">
        <v>19</v>
      </c>
      <c r="E1194" s="0" t="s">
        <v>219</v>
      </c>
      <c r="F1194" s="0" t="s">
        <v>2730</v>
      </c>
    </row>
    <row r="1195" customFormat="false" ht="13.5" hidden="false" customHeight="false" outlineLevel="0" collapsed="false">
      <c r="A1195" s="0" t="s">
        <v>2775</v>
      </c>
      <c r="B1195" s="0" t="s">
        <v>2776</v>
      </c>
      <c r="C1195" s="0" t="s">
        <v>31</v>
      </c>
      <c r="D1195" s="0" t="s">
        <v>2777</v>
      </c>
    </row>
    <row r="1196" customFormat="false" ht="13.5" hidden="false" customHeight="false" outlineLevel="0" collapsed="false">
      <c r="A1196" s="0" t="s">
        <v>2778</v>
      </c>
      <c r="B1196" s="0" t="s">
        <v>2779</v>
      </c>
      <c r="C1196" s="0" t="s">
        <v>31</v>
      </c>
      <c r="D1196" s="0" t="s">
        <v>19</v>
      </c>
      <c r="E1196" s="0" t="s">
        <v>2780</v>
      </c>
      <c r="F1196" s="0" t="s">
        <v>2781</v>
      </c>
    </row>
    <row r="1197" customFormat="false" ht="13.5" hidden="false" customHeight="false" outlineLevel="0" collapsed="false">
      <c r="A1197" s="0" t="s">
        <v>2782</v>
      </c>
      <c r="B1197" s="0" t="s">
        <v>2783</v>
      </c>
      <c r="C1197" s="0" t="s">
        <v>31</v>
      </c>
      <c r="D1197" s="0" t="s">
        <v>2444</v>
      </c>
    </row>
    <row r="1198" customFormat="false" ht="13.5" hidden="false" customHeight="false" outlineLevel="0" collapsed="false">
      <c r="A1198" s="0" t="s">
        <v>2784</v>
      </c>
      <c r="B1198" s="0" t="s">
        <v>2785</v>
      </c>
      <c r="C1198" s="0" t="s">
        <v>31</v>
      </c>
      <c r="D1198" s="0" t="s">
        <v>2786</v>
      </c>
    </row>
    <row r="1199" customFormat="false" ht="13.5" hidden="false" customHeight="false" outlineLevel="0" collapsed="false">
      <c r="A1199" s="0" t="s">
        <v>2787</v>
      </c>
      <c r="B1199" s="0" t="s">
        <v>2788</v>
      </c>
      <c r="C1199" s="0" t="s">
        <v>31</v>
      </c>
      <c r="D1199" s="0" t="s">
        <v>1957</v>
      </c>
    </row>
    <row r="1200" customFormat="false" ht="13.5" hidden="false" customHeight="false" outlineLevel="0" collapsed="false">
      <c r="A1200" s="0" t="s">
        <v>2789</v>
      </c>
      <c r="B1200" s="0" t="s">
        <v>2790</v>
      </c>
      <c r="C1200" s="0" t="s">
        <v>31</v>
      </c>
      <c r="D1200" s="0" t="s">
        <v>413</v>
      </c>
      <c r="E1200" s="0" t="s">
        <v>2791</v>
      </c>
    </row>
    <row r="1201" customFormat="false" ht="13.5" hidden="false" customHeight="false" outlineLevel="0" collapsed="false">
      <c r="A1201" s="0" t="s">
        <v>2792</v>
      </c>
      <c r="B1201" s="0" t="s">
        <v>2793</v>
      </c>
      <c r="C1201" s="0" t="s">
        <v>31</v>
      </c>
      <c r="D1201" s="0" t="s">
        <v>1924</v>
      </c>
      <c r="F1201" s="0" t="s">
        <v>60</v>
      </c>
    </row>
    <row r="1202" customFormat="false" ht="13.5" hidden="false" customHeight="false" outlineLevel="0" collapsed="false">
      <c r="A1202" s="0" t="s">
        <v>2794</v>
      </c>
      <c r="B1202" s="0" t="s">
        <v>2795</v>
      </c>
      <c r="C1202" s="0" t="s">
        <v>31</v>
      </c>
      <c r="D1202" s="0" t="s">
        <v>1505</v>
      </c>
    </row>
    <row r="1203" customFormat="false" ht="13.5" hidden="false" customHeight="false" outlineLevel="0" collapsed="false">
      <c r="A1203" s="0" t="s">
        <v>2796</v>
      </c>
      <c r="B1203" s="0" t="s">
        <v>2797</v>
      </c>
      <c r="C1203" s="0" t="s">
        <v>31</v>
      </c>
      <c r="D1203" s="0" t="s">
        <v>2444</v>
      </c>
    </row>
    <row r="1204" customFormat="false" ht="13.5" hidden="false" customHeight="false" outlineLevel="0" collapsed="false">
      <c r="A1204" s="0" t="s">
        <v>2798</v>
      </c>
      <c r="B1204" s="0" t="s">
        <v>2799</v>
      </c>
      <c r="C1204" s="0" t="s">
        <v>31</v>
      </c>
      <c r="D1204" s="0" t="s">
        <v>1924</v>
      </c>
    </row>
    <row r="1205" customFormat="false" ht="13.5" hidden="false" customHeight="false" outlineLevel="0" collapsed="false">
      <c r="A1205" s="0" t="s">
        <v>2800</v>
      </c>
      <c r="B1205" s="0" t="s">
        <v>2801</v>
      </c>
      <c r="C1205" s="0" t="s">
        <v>31</v>
      </c>
      <c r="D1205" s="0" t="s">
        <v>413</v>
      </c>
      <c r="E1205" s="0" t="s">
        <v>98</v>
      </c>
    </row>
    <row r="1206" customFormat="false" ht="13.5" hidden="false" customHeight="false" outlineLevel="0" collapsed="false">
      <c r="A1206" s="0" t="s">
        <v>2802</v>
      </c>
      <c r="B1206" s="0" t="s">
        <v>2803</v>
      </c>
      <c r="C1206" s="0" t="s">
        <v>31</v>
      </c>
      <c r="D1206" s="0" t="s">
        <v>2804</v>
      </c>
    </row>
    <row r="1207" customFormat="false" ht="13.5" hidden="false" customHeight="false" outlineLevel="0" collapsed="false">
      <c r="A1207" s="0" t="s">
        <v>2805</v>
      </c>
      <c r="B1207" s="0" t="s">
        <v>2806</v>
      </c>
      <c r="C1207" s="0" t="s">
        <v>31</v>
      </c>
      <c r="D1207" s="0" t="s">
        <v>413</v>
      </c>
      <c r="E1207" s="0" t="s">
        <v>47</v>
      </c>
    </row>
    <row r="1208" customFormat="false" ht="13.5" hidden="false" customHeight="false" outlineLevel="0" collapsed="false">
      <c r="A1208" s="0" t="s">
        <v>2807</v>
      </c>
      <c r="B1208" s="0" t="s">
        <v>2808</v>
      </c>
      <c r="C1208" s="0" t="s">
        <v>31</v>
      </c>
      <c r="D1208" s="0" t="s">
        <v>2809</v>
      </c>
    </row>
    <row r="1209" customFormat="false" ht="13.5" hidden="false" customHeight="false" outlineLevel="0" collapsed="false">
      <c r="A1209" s="0" t="s">
        <v>2810</v>
      </c>
      <c r="B1209" s="0" t="s">
        <v>2811</v>
      </c>
      <c r="C1209" s="0" t="s">
        <v>31</v>
      </c>
      <c r="D1209" s="0" t="s">
        <v>19</v>
      </c>
      <c r="E1209" s="0" t="s">
        <v>1012</v>
      </c>
      <c r="F1209" s="0" t="s">
        <v>60</v>
      </c>
    </row>
    <row r="1210" customFormat="false" ht="13.5" hidden="false" customHeight="false" outlineLevel="0" collapsed="false">
      <c r="A1210" s="0" t="s">
        <v>2812</v>
      </c>
      <c r="B1210" s="0" t="s">
        <v>2813</v>
      </c>
      <c r="C1210" s="0" t="s">
        <v>31</v>
      </c>
      <c r="D1210" s="0" t="s">
        <v>413</v>
      </c>
      <c r="E1210" s="0" t="s">
        <v>1012</v>
      </c>
    </row>
    <row r="1211" customFormat="false" ht="13.5" hidden="false" customHeight="false" outlineLevel="0" collapsed="false">
      <c r="A1211" s="0" t="s">
        <v>2814</v>
      </c>
      <c r="B1211" s="0" t="s">
        <v>2815</v>
      </c>
      <c r="C1211" s="0" t="s">
        <v>31</v>
      </c>
      <c r="D1211" s="0" t="s">
        <v>1592</v>
      </c>
    </row>
    <row r="1212" customFormat="false" ht="13.5" hidden="false" customHeight="false" outlineLevel="0" collapsed="false">
      <c r="A1212" s="0" t="s">
        <v>2816</v>
      </c>
      <c r="B1212" s="0" t="s">
        <v>2817</v>
      </c>
      <c r="C1212" s="0" t="s">
        <v>31</v>
      </c>
      <c r="D1212" s="0" t="s">
        <v>1704</v>
      </c>
    </row>
    <row r="1213" customFormat="false" ht="13.5" hidden="false" customHeight="false" outlineLevel="0" collapsed="false">
      <c r="A1213" s="0" t="s">
        <v>2818</v>
      </c>
      <c r="B1213" s="0" t="s">
        <v>2819</v>
      </c>
      <c r="C1213" s="0" t="s">
        <v>31</v>
      </c>
      <c r="D1213" s="0" t="s">
        <v>2820</v>
      </c>
      <c r="E1213" s="0" t="s">
        <v>273</v>
      </c>
    </row>
    <row r="1214" customFormat="false" ht="13.5" hidden="false" customHeight="false" outlineLevel="0" collapsed="false">
      <c r="A1214" s="0" t="s">
        <v>2821</v>
      </c>
      <c r="B1214" s="0" t="s">
        <v>2822</v>
      </c>
      <c r="C1214" s="0" t="s">
        <v>31</v>
      </c>
      <c r="D1214" s="0" t="s">
        <v>2701</v>
      </c>
    </row>
    <row r="1215" customFormat="false" ht="13.5" hidden="false" customHeight="false" outlineLevel="0" collapsed="false">
      <c r="A1215" s="0" t="s">
        <v>2823</v>
      </c>
      <c r="B1215" s="0" t="s">
        <v>2824</v>
      </c>
      <c r="C1215" s="0" t="s">
        <v>31</v>
      </c>
      <c r="D1215" s="0" t="s">
        <v>2701</v>
      </c>
    </row>
    <row r="1216" customFormat="false" ht="13.5" hidden="false" customHeight="false" outlineLevel="0" collapsed="false">
      <c r="A1216" s="0" t="s">
        <v>2825</v>
      </c>
      <c r="B1216" s="0" t="s">
        <v>2826</v>
      </c>
      <c r="C1216" s="0" t="s">
        <v>31</v>
      </c>
      <c r="D1216" s="0" t="s">
        <v>69</v>
      </c>
    </row>
    <row r="1217" customFormat="false" ht="13.5" hidden="false" customHeight="false" outlineLevel="0" collapsed="false">
      <c r="A1217" s="0" t="s">
        <v>2827</v>
      </c>
      <c r="B1217" s="0" t="s">
        <v>389</v>
      </c>
      <c r="C1217" s="0" t="s">
        <v>31</v>
      </c>
      <c r="D1217" s="0" t="s">
        <v>1508</v>
      </c>
    </row>
    <row r="1218" customFormat="false" ht="13.5" hidden="false" customHeight="false" outlineLevel="0" collapsed="false">
      <c r="A1218" s="0" t="s">
        <v>2828</v>
      </c>
      <c r="B1218" s="0" t="s">
        <v>2829</v>
      </c>
      <c r="C1218" s="0" t="s">
        <v>31</v>
      </c>
      <c r="D1218" s="0" t="s">
        <v>2830</v>
      </c>
    </row>
    <row r="1219" customFormat="false" ht="13.5" hidden="false" customHeight="false" outlineLevel="0" collapsed="false">
      <c r="A1219" s="0" t="s">
        <v>2831</v>
      </c>
      <c r="B1219" s="0" t="s">
        <v>2832</v>
      </c>
      <c r="C1219" s="0" t="s">
        <v>31</v>
      </c>
      <c r="D1219" s="0" t="s">
        <v>413</v>
      </c>
      <c r="E1219" s="0" t="s">
        <v>2833</v>
      </c>
    </row>
    <row r="1220" customFormat="false" ht="13.5" hidden="false" customHeight="false" outlineLevel="0" collapsed="false">
      <c r="A1220" s="0" t="s">
        <v>2834</v>
      </c>
      <c r="B1220" s="0" t="s">
        <v>2835</v>
      </c>
      <c r="C1220" s="0" t="s">
        <v>31</v>
      </c>
      <c r="D1220" s="0" t="s">
        <v>2492</v>
      </c>
    </row>
    <row r="1221" customFormat="false" ht="13.5" hidden="false" customHeight="false" outlineLevel="0" collapsed="false">
      <c r="A1221" s="0" t="s">
        <v>2836</v>
      </c>
      <c r="B1221" s="0" t="s">
        <v>2837</v>
      </c>
      <c r="C1221" s="0" t="s">
        <v>31</v>
      </c>
      <c r="D1221" s="0" t="s">
        <v>413</v>
      </c>
      <c r="E1221" s="0" t="s">
        <v>2838</v>
      </c>
    </row>
    <row r="1222" customFormat="false" ht="13.5" hidden="false" customHeight="false" outlineLevel="0" collapsed="false">
      <c r="A1222" s="0" t="s">
        <v>2839</v>
      </c>
      <c r="B1222" s="0" t="s">
        <v>2840</v>
      </c>
      <c r="C1222" s="0" t="s">
        <v>31</v>
      </c>
      <c r="D1222" s="0" t="s">
        <v>413</v>
      </c>
      <c r="E1222" s="0" t="s">
        <v>1459</v>
      </c>
    </row>
    <row r="1223" customFormat="false" ht="13.5" hidden="false" customHeight="false" outlineLevel="0" collapsed="false">
      <c r="A1223" s="0" t="s">
        <v>2841</v>
      </c>
      <c r="B1223" s="0" t="s">
        <v>2842</v>
      </c>
      <c r="C1223" s="0" t="s">
        <v>31</v>
      </c>
      <c r="D1223" s="0" t="s">
        <v>1540</v>
      </c>
    </row>
    <row r="1224" customFormat="false" ht="13.5" hidden="false" customHeight="false" outlineLevel="0" collapsed="false">
      <c r="A1224" s="0" t="s">
        <v>2843</v>
      </c>
      <c r="B1224" s="0" t="s">
        <v>1352</v>
      </c>
      <c r="C1224" s="0" t="s">
        <v>31</v>
      </c>
      <c r="D1224" s="0" t="s">
        <v>2844</v>
      </c>
    </row>
    <row r="1225" customFormat="false" ht="13.5" hidden="false" customHeight="false" outlineLevel="0" collapsed="false">
      <c r="A1225" s="0" t="s">
        <v>2845</v>
      </c>
      <c r="B1225" s="0" t="s">
        <v>2846</v>
      </c>
      <c r="C1225" s="0" t="s">
        <v>31</v>
      </c>
      <c r="D1225" s="0" t="s">
        <v>2054</v>
      </c>
    </row>
    <row r="1226" customFormat="false" ht="13.5" hidden="false" customHeight="false" outlineLevel="0" collapsed="false">
      <c r="A1226" s="0" t="s">
        <v>2847</v>
      </c>
      <c r="B1226" s="0" t="s">
        <v>2848</v>
      </c>
      <c r="C1226" s="0" t="s">
        <v>31</v>
      </c>
      <c r="D1226" s="0" t="s">
        <v>2849</v>
      </c>
    </row>
    <row r="1227" customFormat="false" ht="13.5" hidden="false" customHeight="false" outlineLevel="0" collapsed="false">
      <c r="A1227" s="0" t="s">
        <v>2850</v>
      </c>
      <c r="B1227" s="0" t="s">
        <v>2851</v>
      </c>
      <c r="C1227" s="0" t="s">
        <v>31</v>
      </c>
      <c r="D1227" s="0" t="s">
        <v>16</v>
      </c>
      <c r="E1227" s="0" t="s">
        <v>2852</v>
      </c>
    </row>
    <row r="1228" customFormat="false" ht="13.5" hidden="false" customHeight="false" outlineLevel="0" collapsed="false">
      <c r="A1228" s="0" t="s">
        <v>2853</v>
      </c>
      <c r="B1228" s="0" t="s">
        <v>2854</v>
      </c>
      <c r="C1228" s="0" t="s">
        <v>31</v>
      </c>
      <c r="D1228" s="0" t="s">
        <v>413</v>
      </c>
      <c r="E1228" s="0" t="s">
        <v>2379</v>
      </c>
    </row>
    <row r="1229" customFormat="false" ht="13.5" hidden="false" customHeight="false" outlineLevel="0" collapsed="false">
      <c r="A1229" s="0" t="s">
        <v>2855</v>
      </c>
      <c r="B1229" s="0" t="s">
        <v>2856</v>
      </c>
      <c r="C1229" s="0" t="s">
        <v>31</v>
      </c>
      <c r="D1229" s="0" t="s">
        <v>2809</v>
      </c>
    </row>
    <row r="1230" customFormat="false" ht="13.5" hidden="false" customHeight="false" outlineLevel="0" collapsed="false">
      <c r="A1230" s="0" t="s">
        <v>2857</v>
      </c>
      <c r="B1230" s="0" t="s">
        <v>2858</v>
      </c>
      <c r="C1230" s="0" t="s">
        <v>31</v>
      </c>
      <c r="D1230" s="0" t="s">
        <v>413</v>
      </c>
      <c r="E1230" s="0" t="s">
        <v>351</v>
      </c>
    </row>
    <row r="1231" customFormat="false" ht="13.5" hidden="false" customHeight="false" outlineLevel="0" collapsed="false">
      <c r="A1231" s="0" t="s">
        <v>2859</v>
      </c>
      <c r="B1231" s="0" t="s">
        <v>394</v>
      </c>
      <c r="C1231" s="0" t="s">
        <v>31</v>
      </c>
      <c r="D1231" s="0" t="s">
        <v>2860</v>
      </c>
      <c r="E1231" s="0" t="s">
        <v>150</v>
      </c>
    </row>
    <row r="1232" customFormat="false" ht="13.5" hidden="false" customHeight="false" outlineLevel="0" collapsed="false">
      <c r="A1232" s="0" t="s">
        <v>2861</v>
      </c>
      <c r="B1232" s="0" t="s">
        <v>2862</v>
      </c>
      <c r="C1232" s="0" t="s">
        <v>31</v>
      </c>
      <c r="D1232" s="0" t="s">
        <v>413</v>
      </c>
      <c r="E1232" s="0" t="s">
        <v>47</v>
      </c>
    </row>
    <row r="1233" customFormat="false" ht="13.5" hidden="false" customHeight="false" outlineLevel="0" collapsed="false">
      <c r="A1233" s="0" t="s">
        <v>2863</v>
      </c>
      <c r="B1233" s="0" t="s">
        <v>2864</v>
      </c>
      <c r="C1233" s="0" t="s">
        <v>31</v>
      </c>
      <c r="D1233" s="0" t="s">
        <v>1957</v>
      </c>
    </row>
    <row r="1234" customFormat="false" ht="13.5" hidden="false" customHeight="false" outlineLevel="0" collapsed="false">
      <c r="A1234" s="0" t="s">
        <v>2865</v>
      </c>
      <c r="B1234" s="0" t="s">
        <v>2866</v>
      </c>
      <c r="C1234" s="0" t="s">
        <v>31</v>
      </c>
      <c r="D1234" s="0" t="s">
        <v>1592</v>
      </c>
    </row>
    <row r="1235" customFormat="false" ht="13.5" hidden="false" customHeight="false" outlineLevel="0" collapsed="false">
      <c r="A1235" s="0" t="s">
        <v>2867</v>
      </c>
      <c r="B1235" s="0" t="s">
        <v>2868</v>
      </c>
      <c r="C1235" s="0" t="s">
        <v>31</v>
      </c>
      <c r="D1235" s="0" t="s">
        <v>1508</v>
      </c>
    </row>
    <row r="1236" customFormat="false" ht="13.5" hidden="false" customHeight="false" outlineLevel="0" collapsed="false">
      <c r="A1236" s="0" t="s">
        <v>2869</v>
      </c>
      <c r="B1236" s="0" t="s">
        <v>2870</v>
      </c>
      <c r="C1236" s="0" t="s">
        <v>31</v>
      </c>
      <c r="D1236" s="0" t="s">
        <v>2871</v>
      </c>
    </row>
    <row r="1237" customFormat="false" ht="13.5" hidden="false" customHeight="false" outlineLevel="0" collapsed="false">
      <c r="A1237" s="0" t="s">
        <v>2872</v>
      </c>
      <c r="B1237" s="0" t="s">
        <v>2873</v>
      </c>
      <c r="C1237" s="0" t="s">
        <v>31</v>
      </c>
      <c r="D1237" s="0" t="s">
        <v>413</v>
      </c>
      <c r="E1237" s="0" t="s">
        <v>59</v>
      </c>
    </row>
    <row r="1238" customFormat="false" ht="13.5" hidden="false" customHeight="false" outlineLevel="0" collapsed="false">
      <c r="A1238" s="0" t="s">
        <v>2874</v>
      </c>
      <c r="B1238" s="0" t="s">
        <v>2875</v>
      </c>
      <c r="C1238" s="0" t="s">
        <v>31</v>
      </c>
      <c r="D1238" s="0" t="s">
        <v>171</v>
      </c>
    </row>
    <row r="1239" customFormat="false" ht="13.5" hidden="false" customHeight="false" outlineLevel="0" collapsed="false">
      <c r="A1239" s="0" t="s">
        <v>2876</v>
      </c>
      <c r="B1239" s="0" t="s">
        <v>2877</v>
      </c>
      <c r="C1239" s="0" t="s">
        <v>31</v>
      </c>
      <c r="D1239" s="0" t="s">
        <v>2878</v>
      </c>
      <c r="E1239" s="0" t="s">
        <v>122</v>
      </c>
    </row>
    <row r="1240" customFormat="false" ht="13.5" hidden="false" customHeight="false" outlineLevel="0" collapsed="false">
      <c r="A1240" s="0" t="s">
        <v>2879</v>
      </c>
      <c r="B1240" s="0" t="s">
        <v>2880</v>
      </c>
      <c r="C1240" s="0" t="s">
        <v>31</v>
      </c>
      <c r="D1240" s="0" t="s">
        <v>1704</v>
      </c>
    </row>
    <row r="1241" customFormat="false" ht="13.5" hidden="false" customHeight="false" outlineLevel="0" collapsed="false">
      <c r="A1241" s="0" t="s">
        <v>2881</v>
      </c>
      <c r="B1241" s="0" t="s">
        <v>2882</v>
      </c>
      <c r="C1241" s="0" t="s">
        <v>31</v>
      </c>
      <c r="D1241" s="0" t="s">
        <v>69</v>
      </c>
    </row>
    <row r="1242" customFormat="false" ht="13.5" hidden="false" customHeight="false" outlineLevel="0" collapsed="false">
      <c r="A1242" s="0" t="s">
        <v>2883</v>
      </c>
      <c r="B1242" s="0" t="s">
        <v>2884</v>
      </c>
      <c r="C1242" s="0" t="s">
        <v>31</v>
      </c>
      <c r="D1242" s="0" t="s">
        <v>2871</v>
      </c>
    </row>
    <row r="1243" customFormat="false" ht="13.5" hidden="false" customHeight="false" outlineLevel="0" collapsed="false">
      <c r="A1243" s="0" t="s">
        <v>2885</v>
      </c>
      <c r="B1243" s="0" t="s">
        <v>2886</v>
      </c>
      <c r="C1243" s="0" t="s">
        <v>31</v>
      </c>
      <c r="D1243" s="0" t="s">
        <v>2887</v>
      </c>
    </row>
    <row r="1244" customFormat="false" ht="13.5" hidden="false" customHeight="false" outlineLevel="0" collapsed="false">
      <c r="A1244" s="0" t="s">
        <v>2888</v>
      </c>
      <c r="B1244" s="0" t="s">
        <v>2889</v>
      </c>
      <c r="C1244" s="0" t="s">
        <v>31</v>
      </c>
      <c r="D1244" s="0" t="s">
        <v>413</v>
      </c>
      <c r="E1244" s="0" t="s">
        <v>2890</v>
      </c>
    </row>
    <row r="1245" customFormat="false" ht="13.5" hidden="false" customHeight="false" outlineLevel="0" collapsed="false">
      <c r="A1245" s="0" t="s">
        <v>2891</v>
      </c>
      <c r="B1245" s="0" t="s">
        <v>2892</v>
      </c>
      <c r="C1245" s="0" t="s">
        <v>31</v>
      </c>
      <c r="D1245" s="0" t="s">
        <v>2893</v>
      </c>
      <c r="E1245" s="0" t="s">
        <v>241</v>
      </c>
    </row>
    <row r="1246" customFormat="false" ht="13.5" hidden="false" customHeight="false" outlineLevel="0" collapsed="false">
      <c r="A1246" s="0" t="s">
        <v>2894</v>
      </c>
      <c r="B1246" s="0" t="s">
        <v>2895</v>
      </c>
      <c r="C1246" s="0" t="s">
        <v>31</v>
      </c>
      <c r="D1246" s="0" t="s">
        <v>2356</v>
      </c>
    </row>
    <row r="1247" customFormat="false" ht="13.5" hidden="false" customHeight="false" outlineLevel="0" collapsed="false">
      <c r="A1247" s="0" t="s">
        <v>2896</v>
      </c>
      <c r="B1247" s="0" t="s">
        <v>2897</v>
      </c>
      <c r="C1247" s="0" t="s">
        <v>31</v>
      </c>
      <c r="D1247" s="0" t="s">
        <v>413</v>
      </c>
      <c r="E1247" s="0" t="s">
        <v>728</v>
      </c>
    </row>
    <row r="1248" customFormat="false" ht="13.5" hidden="false" customHeight="false" outlineLevel="0" collapsed="false">
      <c r="A1248" s="0" t="s">
        <v>2898</v>
      </c>
      <c r="B1248" s="0" t="s">
        <v>2899</v>
      </c>
      <c r="C1248" s="0" t="s">
        <v>31</v>
      </c>
      <c r="D1248" s="0" t="s">
        <v>1527</v>
      </c>
    </row>
    <row r="1249" customFormat="false" ht="13.5" hidden="false" customHeight="false" outlineLevel="0" collapsed="false">
      <c r="A1249" s="0" t="s">
        <v>2900</v>
      </c>
      <c r="B1249" s="0" t="s">
        <v>2901</v>
      </c>
      <c r="C1249" s="0" t="s">
        <v>31</v>
      </c>
      <c r="D1249" s="0" t="s">
        <v>2902</v>
      </c>
    </row>
    <row r="1250" customFormat="false" ht="13.5" hidden="false" customHeight="false" outlineLevel="0" collapsed="false">
      <c r="A1250" s="0" t="s">
        <v>2903</v>
      </c>
      <c r="B1250" s="0" t="s">
        <v>2904</v>
      </c>
      <c r="C1250" s="0" t="s">
        <v>31</v>
      </c>
      <c r="D1250" s="0" t="s">
        <v>2905</v>
      </c>
    </row>
    <row r="1251" customFormat="false" ht="13.5" hidden="false" customHeight="false" outlineLevel="0" collapsed="false">
      <c r="A1251" s="0" t="s">
        <v>2906</v>
      </c>
      <c r="B1251" s="0" t="s">
        <v>2907</v>
      </c>
      <c r="C1251" s="0" t="s">
        <v>31</v>
      </c>
      <c r="D1251" s="0" t="s">
        <v>1505</v>
      </c>
    </row>
    <row r="1252" customFormat="false" ht="13.5" hidden="false" customHeight="false" outlineLevel="0" collapsed="false">
      <c r="A1252" s="0" t="s">
        <v>2908</v>
      </c>
      <c r="B1252" s="0" t="s">
        <v>2909</v>
      </c>
      <c r="C1252" s="0" t="s">
        <v>31</v>
      </c>
      <c r="D1252" s="0" t="s">
        <v>413</v>
      </c>
      <c r="E1252" s="0" t="s">
        <v>98</v>
      </c>
    </row>
    <row r="1253" customFormat="false" ht="13.5" hidden="false" customHeight="false" outlineLevel="0" collapsed="false">
      <c r="A1253" s="0" t="s">
        <v>2910</v>
      </c>
      <c r="B1253" s="0" t="s">
        <v>2911</v>
      </c>
      <c r="C1253" s="0" t="s">
        <v>31</v>
      </c>
      <c r="D1253" s="0" t="s">
        <v>413</v>
      </c>
      <c r="E1253" s="0" t="s">
        <v>2890</v>
      </c>
    </row>
    <row r="1254" customFormat="false" ht="13.5" hidden="false" customHeight="false" outlineLevel="0" collapsed="false">
      <c r="A1254" s="0" t="s">
        <v>2912</v>
      </c>
      <c r="B1254" s="0" t="s">
        <v>2913</v>
      </c>
      <c r="C1254" s="0" t="s">
        <v>31</v>
      </c>
      <c r="D1254" s="0" t="s">
        <v>19</v>
      </c>
      <c r="E1254" s="0" t="s">
        <v>361</v>
      </c>
      <c r="F1254" s="0" t="s">
        <v>60</v>
      </c>
    </row>
    <row r="1255" customFormat="false" ht="13.5" hidden="false" customHeight="false" outlineLevel="0" collapsed="false">
      <c r="A1255" s="0" t="s">
        <v>2914</v>
      </c>
      <c r="B1255" s="0" t="s">
        <v>2915</v>
      </c>
      <c r="C1255" s="0" t="s">
        <v>31</v>
      </c>
      <c r="D1255" s="0" t="s">
        <v>2916</v>
      </c>
      <c r="E1255" s="0" t="s">
        <v>36</v>
      </c>
    </row>
    <row r="1256" customFormat="false" ht="13.5" hidden="false" customHeight="false" outlineLevel="0" collapsed="false">
      <c r="A1256" s="0" t="s">
        <v>2917</v>
      </c>
      <c r="B1256" s="0" t="s">
        <v>2918</v>
      </c>
      <c r="C1256" s="4" t="s">
        <v>31</v>
      </c>
      <c r="D1256" s="0" t="s">
        <v>16</v>
      </c>
      <c r="E1256" s="0" t="s">
        <v>1012</v>
      </c>
      <c r="F1256" s="0" t="s">
        <v>1669</v>
      </c>
    </row>
    <row r="1257" customFormat="false" ht="13.5" hidden="false" customHeight="false" outlineLevel="0" collapsed="false">
      <c r="A1257" s="0" t="s">
        <v>2919</v>
      </c>
      <c r="B1257" s="0" t="s">
        <v>2920</v>
      </c>
      <c r="C1257" s="0" t="s">
        <v>31</v>
      </c>
      <c r="D1257" s="0" t="s">
        <v>413</v>
      </c>
      <c r="E1257" s="0" t="s">
        <v>200</v>
      </c>
    </row>
    <row r="1258" customFormat="false" ht="13.5" hidden="false" customHeight="false" outlineLevel="0" collapsed="false">
      <c r="A1258" s="0" t="s">
        <v>2921</v>
      </c>
      <c r="B1258" s="0" t="s">
        <v>2922</v>
      </c>
      <c r="C1258" s="0" t="s">
        <v>31</v>
      </c>
      <c r="D1258" s="0" t="s">
        <v>1924</v>
      </c>
    </row>
    <row r="1259" customFormat="false" ht="13.5" hidden="false" customHeight="false" outlineLevel="0" collapsed="false">
      <c r="A1259" s="0" t="s">
        <v>2923</v>
      </c>
      <c r="B1259" s="0" t="s">
        <v>2924</v>
      </c>
      <c r="C1259" s="0" t="s">
        <v>31</v>
      </c>
      <c r="D1259" s="0" t="s">
        <v>1505</v>
      </c>
    </row>
    <row r="1260" customFormat="false" ht="13.5" hidden="false" customHeight="false" outlineLevel="0" collapsed="false">
      <c r="A1260" s="0" t="s">
        <v>2925</v>
      </c>
      <c r="B1260" s="0" t="s">
        <v>2926</v>
      </c>
      <c r="C1260" s="0" t="s">
        <v>31</v>
      </c>
      <c r="D1260" s="0" t="s">
        <v>413</v>
      </c>
      <c r="E1260" s="0" t="s">
        <v>186</v>
      </c>
    </row>
    <row r="1261" customFormat="false" ht="13.5" hidden="false" customHeight="false" outlineLevel="0" collapsed="false">
      <c r="A1261" s="0" t="s">
        <v>2927</v>
      </c>
      <c r="B1261" s="0" t="s">
        <v>2928</v>
      </c>
      <c r="C1261" s="0" t="s">
        <v>31</v>
      </c>
      <c r="D1261" s="0" t="s">
        <v>69</v>
      </c>
    </row>
    <row r="1262" customFormat="false" ht="13.5" hidden="false" customHeight="false" outlineLevel="0" collapsed="false">
      <c r="A1262" s="0" t="s">
        <v>2929</v>
      </c>
      <c r="B1262" s="0" t="s">
        <v>2930</v>
      </c>
      <c r="C1262" s="0" t="s">
        <v>31</v>
      </c>
      <c r="D1262" s="0" t="s">
        <v>2552</v>
      </c>
    </row>
    <row r="1263" customFormat="false" ht="13.5" hidden="false" customHeight="false" outlineLevel="0" collapsed="false">
      <c r="A1263" s="0" t="s">
        <v>2931</v>
      </c>
      <c r="B1263" s="0" t="s">
        <v>2932</v>
      </c>
      <c r="C1263" s="0" t="s">
        <v>31</v>
      </c>
      <c r="D1263" s="0" t="s">
        <v>1737</v>
      </c>
    </row>
    <row r="1264" customFormat="false" ht="13.5" hidden="false" customHeight="false" outlineLevel="0" collapsed="false">
      <c r="A1264" s="0" t="s">
        <v>2933</v>
      </c>
      <c r="B1264" s="0" t="s">
        <v>2934</v>
      </c>
      <c r="C1264" s="0" t="s">
        <v>31</v>
      </c>
      <c r="D1264" s="0" t="s">
        <v>1572</v>
      </c>
    </row>
    <row r="1265" customFormat="false" ht="13.5" hidden="false" customHeight="false" outlineLevel="0" collapsed="false">
      <c r="A1265" s="0" t="s">
        <v>2935</v>
      </c>
      <c r="B1265" s="0" t="s">
        <v>2936</v>
      </c>
      <c r="C1265" s="0" t="s">
        <v>31</v>
      </c>
      <c r="D1265" s="0" t="s">
        <v>2072</v>
      </c>
    </row>
    <row r="1266" customFormat="false" ht="13.5" hidden="false" customHeight="false" outlineLevel="0" collapsed="false">
      <c r="A1266" s="0" t="s">
        <v>2937</v>
      </c>
      <c r="B1266" s="0" t="s">
        <v>2938</v>
      </c>
      <c r="C1266" s="0" t="s">
        <v>31</v>
      </c>
      <c r="D1266" s="0" t="s">
        <v>2678</v>
      </c>
    </row>
    <row r="1267" customFormat="false" ht="13.5" hidden="false" customHeight="false" outlineLevel="0" collapsed="false">
      <c r="A1267" s="0" t="s">
        <v>2939</v>
      </c>
      <c r="B1267" s="0" t="s">
        <v>2940</v>
      </c>
      <c r="C1267" s="0" t="s">
        <v>31</v>
      </c>
      <c r="D1267" s="0" t="s">
        <v>413</v>
      </c>
      <c r="E1267" s="0" t="s">
        <v>2941</v>
      </c>
    </row>
    <row r="1268" customFormat="false" ht="13.5" hidden="false" customHeight="false" outlineLevel="0" collapsed="false">
      <c r="A1268" s="0" t="s">
        <v>2942</v>
      </c>
      <c r="B1268" s="0" t="s">
        <v>2943</v>
      </c>
      <c r="C1268" s="0" t="s">
        <v>31</v>
      </c>
      <c r="D1268" s="0" t="s">
        <v>413</v>
      </c>
      <c r="E1268" s="0" t="s">
        <v>98</v>
      </c>
    </row>
    <row r="1269" customFormat="false" ht="13.5" hidden="false" customHeight="false" outlineLevel="0" collapsed="false">
      <c r="A1269" s="0" t="s">
        <v>2944</v>
      </c>
      <c r="B1269" s="0" t="s">
        <v>2945</v>
      </c>
      <c r="C1269" s="0" t="s">
        <v>31</v>
      </c>
      <c r="D1269" s="0" t="s">
        <v>413</v>
      </c>
      <c r="E1269" s="0" t="s">
        <v>98</v>
      </c>
    </row>
    <row r="1270" customFormat="false" ht="13.5" hidden="false" customHeight="false" outlineLevel="0" collapsed="false">
      <c r="A1270" s="0" t="s">
        <v>2946</v>
      </c>
      <c r="B1270" s="0" t="s">
        <v>2947</v>
      </c>
      <c r="C1270" s="0" t="s">
        <v>31</v>
      </c>
      <c r="D1270" s="0" t="s">
        <v>413</v>
      </c>
      <c r="E1270" s="0" t="s">
        <v>2234</v>
      </c>
    </row>
    <row r="1271" customFormat="false" ht="13.5" hidden="false" customHeight="false" outlineLevel="0" collapsed="false">
      <c r="A1271" s="0" t="s">
        <v>2948</v>
      </c>
      <c r="B1271" s="0" t="s">
        <v>2949</v>
      </c>
      <c r="C1271" s="0" t="s">
        <v>31</v>
      </c>
      <c r="D1271" s="0" t="s">
        <v>413</v>
      </c>
      <c r="E1271" s="0" t="s">
        <v>200</v>
      </c>
    </row>
    <row r="1272" customFormat="false" ht="13.5" hidden="false" customHeight="false" outlineLevel="0" collapsed="false">
      <c r="A1272" s="0" t="s">
        <v>2950</v>
      </c>
      <c r="B1272" s="0" t="s">
        <v>2951</v>
      </c>
      <c r="C1272" s="0" t="s">
        <v>31</v>
      </c>
      <c r="D1272" s="0" t="s">
        <v>2492</v>
      </c>
    </row>
    <row r="1273" customFormat="false" ht="13.5" hidden="false" customHeight="false" outlineLevel="0" collapsed="false">
      <c r="A1273" s="0" t="s">
        <v>2952</v>
      </c>
      <c r="B1273" s="0" t="s">
        <v>2953</v>
      </c>
      <c r="C1273" s="0" t="s">
        <v>31</v>
      </c>
      <c r="D1273" s="0" t="s">
        <v>19</v>
      </c>
      <c r="E1273" s="0" t="s">
        <v>98</v>
      </c>
      <c r="F1273" s="0" t="s">
        <v>60</v>
      </c>
    </row>
    <row r="1274" customFormat="false" ht="13.5" hidden="false" customHeight="false" outlineLevel="0" collapsed="false">
      <c r="A1274" s="0" t="s">
        <v>2954</v>
      </c>
      <c r="B1274" s="0" t="s">
        <v>2955</v>
      </c>
      <c r="C1274" s="0" t="s">
        <v>31</v>
      </c>
      <c r="D1274" s="0" t="s">
        <v>413</v>
      </c>
      <c r="E1274" s="0" t="s">
        <v>728</v>
      </c>
    </row>
    <row r="1275" customFormat="false" ht="13.5" hidden="false" customHeight="false" outlineLevel="0" collapsed="false">
      <c r="A1275" s="0" t="s">
        <v>2956</v>
      </c>
      <c r="B1275" s="0" t="s">
        <v>2957</v>
      </c>
      <c r="C1275" s="0" t="s">
        <v>31</v>
      </c>
      <c r="D1275" s="0" t="s">
        <v>2958</v>
      </c>
    </row>
    <row r="1276" customFormat="false" ht="13.5" hidden="false" customHeight="false" outlineLevel="0" collapsed="false">
      <c r="A1276" s="0" t="s">
        <v>2959</v>
      </c>
      <c r="B1276" s="0" t="s">
        <v>2960</v>
      </c>
      <c r="C1276" s="0" t="s">
        <v>31</v>
      </c>
      <c r="D1276" s="0" t="s">
        <v>1527</v>
      </c>
    </row>
    <row r="1277" customFormat="false" ht="13.5" hidden="false" customHeight="false" outlineLevel="0" collapsed="false">
      <c r="A1277" s="0" t="s">
        <v>2961</v>
      </c>
      <c r="B1277" s="0" t="s">
        <v>2962</v>
      </c>
      <c r="C1277" s="0" t="s">
        <v>31</v>
      </c>
      <c r="D1277" s="0" t="s">
        <v>1651</v>
      </c>
    </row>
    <row r="1278" customFormat="false" ht="13.5" hidden="false" customHeight="false" outlineLevel="0" collapsed="false">
      <c r="A1278" s="0" t="s">
        <v>2963</v>
      </c>
      <c r="B1278" s="0" t="s">
        <v>2964</v>
      </c>
      <c r="C1278" s="0" t="s">
        <v>31</v>
      </c>
      <c r="D1278" s="0" t="s">
        <v>2965</v>
      </c>
    </row>
    <row r="1279" customFormat="false" ht="13.5" hidden="false" customHeight="false" outlineLevel="0" collapsed="false">
      <c r="A1279" s="0" t="s">
        <v>2966</v>
      </c>
      <c r="B1279" s="0" t="s">
        <v>2967</v>
      </c>
      <c r="C1279" s="0" t="s">
        <v>31</v>
      </c>
      <c r="D1279" s="0" t="s">
        <v>1651</v>
      </c>
    </row>
    <row r="1280" customFormat="false" ht="13.5" hidden="false" customHeight="false" outlineLevel="0" collapsed="false">
      <c r="A1280" s="0" t="s">
        <v>2968</v>
      </c>
      <c r="B1280" s="0" t="s">
        <v>2969</v>
      </c>
      <c r="C1280" s="0" t="s">
        <v>31</v>
      </c>
      <c r="D1280" s="0" t="s">
        <v>69</v>
      </c>
    </row>
    <row r="1281" customFormat="false" ht="13.5" hidden="false" customHeight="false" outlineLevel="0" collapsed="false">
      <c r="A1281" s="0" t="s">
        <v>2970</v>
      </c>
      <c r="B1281" s="0" t="s">
        <v>2971</v>
      </c>
      <c r="C1281" s="0" t="s">
        <v>31</v>
      </c>
      <c r="D1281" s="0" t="s">
        <v>2356</v>
      </c>
    </row>
    <row r="1282" customFormat="false" ht="13.5" hidden="false" customHeight="false" outlineLevel="0" collapsed="false">
      <c r="A1282" s="0" t="s">
        <v>2972</v>
      </c>
      <c r="B1282" s="0" t="s">
        <v>2973</v>
      </c>
      <c r="C1282" s="0" t="s">
        <v>31</v>
      </c>
      <c r="D1282" s="0" t="s">
        <v>413</v>
      </c>
      <c r="E1282" s="0" t="s">
        <v>122</v>
      </c>
    </row>
    <row r="1283" customFormat="false" ht="13.5" hidden="false" customHeight="false" outlineLevel="0" collapsed="false">
      <c r="A1283" s="0" t="s">
        <v>2974</v>
      </c>
      <c r="B1283" s="0" t="s">
        <v>2975</v>
      </c>
      <c r="C1283" s="0" t="s">
        <v>31</v>
      </c>
      <c r="D1283" s="0" t="s">
        <v>2072</v>
      </c>
    </row>
    <row r="1284" customFormat="false" ht="13.5" hidden="false" customHeight="false" outlineLevel="0" collapsed="false">
      <c r="A1284" s="0" t="s">
        <v>2976</v>
      </c>
      <c r="B1284" s="0" t="s">
        <v>2977</v>
      </c>
      <c r="C1284" s="0" t="s">
        <v>31</v>
      </c>
      <c r="D1284" s="0" t="s">
        <v>413</v>
      </c>
      <c r="E1284" s="0" t="s">
        <v>59</v>
      </c>
    </row>
    <row r="1285" customFormat="false" ht="13.5" hidden="false" customHeight="false" outlineLevel="0" collapsed="false">
      <c r="A1285" s="0" t="s">
        <v>2978</v>
      </c>
      <c r="B1285" s="0" t="s">
        <v>2979</v>
      </c>
      <c r="C1285" s="0" t="s">
        <v>31</v>
      </c>
      <c r="D1285" s="0" t="s">
        <v>1508</v>
      </c>
    </row>
    <row r="1286" customFormat="false" ht="13.5" hidden="false" customHeight="false" outlineLevel="0" collapsed="false">
      <c r="A1286" s="0" t="s">
        <v>2980</v>
      </c>
      <c r="B1286" s="0" t="s">
        <v>2981</v>
      </c>
      <c r="C1286" s="0" t="s">
        <v>31</v>
      </c>
      <c r="D1286" s="0" t="s">
        <v>2982</v>
      </c>
    </row>
    <row r="1287" customFormat="false" ht="13.5" hidden="false" customHeight="false" outlineLevel="0" collapsed="false">
      <c r="A1287" s="0" t="s">
        <v>2983</v>
      </c>
      <c r="B1287" s="0" t="s">
        <v>2984</v>
      </c>
      <c r="C1287" s="0" t="s">
        <v>31</v>
      </c>
      <c r="D1287" s="0" t="s">
        <v>413</v>
      </c>
      <c r="E1287" s="0" t="s">
        <v>2985</v>
      </c>
    </row>
    <row r="1288" customFormat="false" ht="13.5" hidden="false" customHeight="false" outlineLevel="0" collapsed="false">
      <c r="A1288" s="0" t="s">
        <v>2986</v>
      </c>
      <c r="B1288" s="0" t="s">
        <v>2987</v>
      </c>
      <c r="C1288" s="0" t="s">
        <v>31</v>
      </c>
      <c r="D1288" s="0" t="s">
        <v>1592</v>
      </c>
    </row>
    <row r="1289" customFormat="false" ht="13.5" hidden="false" customHeight="false" outlineLevel="0" collapsed="false">
      <c r="A1289" s="0" t="s">
        <v>2988</v>
      </c>
      <c r="B1289" s="0" t="s">
        <v>2989</v>
      </c>
      <c r="C1289" s="0" t="s">
        <v>31</v>
      </c>
      <c r="D1289" s="0" t="s">
        <v>1527</v>
      </c>
    </row>
    <row r="1290" customFormat="false" ht="13.5" hidden="false" customHeight="false" outlineLevel="0" collapsed="false">
      <c r="A1290" s="0" t="s">
        <v>2990</v>
      </c>
      <c r="B1290" s="0" t="s">
        <v>2991</v>
      </c>
      <c r="C1290" s="0" t="s">
        <v>31</v>
      </c>
      <c r="D1290" s="0" t="s">
        <v>2435</v>
      </c>
    </row>
    <row r="1291" customFormat="false" ht="13.5" hidden="false" customHeight="false" outlineLevel="0" collapsed="false">
      <c r="A1291" s="0" t="s">
        <v>2992</v>
      </c>
      <c r="B1291" s="0" t="s">
        <v>2993</v>
      </c>
      <c r="C1291" s="0" t="s">
        <v>31</v>
      </c>
      <c r="D1291" s="0" t="s">
        <v>2072</v>
      </c>
      <c r="E1291" s="0" t="s">
        <v>47</v>
      </c>
    </row>
    <row r="1292" customFormat="false" ht="13.5" hidden="false" customHeight="false" outlineLevel="0" collapsed="false">
      <c r="A1292" s="0" t="s">
        <v>2994</v>
      </c>
      <c r="B1292" s="0" t="s">
        <v>2873</v>
      </c>
      <c r="C1292" s="0" t="s">
        <v>31</v>
      </c>
      <c r="D1292" s="0" t="s">
        <v>413</v>
      </c>
      <c r="E1292" s="0" t="s">
        <v>59</v>
      </c>
    </row>
    <row r="1293" customFormat="false" ht="13.5" hidden="false" customHeight="false" outlineLevel="0" collapsed="false">
      <c r="A1293" s="0" t="s">
        <v>2995</v>
      </c>
      <c r="B1293" s="0" t="s">
        <v>2996</v>
      </c>
      <c r="C1293" s="0" t="s">
        <v>31</v>
      </c>
      <c r="D1293" s="0" t="s">
        <v>413</v>
      </c>
      <c r="E1293" s="0" t="s">
        <v>150</v>
      </c>
    </row>
    <row r="1294" customFormat="false" ht="13.5" hidden="false" customHeight="false" outlineLevel="0" collapsed="false">
      <c r="A1294" s="0" t="s">
        <v>2997</v>
      </c>
      <c r="B1294" s="0" t="s">
        <v>2998</v>
      </c>
      <c r="C1294" s="0" t="s">
        <v>31</v>
      </c>
      <c r="D1294" s="0" t="s">
        <v>2072</v>
      </c>
    </row>
    <row r="1295" customFormat="false" ht="13.5" hidden="false" customHeight="false" outlineLevel="0" collapsed="false">
      <c r="A1295" s="0" t="s">
        <v>2999</v>
      </c>
      <c r="B1295" s="0" t="s">
        <v>3000</v>
      </c>
      <c r="C1295" s="0" t="s">
        <v>31</v>
      </c>
      <c r="D1295" s="0" t="s">
        <v>413</v>
      </c>
      <c r="E1295" s="0" t="s">
        <v>3001</v>
      </c>
    </row>
    <row r="1296" customFormat="false" ht="13.5" hidden="false" customHeight="false" outlineLevel="0" collapsed="false">
      <c r="A1296" s="0" t="s">
        <v>3002</v>
      </c>
      <c r="B1296" s="0" t="s">
        <v>3003</v>
      </c>
      <c r="C1296" s="0" t="s">
        <v>31</v>
      </c>
      <c r="D1296" s="0" t="s">
        <v>1930</v>
      </c>
    </row>
    <row r="1297" customFormat="false" ht="13.5" hidden="false" customHeight="false" outlineLevel="0" collapsed="false">
      <c r="A1297" s="0" t="s">
        <v>3004</v>
      </c>
      <c r="B1297" s="0" t="s">
        <v>3005</v>
      </c>
      <c r="C1297" s="0" t="s">
        <v>31</v>
      </c>
      <c r="D1297" s="0" t="s">
        <v>2629</v>
      </c>
    </row>
    <row r="1298" customFormat="false" ht="13.5" hidden="false" customHeight="false" outlineLevel="0" collapsed="false">
      <c r="A1298" s="0" t="s">
        <v>3006</v>
      </c>
      <c r="B1298" s="0" t="s">
        <v>3007</v>
      </c>
      <c r="C1298" s="0" t="s">
        <v>31</v>
      </c>
      <c r="D1298" s="0" t="s">
        <v>19</v>
      </c>
      <c r="E1298" s="0" t="s">
        <v>3008</v>
      </c>
      <c r="F1298" s="0" t="s">
        <v>60</v>
      </c>
    </row>
    <row r="1299" customFormat="false" ht="13.5" hidden="false" customHeight="false" outlineLevel="0" collapsed="false">
      <c r="A1299" s="0" t="s">
        <v>3009</v>
      </c>
      <c r="B1299" s="0" t="s">
        <v>3010</v>
      </c>
      <c r="C1299" s="0" t="s">
        <v>31</v>
      </c>
      <c r="D1299" s="0" t="s">
        <v>413</v>
      </c>
      <c r="E1299" s="0" t="s">
        <v>486</v>
      </c>
    </row>
    <row r="1300" customFormat="false" ht="13.5" hidden="false" customHeight="false" outlineLevel="0" collapsed="false">
      <c r="A1300" s="0" t="s">
        <v>3011</v>
      </c>
      <c r="B1300" s="0" t="s">
        <v>3012</v>
      </c>
      <c r="C1300" s="0" t="s">
        <v>31</v>
      </c>
      <c r="D1300" s="0" t="s">
        <v>1957</v>
      </c>
    </row>
    <row r="1301" customFormat="false" ht="13.5" hidden="false" customHeight="false" outlineLevel="0" collapsed="false">
      <c r="A1301" s="0" t="s">
        <v>3013</v>
      </c>
      <c r="B1301" s="0" t="s">
        <v>2570</v>
      </c>
      <c r="C1301" s="0" t="s">
        <v>31</v>
      </c>
      <c r="D1301" s="0" t="s">
        <v>2072</v>
      </c>
      <c r="F1301" s="0" t="s">
        <v>60</v>
      </c>
    </row>
    <row r="1302" customFormat="false" ht="13.5" hidden="false" customHeight="false" outlineLevel="0" collapsed="false">
      <c r="A1302" s="0" t="s">
        <v>3014</v>
      </c>
      <c r="B1302" s="0" t="s">
        <v>3015</v>
      </c>
      <c r="C1302" s="0" t="s">
        <v>31</v>
      </c>
      <c r="D1302" s="0" t="s">
        <v>16</v>
      </c>
      <c r="E1302" s="0" t="s">
        <v>36</v>
      </c>
      <c r="F1302" s="0" t="s">
        <v>60</v>
      </c>
    </row>
    <row r="1303" customFormat="false" ht="13.5" hidden="false" customHeight="false" outlineLevel="0" collapsed="false">
      <c r="A1303" s="0" t="s">
        <v>3016</v>
      </c>
      <c r="B1303" s="0" t="s">
        <v>3017</v>
      </c>
      <c r="C1303" s="0" t="s">
        <v>31</v>
      </c>
      <c r="D1303" s="0" t="s">
        <v>69</v>
      </c>
    </row>
    <row r="1304" customFormat="false" ht="13.5" hidden="false" customHeight="false" outlineLevel="0" collapsed="false">
      <c r="A1304" s="0" t="s">
        <v>3018</v>
      </c>
      <c r="B1304" s="0" t="s">
        <v>3019</v>
      </c>
      <c r="C1304" s="0" t="s">
        <v>31</v>
      </c>
      <c r="D1304" s="0" t="s">
        <v>3020</v>
      </c>
    </row>
    <row r="1305" customFormat="false" ht="13.5" hidden="false" customHeight="false" outlineLevel="0" collapsed="false">
      <c r="A1305" s="0" t="s">
        <v>3021</v>
      </c>
      <c r="B1305" s="0" t="s">
        <v>3022</v>
      </c>
      <c r="C1305" s="0" t="s">
        <v>31</v>
      </c>
      <c r="D1305" s="0" t="s">
        <v>19</v>
      </c>
      <c r="E1305" s="0" t="s">
        <v>486</v>
      </c>
      <c r="F1305" s="0" t="s">
        <v>3023</v>
      </c>
    </row>
    <row r="1306" customFormat="false" ht="13.5" hidden="false" customHeight="false" outlineLevel="0" collapsed="false">
      <c r="A1306" s="0" t="s">
        <v>3024</v>
      </c>
      <c r="B1306" s="0" t="s">
        <v>3025</v>
      </c>
      <c r="C1306" s="0" t="s">
        <v>31</v>
      </c>
      <c r="D1306" s="0" t="s">
        <v>2386</v>
      </c>
    </row>
    <row r="1307" customFormat="false" ht="13.5" hidden="false" customHeight="false" outlineLevel="0" collapsed="false">
      <c r="A1307" s="0" t="s">
        <v>3026</v>
      </c>
      <c r="B1307" s="0" t="s">
        <v>3027</v>
      </c>
      <c r="C1307" s="0" t="s">
        <v>31</v>
      </c>
      <c r="D1307" s="0" t="s">
        <v>2072</v>
      </c>
    </row>
    <row r="1308" customFormat="false" ht="13.5" hidden="false" customHeight="false" outlineLevel="0" collapsed="false">
      <c r="A1308" s="0" t="s">
        <v>3028</v>
      </c>
      <c r="B1308" s="0" t="s">
        <v>3029</v>
      </c>
      <c r="C1308" s="0" t="s">
        <v>31</v>
      </c>
      <c r="D1308" s="0" t="s">
        <v>413</v>
      </c>
      <c r="E1308" s="0" t="s">
        <v>3030</v>
      </c>
      <c r="F1308" s="0" t="s">
        <v>60</v>
      </c>
    </row>
    <row r="1309" customFormat="false" ht="13.5" hidden="false" customHeight="false" outlineLevel="0" collapsed="false">
      <c r="A1309" s="0" t="s">
        <v>3031</v>
      </c>
      <c r="B1309" s="0" t="s">
        <v>3032</v>
      </c>
      <c r="C1309" s="0" t="s">
        <v>31</v>
      </c>
      <c r="D1309" s="0" t="s">
        <v>413</v>
      </c>
      <c r="E1309" s="0" t="s">
        <v>1151</v>
      </c>
    </row>
    <row r="1310" customFormat="false" ht="13.5" hidden="false" customHeight="false" outlineLevel="0" collapsed="false">
      <c r="A1310" s="0" t="s">
        <v>3033</v>
      </c>
      <c r="B1310" s="0" t="s">
        <v>3034</v>
      </c>
      <c r="C1310" s="0" t="s">
        <v>31</v>
      </c>
      <c r="D1310" s="0" t="s">
        <v>2072</v>
      </c>
    </row>
    <row r="1311" customFormat="false" ht="13.5" hidden="false" customHeight="false" outlineLevel="0" collapsed="false">
      <c r="A1311" s="0" t="s">
        <v>3035</v>
      </c>
      <c r="B1311" s="0" t="s">
        <v>3036</v>
      </c>
      <c r="C1311" s="0" t="s">
        <v>31</v>
      </c>
      <c r="D1311" s="0" t="s">
        <v>19</v>
      </c>
      <c r="E1311" s="0" t="s">
        <v>200</v>
      </c>
      <c r="F1311" s="0" t="s">
        <v>3037</v>
      </c>
    </row>
    <row r="1312" customFormat="false" ht="13.5" hidden="false" customHeight="false" outlineLevel="0" collapsed="false">
      <c r="A1312" s="0" t="s">
        <v>3038</v>
      </c>
      <c r="B1312" s="0" t="s">
        <v>3039</v>
      </c>
      <c r="C1312" s="0" t="s">
        <v>31</v>
      </c>
      <c r="D1312" s="0" t="s">
        <v>1592</v>
      </c>
    </row>
    <row r="1313" customFormat="false" ht="13.5" hidden="false" customHeight="false" outlineLevel="0" collapsed="false">
      <c r="A1313" s="0" t="s">
        <v>3040</v>
      </c>
      <c r="B1313" s="0" t="s">
        <v>3041</v>
      </c>
      <c r="C1313" s="0" t="s">
        <v>31</v>
      </c>
      <c r="D1313" s="0" t="s">
        <v>1737</v>
      </c>
    </row>
    <row r="1314" customFormat="false" ht="13.5" hidden="false" customHeight="false" outlineLevel="0" collapsed="false">
      <c r="A1314" s="0" t="s">
        <v>3042</v>
      </c>
      <c r="B1314" s="0" t="s">
        <v>1943</v>
      </c>
      <c r="C1314" s="0" t="s">
        <v>31</v>
      </c>
      <c r="D1314" s="0" t="s">
        <v>1704</v>
      </c>
    </row>
    <row r="1315" customFormat="false" ht="13.5" hidden="false" customHeight="false" outlineLevel="0" collapsed="false">
      <c r="A1315" s="0" t="s">
        <v>3043</v>
      </c>
      <c r="B1315" s="0" t="s">
        <v>3044</v>
      </c>
      <c r="C1315" s="0" t="s">
        <v>31</v>
      </c>
      <c r="D1315" s="0" t="s">
        <v>1737</v>
      </c>
    </row>
    <row r="1316" customFormat="false" ht="13.5" hidden="false" customHeight="false" outlineLevel="0" collapsed="false">
      <c r="A1316" s="0" t="s">
        <v>3045</v>
      </c>
      <c r="B1316" s="0" t="s">
        <v>3046</v>
      </c>
      <c r="C1316" s="0" t="s">
        <v>31</v>
      </c>
      <c r="D1316" s="0" t="s">
        <v>69</v>
      </c>
    </row>
    <row r="1317" customFormat="false" ht="13.5" hidden="false" customHeight="false" outlineLevel="0" collapsed="false">
      <c r="A1317" s="0" t="s">
        <v>3047</v>
      </c>
      <c r="B1317" s="0" t="s">
        <v>3048</v>
      </c>
      <c r="C1317" s="0" t="s">
        <v>31</v>
      </c>
      <c r="D1317" s="0" t="s">
        <v>413</v>
      </c>
      <c r="E1317" s="0" t="s">
        <v>1111</v>
      </c>
    </row>
    <row r="1318" customFormat="false" ht="13.5" hidden="false" customHeight="false" outlineLevel="0" collapsed="false">
      <c r="A1318" s="0" t="s">
        <v>3049</v>
      </c>
      <c r="B1318" s="0" t="s">
        <v>3050</v>
      </c>
      <c r="C1318" s="0" t="s">
        <v>31</v>
      </c>
      <c r="D1318" s="0" t="s">
        <v>1704</v>
      </c>
    </row>
    <row r="1319" customFormat="false" ht="13.5" hidden="false" customHeight="false" outlineLevel="0" collapsed="false">
      <c r="A1319" s="0" t="s">
        <v>3051</v>
      </c>
      <c r="B1319" s="0" t="s">
        <v>2868</v>
      </c>
      <c r="C1319" s="0" t="s">
        <v>31</v>
      </c>
      <c r="D1319" s="0" t="s">
        <v>1508</v>
      </c>
    </row>
    <row r="1320" customFormat="false" ht="13.5" hidden="false" customHeight="false" outlineLevel="0" collapsed="false">
      <c r="A1320" s="0" t="s">
        <v>3052</v>
      </c>
      <c r="B1320" s="0" t="s">
        <v>3053</v>
      </c>
      <c r="C1320" s="0" t="s">
        <v>31</v>
      </c>
      <c r="D1320" s="0" t="s">
        <v>1527</v>
      </c>
    </row>
    <row r="1321" customFormat="false" ht="13.5" hidden="false" customHeight="false" outlineLevel="0" collapsed="false">
      <c r="A1321" s="0" t="s">
        <v>3054</v>
      </c>
      <c r="B1321" s="0" t="s">
        <v>2707</v>
      </c>
      <c r="C1321" s="0" t="s">
        <v>31</v>
      </c>
      <c r="D1321" s="0" t="s">
        <v>19</v>
      </c>
      <c r="E1321" s="0" t="s">
        <v>200</v>
      </c>
      <c r="F1321" s="0" t="s">
        <v>43</v>
      </c>
    </row>
    <row r="1322" customFormat="false" ht="13.5" hidden="false" customHeight="false" outlineLevel="0" collapsed="false">
      <c r="A1322" s="0" t="s">
        <v>3055</v>
      </c>
      <c r="B1322" s="0" t="s">
        <v>3056</v>
      </c>
      <c r="C1322" s="0" t="s">
        <v>31</v>
      </c>
      <c r="D1322" s="0" t="s">
        <v>1957</v>
      </c>
    </row>
    <row r="1323" customFormat="false" ht="13.5" hidden="false" customHeight="false" outlineLevel="0" collapsed="false">
      <c r="A1323" s="0" t="s">
        <v>3057</v>
      </c>
      <c r="B1323" s="0" t="s">
        <v>3058</v>
      </c>
      <c r="C1323" s="0" t="s">
        <v>31</v>
      </c>
      <c r="D1323" s="0" t="s">
        <v>413</v>
      </c>
      <c r="E1323" s="0" t="s">
        <v>390</v>
      </c>
    </row>
    <row r="1324" customFormat="false" ht="13.5" hidden="false" customHeight="false" outlineLevel="0" collapsed="false">
      <c r="A1324" s="0" t="s">
        <v>3059</v>
      </c>
      <c r="B1324" s="0" t="s">
        <v>3060</v>
      </c>
      <c r="C1324" s="0" t="s">
        <v>31</v>
      </c>
      <c r="D1324" s="0" t="s">
        <v>2072</v>
      </c>
    </row>
    <row r="1325" customFormat="false" ht="13.5" hidden="false" customHeight="false" outlineLevel="0" collapsed="false">
      <c r="A1325" s="0" t="s">
        <v>3061</v>
      </c>
      <c r="B1325" s="0" t="s">
        <v>3062</v>
      </c>
      <c r="C1325" s="0" t="s">
        <v>31</v>
      </c>
      <c r="D1325" s="0" t="s">
        <v>3020</v>
      </c>
    </row>
    <row r="1326" customFormat="false" ht="13.5" hidden="false" customHeight="false" outlineLevel="0" collapsed="false">
      <c r="A1326" s="0" t="s">
        <v>3063</v>
      </c>
      <c r="B1326" s="0" t="s">
        <v>3064</v>
      </c>
      <c r="C1326" s="0" t="s">
        <v>31</v>
      </c>
      <c r="D1326" s="0" t="s">
        <v>3065</v>
      </c>
    </row>
    <row r="1327" customFormat="false" ht="13.5" hidden="false" customHeight="false" outlineLevel="0" collapsed="false">
      <c r="A1327" s="0" t="s">
        <v>3066</v>
      </c>
      <c r="B1327" s="0" t="s">
        <v>3067</v>
      </c>
      <c r="C1327" s="0" t="s">
        <v>31</v>
      </c>
      <c r="D1327" s="0" t="s">
        <v>2739</v>
      </c>
    </row>
    <row r="1328" customFormat="false" ht="13.5" hidden="false" customHeight="false" outlineLevel="0" collapsed="false">
      <c r="A1328" s="0" t="s">
        <v>3068</v>
      </c>
      <c r="B1328" s="0" t="s">
        <v>3069</v>
      </c>
      <c r="C1328" s="0" t="s">
        <v>31</v>
      </c>
      <c r="D1328" s="0" t="s">
        <v>16</v>
      </c>
      <c r="E1328" s="0" t="s">
        <v>2234</v>
      </c>
      <c r="F1328" s="0" t="s">
        <v>43</v>
      </c>
    </row>
    <row r="1329" customFormat="false" ht="13.5" hidden="false" customHeight="false" outlineLevel="0" collapsed="false">
      <c r="A1329" s="0" t="s">
        <v>3070</v>
      </c>
      <c r="B1329" s="0" t="s">
        <v>3071</v>
      </c>
      <c r="C1329" s="0" t="s">
        <v>31</v>
      </c>
      <c r="D1329" s="0" t="s">
        <v>1651</v>
      </c>
      <c r="E1329" s="0" t="s">
        <v>98</v>
      </c>
    </row>
    <row r="1330" customFormat="false" ht="13.5" hidden="false" customHeight="false" outlineLevel="0" collapsed="false">
      <c r="A1330" s="0" t="s">
        <v>3072</v>
      </c>
      <c r="B1330" s="0" t="s">
        <v>3073</v>
      </c>
      <c r="C1330" s="0" t="s">
        <v>31</v>
      </c>
      <c r="D1330" s="0" t="s">
        <v>3074</v>
      </c>
    </row>
    <row r="1331" customFormat="false" ht="13.5" hidden="false" customHeight="false" outlineLevel="0" collapsed="false">
      <c r="A1331" s="0" t="s">
        <v>3075</v>
      </c>
      <c r="B1331" s="0" t="s">
        <v>3076</v>
      </c>
      <c r="C1331" s="0" t="s">
        <v>31</v>
      </c>
      <c r="D1331" s="0" t="s">
        <v>3077</v>
      </c>
    </row>
    <row r="1332" customFormat="false" ht="13.5" hidden="false" customHeight="false" outlineLevel="0" collapsed="false">
      <c r="A1332" s="0" t="s">
        <v>3078</v>
      </c>
      <c r="B1332" s="0" t="s">
        <v>3079</v>
      </c>
      <c r="C1332" s="0" t="s">
        <v>31</v>
      </c>
      <c r="D1332" s="0" t="s">
        <v>3080</v>
      </c>
    </row>
    <row r="1333" customFormat="false" ht="13.5" hidden="false" customHeight="false" outlineLevel="0" collapsed="false">
      <c r="A1333" s="0" t="s">
        <v>3081</v>
      </c>
      <c r="B1333" s="0" t="s">
        <v>3082</v>
      </c>
      <c r="C1333" s="0" t="s">
        <v>31</v>
      </c>
      <c r="D1333" s="0" t="s">
        <v>413</v>
      </c>
      <c r="E1333" s="0" t="s">
        <v>32</v>
      </c>
    </row>
    <row r="1334" customFormat="false" ht="13.5" hidden="false" customHeight="false" outlineLevel="0" collapsed="false">
      <c r="A1334" s="0" t="s">
        <v>3083</v>
      </c>
      <c r="B1334" s="0" t="s">
        <v>3084</v>
      </c>
      <c r="C1334" s="0" t="s">
        <v>31</v>
      </c>
      <c r="D1334" s="0" t="s">
        <v>69</v>
      </c>
    </row>
    <row r="1335" customFormat="false" ht="13.5" hidden="false" customHeight="false" outlineLevel="0" collapsed="false">
      <c r="A1335" s="0" t="s">
        <v>3085</v>
      </c>
      <c r="B1335" s="0" t="s">
        <v>3086</v>
      </c>
      <c r="C1335" s="0" t="s">
        <v>31</v>
      </c>
      <c r="D1335" s="0" t="s">
        <v>413</v>
      </c>
      <c r="E1335" s="0" t="s">
        <v>98</v>
      </c>
    </row>
    <row r="1336" customFormat="false" ht="13.5" hidden="false" customHeight="false" outlineLevel="0" collapsed="false">
      <c r="A1336" s="0" t="s">
        <v>3087</v>
      </c>
      <c r="B1336" s="0" t="s">
        <v>3088</v>
      </c>
      <c r="C1336" s="0" t="s">
        <v>31</v>
      </c>
      <c r="D1336" s="0" t="s">
        <v>19</v>
      </c>
      <c r="E1336" s="0" t="s">
        <v>483</v>
      </c>
      <c r="F1336" s="0" t="s">
        <v>3089</v>
      </c>
    </row>
    <row r="1337" customFormat="false" ht="13.5" hidden="false" customHeight="false" outlineLevel="0" collapsed="false">
      <c r="A1337" s="0" t="s">
        <v>3090</v>
      </c>
      <c r="B1337" s="0" t="s">
        <v>3091</v>
      </c>
      <c r="C1337" s="0" t="s">
        <v>31</v>
      </c>
      <c r="D1337" s="0" t="s">
        <v>1924</v>
      </c>
    </row>
    <row r="1338" customFormat="false" ht="13.5" hidden="false" customHeight="false" outlineLevel="0" collapsed="false">
      <c r="A1338" s="0" t="s">
        <v>3092</v>
      </c>
      <c r="B1338" s="0" t="s">
        <v>2989</v>
      </c>
      <c r="C1338" s="0" t="s">
        <v>31</v>
      </c>
      <c r="D1338" s="0" t="s">
        <v>413</v>
      </c>
      <c r="E1338" s="0" t="s">
        <v>3093</v>
      </c>
    </row>
    <row r="1339" customFormat="false" ht="13.5" hidden="false" customHeight="false" outlineLevel="0" collapsed="false">
      <c r="A1339" s="0" t="s">
        <v>3094</v>
      </c>
      <c r="B1339" s="0" t="s">
        <v>3095</v>
      </c>
      <c r="C1339" s="0" t="s">
        <v>31</v>
      </c>
      <c r="D1339" s="0" t="s">
        <v>413</v>
      </c>
      <c r="E1339" s="0" t="s">
        <v>3096</v>
      </c>
      <c r="F1339" s="0" t="s">
        <v>211</v>
      </c>
    </row>
    <row r="1340" customFormat="false" ht="13.5" hidden="false" customHeight="false" outlineLevel="0" collapsed="false">
      <c r="A1340" s="0" t="s">
        <v>3097</v>
      </c>
      <c r="B1340" s="0" t="s">
        <v>3098</v>
      </c>
      <c r="C1340" s="0" t="s">
        <v>31</v>
      </c>
      <c r="D1340" s="0" t="s">
        <v>1508</v>
      </c>
      <c r="F1340" s="0" t="s">
        <v>60</v>
      </c>
    </row>
    <row r="1341" customFormat="false" ht="13.5" hidden="false" customHeight="false" outlineLevel="0" collapsed="false">
      <c r="A1341" s="0" t="s">
        <v>3099</v>
      </c>
      <c r="B1341" s="0" t="s">
        <v>3100</v>
      </c>
      <c r="C1341" s="0" t="s">
        <v>31</v>
      </c>
      <c r="D1341" s="0" t="s">
        <v>3101</v>
      </c>
      <c r="E1341" s="0" t="s">
        <v>98</v>
      </c>
    </row>
    <row r="1342" customFormat="false" ht="13.5" hidden="false" customHeight="false" outlineLevel="0" collapsed="false">
      <c r="A1342" s="0" t="s">
        <v>3102</v>
      </c>
      <c r="B1342" s="0" t="s">
        <v>3103</v>
      </c>
      <c r="C1342" s="0" t="s">
        <v>31</v>
      </c>
      <c r="D1342" s="0" t="s">
        <v>413</v>
      </c>
      <c r="E1342" s="0" t="s">
        <v>3104</v>
      </c>
    </row>
    <row r="1343" customFormat="false" ht="13.5" hidden="false" customHeight="false" outlineLevel="0" collapsed="false">
      <c r="A1343" s="0" t="s">
        <v>3105</v>
      </c>
      <c r="B1343" s="0" t="s">
        <v>3106</v>
      </c>
      <c r="C1343" s="0" t="s">
        <v>31</v>
      </c>
      <c r="D1343" s="0" t="s">
        <v>3107</v>
      </c>
    </row>
    <row r="1344" customFormat="false" ht="13.5" hidden="false" customHeight="false" outlineLevel="0" collapsed="false">
      <c r="A1344" s="0" t="s">
        <v>3108</v>
      </c>
      <c r="B1344" s="0" t="s">
        <v>3109</v>
      </c>
      <c r="C1344" s="0" t="s">
        <v>31</v>
      </c>
      <c r="D1344" s="0" t="s">
        <v>2072</v>
      </c>
    </row>
    <row r="1345" customFormat="false" ht="13.5" hidden="false" customHeight="false" outlineLevel="0" collapsed="false">
      <c r="A1345" s="0" t="s">
        <v>3110</v>
      </c>
      <c r="B1345" s="0" t="s">
        <v>3111</v>
      </c>
      <c r="C1345" s="0" t="s">
        <v>31</v>
      </c>
      <c r="D1345" s="0" t="s">
        <v>1592</v>
      </c>
    </row>
    <row r="1346" customFormat="false" ht="13.5" hidden="false" customHeight="false" outlineLevel="0" collapsed="false">
      <c r="A1346" s="0" t="s">
        <v>3112</v>
      </c>
      <c r="B1346" s="0" t="s">
        <v>3113</v>
      </c>
      <c r="C1346" s="0" t="s">
        <v>31</v>
      </c>
      <c r="D1346" s="0" t="s">
        <v>1651</v>
      </c>
      <c r="E1346" s="0" t="s">
        <v>348</v>
      </c>
    </row>
    <row r="1347" customFormat="false" ht="13.5" hidden="false" customHeight="false" outlineLevel="0" collapsed="false">
      <c r="A1347" s="0" t="s">
        <v>3114</v>
      </c>
      <c r="B1347" s="0" t="s">
        <v>3115</v>
      </c>
      <c r="C1347" s="0" t="s">
        <v>31</v>
      </c>
      <c r="D1347" s="0" t="s">
        <v>413</v>
      </c>
      <c r="E1347" s="0" t="s">
        <v>3116</v>
      </c>
    </row>
    <row r="1348" customFormat="false" ht="13.5" hidden="false" customHeight="false" outlineLevel="0" collapsed="false">
      <c r="A1348" s="0" t="s">
        <v>3117</v>
      </c>
      <c r="B1348" s="0" t="s">
        <v>3118</v>
      </c>
      <c r="C1348" s="0" t="s">
        <v>31</v>
      </c>
      <c r="D1348" s="0" t="s">
        <v>19</v>
      </c>
      <c r="E1348" s="0" t="s">
        <v>76</v>
      </c>
      <c r="F1348" s="0" t="s">
        <v>1782</v>
      </c>
    </row>
    <row r="1349" customFormat="false" ht="13.5" hidden="false" customHeight="false" outlineLevel="0" collapsed="false">
      <c r="A1349" s="0" t="s">
        <v>3119</v>
      </c>
      <c r="B1349" s="0" t="s">
        <v>3120</v>
      </c>
      <c r="C1349" s="0" t="s">
        <v>31</v>
      </c>
      <c r="D1349" s="0" t="s">
        <v>2552</v>
      </c>
    </row>
    <row r="1350" customFormat="false" ht="13.5" hidden="false" customHeight="false" outlineLevel="0" collapsed="false">
      <c r="A1350" s="0" t="s">
        <v>3121</v>
      </c>
      <c r="B1350" s="0" t="s">
        <v>3122</v>
      </c>
      <c r="C1350" s="0" t="s">
        <v>31</v>
      </c>
      <c r="D1350" s="0" t="s">
        <v>3123</v>
      </c>
      <c r="E1350" s="0" t="s">
        <v>98</v>
      </c>
      <c r="F1350" s="0" t="s">
        <v>60</v>
      </c>
    </row>
    <row r="1351" customFormat="false" ht="13.5" hidden="false" customHeight="false" outlineLevel="0" collapsed="false">
      <c r="A1351" s="0" t="s">
        <v>3124</v>
      </c>
      <c r="B1351" s="0" t="s">
        <v>3125</v>
      </c>
      <c r="C1351" s="0" t="s">
        <v>31</v>
      </c>
      <c r="D1351" s="0" t="s">
        <v>413</v>
      </c>
      <c r="E1351" s="0" t="s">
        <v>3126</v>
      </c>
    </row>
    <row r="1352" customFormat="false" ht="13.5" hidden="false" customHeight="false" outlineLevel="0" collapsed="false">
      <c r="A1352" s="0" t="s">
        <v>3127</v>
      </c>
      <c r="B1352" s="0" t="s">
        <v>3128</v>
      </c>
      <c r="C1352" s="0" t="s">
        <v>31</v>
      </c>
      <c r="D1352" s="0" t="s">
        <v>1527</v>
      </c>
    </row>
    <row r="1353" customFormat="false" ht="13.5" hidden="false" customHeight="false" outlineLevel="0" collapsed="false">
      <c r="A1353" s="0" t="s">
        <v>3129</v>
      </c>
      <c r="B1353" s="0" t="s">
        <v>3130</v>
      </c>
      <c r="C1353" s="0" t="s">
        <v>31</v>
      </c>
      <c r="D1353" s="0" t="s">
        <v>413</v>
      </c>
      <c r="E1353" s="0" t="s">
        <v>3131</v>
      </c>
    </row>
    <row r="1354" customFormat="false" ht="13.5" hidden="false" customHeight="false" outlineLevel="0" collapsed="false">
      <c r="A1354" s="0" t="s">
        <v>3132</v>
      </c>
      <c r="B1354" s="0" t="s">
        <v>3133</v>
      </c>
      <c r="C1354" s="0" t="s">
        <v>31</v>
      </c>
      <c r="D1354" s="0" t="s">
        <v>1508</v>
      </c>
    </row>
    <row r="1355" customFormat="false" ht="13.5" hidden="false" customHeight="false" outlineLevel="0" collapsed="false">
      <c r="A1355" s="0" t="s">
        <v>3134</v>
      </c>
      <c r="B1355" s="0" t="s">
        <v>3135</v>
      </c>
      <c r="C1355" s="0" t="s">
        <v>31</v>
      </c>
      <c r="D1355" s="0" t="s">
        <v>1633</v>
      </c>
    </row>
    <row r="1356" customFormat="false" ht="13.5" hidden="false" customHeight="false" outlineLevel="0" collapsed="false">
      <c r="A1356" s="0" t="s">
        <v>3136</v>
      </c>
      <c r="B1356" s="0" t="s">
        <v>3137</v>
      </c>
      <c r="C1356" s="0" t="s">
        <v>31</v>
      </c>
      <c r="D1356" s="0" t="s">
        <v>3138</v>
      </c>
      <c r="E1356" s="0" t="s">
        <v>249</v>
      </c>
    </row>
    <row r="1357" customFormat="false" ht="13.5" hidden="false" customHeight="false" outlineLevel="0" collapsed="false">
      <c r="A1357" s="0" t="s">
        <v>3139</v>
      </c>
      <c r="B1357" s="0" t="s">
        <v>3140</v>
      </c>
      <c r="C1357" s="0" t="s">
        <v>31</v>
      </c>
      <c r="D1357" s="0" t="s">
        <v>19</v>
      </c>
      <c r="E1357" s="0" t="s">
        <v>98</v>
      </c>
      <c r="F1357" s="0" t="s">
        <v>60</v>
      </c>
    </row>
    <row r="1358" customFormat="false" ht="13.5" hidden="false" customHeight="false" outlineLevel="0" collapsed="false">
      <c r="A1358" s="0" t="s">
        <v>3141</v>
      </c>
      <c r="B1358" s="0" t="s">
        <v>3142</v>
      </c>
      <c r="C1358" s="0" t="s">
        <v>31</v>
      </c>
      <c r="D1358" s="0" t="s">
        <v>2492</v>
      </c>
    </row>
    <row r="1359" customFormat="false" ht="13.5" hidden="false" customHeight="false" outlineLevel="0" collapsed="false">
      <c r="A1359" s="0" t="s">
        <v>3143</v>
      </c>
      <c r="B1359" s="0" t="s">
        <v>3144</v>
      </c>
      <c r="C1359" s="0" t="s">
        <v>31</v>
      </c>
      <c r="D1359" s="0" t="s">
        <v>19</v>
      </c>
      <c r="E1359" s="0" t="s">
        <v>3145</v>
      </c>
      <c r="F1359" s="0" t="s">
        <v>3146</v>
      </c>
    </row>
    <row r="1360" customFormat="false" ht="13.5" hidden="false" customHeight="false" outlineLevel="0" collapsed="false">
      <c r="A1360" s="0" t="s">
        <v>3147</v>
      </c>
      <c r="B1360" s="0" t="s">
        <v>3148</v>
      </c>
      <c r="C1360" s="0" t="s">
        <v>31</v>
      </c>
      <c r="D1360" s="0" t="s">
        <v>1540</v>
      </c>
    </row>
    <row r="1361" customFormat="false" ht="13.5" hidden="false" customHeight="false" outlineLevel="0" collapsed="false">
      <c r="A1361" s="0" t="s">
        <v>3149</v>
      </c>
      <c r="B1361" s="0" t="s">
        <v>3150</v>
      </c>
      <c r="C1361" s="0" t="s">
        <v>31</v>
      </c>
      <c r="D1361" s="0" t="s">
        <v>413</v>
      </c>
      <c r="E1361" s="0" t="s">
        <v>181</v>
      </c>
    </row>
    <row r="1362" customFormat="false" ht="13.5" hidden="false" customHeight="false" outlineLevel="0" collapsed="false">
      <c r="A1362" s="0" t="s">
        <v>3151</v>
      </c>
      <c r="B1362" s="0" t="s">
        <v>3152</v>
      </c>
      <c r="C1362" s="0" t="s">
        <v>31</v>
      </c>
      <c r="D1362" s="0" t="s">
        <v>413</v>
      </c>
      <c r="E1362" s="0" t="s">
        <v>32</v>
      </c>
    </row>
    <row r="1363" customFormat="false" ht="13.5" hidden="false" customHeight="false" outlineLevel="0" collapsed="false">
      <c r="A1363" s="0" t="s">
        <v>3153</v>
      </c>
      <c r="B1363" s="0" t="s">
        <v>3154</v>
      </c>
      <c r="C1363" s="0" t="s">
        <v>31</v>
      </c>
      <c r="D1363" s="0" t="s">
        <v>2540</v>
      </c>
      <c r="E1363" s="0" t="s">
        <v>32</v>
      </c>
    </row>
    <row r="1364" customFormat="false" ht="13.5" hidden="false" customHeight="false" outlineLevel="0" collapsed="false">
      <c r="A1364" s="0" t="s">
        <v>3155</v>
      </c>
      <c r="B1364" s="0" t="s">
        <v>3156</v>
      </c>
      <c r="C1364" s="0" t="s">
        <v>31</v>
      </c>
      <c r="D1364" s="0" t="s">
        <v>1513</v>
      </c>
    </row>
    <row r="1365" customFormat="false" ht="13.5" hidden="false" customHeight="false" outlineLevel="0" collapsed="false">
      <c r="A1365" s="0" t="s">
        <v>3157</v>
      </c>
      <c r="B1365" s="0" t="s">
        <v>2065</v>
      </c>
      <c r="C1365" s="0" t="s">
        <v>31</v>
      </c>
      <c r="D1365" s="0" t="s">
        <v>19</v>
      </c>
      <c r="E1365" s="0" t="s">
        <v>869</v>
      </c>
      <c r="F1365" s="0" t="s">
        <v>60</v>
      </c>
    </row>
    <row r="1366" customFormat="false" ht="13.5" hidden="false" customHeight="false" outlineLevel="0" collapsed="false">
      <c r="A1366" s="0" t="s">
        <v>3158</v>
      </c>
      <c r="B1366" s="0" t="s">
        <v>3159</v>
      </c>
      <c r="C1366" s="0" t="s">
        <v>31</v>
      </c>
      <c r="D1366" s="0" t="s">
        <v>1737</v>
      </c>
    </row>
    <row r="1367" customFormat="false" ht="13.5" hidden="false" customHeight="false" outlineLevel="0" collapsed="false">
      <c r="A1367" s="0" t="s">
        <v>3160</v>
      </c>
      <c r="B1367" s="0" t="s">
        <v>1558</v>
      </c>
      <c r="C1367" s="0" t="s">
        <v>31</v>
      </c>
      <c r="D1367" s="0" t="s">
        <v>3020</v>
      </c>
    </row>
    <row r="1368" customFormat="false" ht="13.5" hidden="false" customHeight="false" outlineLevel="0" collapsed="false">
      <c r="A1368" s="0" t="s">
        <v>3161</v>
      </c>
      <c r="B1368" s="0" t="s">
        <v>3162</v>
      </c>
      <c r="C1368" s="0" t="s">
        <v>31</v>
      </c>
      <c r="D1368" s="0" t="s">
        <v>1704</v>
      </c>
      <c r="F1368" s="0" t="s">
        <v>60</v>
      </c>
    </row>
    <row r="1369" customFormat="false" ht="13.5" hidden="false" customHeight="false" outlineLevel="0" collapsed="false">
      <c r="A1369" s="0" t="s">
        <v>3163</v>
      </c>
      <c r="B1369" s="0" t="s">
        <v>3164</v>
      </c>
      <c r="C1369" s="0" t="s">
        <v>31</v>
      </c>
      <c r="D1369" s="0" t="s">
        <v>413</v>
      </c>
      <c r="E1369" s="0" t="s">
        <v>307</v>
      </c>
    </row>
    <row r="1370" customFormat="false" ht="13.5" hidden="false" customHeight="false" outlineLevel="0" collapsed="false">
      <c r="A1370" s="0" t="s">
        <v>3165</v>
      </c>
      <c r="B1370" s="0" t="s">
        <v>3166</v>
      </c>
      <c r="C1370" s="0" t="s">
        <v>31</v>
      </c>
      <c r="D1370" s="0" t="s">
        <v>1651</v>
      </c>
    </row>
    <row r="1371" customFormat="false" ht="13.5" hidden="false" customHeight="false" outlineLevel="0" collapsed="false">
      <c r="A1371" s="0" t="s">
        <v>3167</v>
      </c>
      <c r="B1371" s="0" t="s">
        <v>3168</v>
      </c>
      <c r="C1371" s="0" t="s">
        <v>31</v>
      </c>
      <c r="D1371" s="0" t="s">
        <v>1704</v>
      </c>
    </row>
    <row r="1372" customFormat="false" ht="13.5" hidden="false" customHeight="false" outlineLevel="0" collapsed="false">
      <c r="A1372" s="0" t="s">
        <v>3169</v>
      </c>
      <c r="B1372" s="0" t="s">
        <v>3170</v>
      </c>
      <c r="C1372" s="0" t="s">
        <v>31</v>
      </c>
      <c r="D1372" s="0" t="s">
        <v>413</v>
      </c>
      <c r="E1372" s="0" t="s">
        <v>810</v>
      </c>
    </row>
    <row r="1373" customFormat="false" ht="13.5" hidden="false" customHeight="false" outlineLevel="0" collapsed="false">
      <c r="A1373" s="0" t="s">
        <v>3171</v>
      </c>
      <c r="B1373" s="0" t="s">
        <v>1346</v>
      </c>
      <c r="C1373" s="0" t="s">
        <v>31</v>
      </c>
      <c r="D1373" s="0" t="s">
        <v>413</v>
      </c>
      <c r="E1373" s="0" t="s">
        <v>695</v>
      </c>
    </row>
    <row r="1374" customFormat="false" ht="13.5" hidden="false" customHeight="false" outlineLevel="0" collapsed="false">
      <c r="A1374" s="0" t="s">
        <v>3172</v>
      </c>
      <c r="B1374" s="0" t="s">
        <v>3173</v>
      </c>
      <c r="C1374" s="0" t="s">
        <v>31</v>
      </c>
      <c r="D1374" s="0" t="s">
        <v>1505</v>
      </c>
    </row>
    <row r="1375" customFormat="false" ht="13.5" hidden="false" customHeight="false" outlineLevel="0" collapsed="false">
      <c r="A1375" s="0" t="s">
        <v>3174</v>
      </c>
      <c r="B1375" s="0" t="s">
        <v>3175</v>
      </c>
      <c r="C1375" s="0" t="s">
        <v>31</v>
      </c>
      <c r="D1375" s="0" t="s">
        <v>1924</v>
      </c>
    </row>
    <row r="1376" customFormat="false" ht="13.5" hidden="false" customHeight="false" outlineLevel="0" collapsed="false">
      <c r="A1376" s="0" t="s">
        <v>3176</v>
      </c>
      <c r="B1376" s="0" t="s">
        <v>3177</v>
      </c>
      <c r="C1376" s="0" t="s">
        <v>31</v>
      </c>
      <c r="D1376" s="0" t="s">
        <v>2444</v>
      </c>
    </row>
    <row r="1377" customFormat="false" ht="13.5" hidden="false" customHeight="false" outlineLevel="0" collapsed="false">
      <c r="A1377" s="0" t="s">
        <v>3178</v>
      </c>
      <c r="B1377" s="0" t="s">
        <v>3179</v>
      </c>
      <c r="C1377" s="0" t="s">
        <v>31</v>
      </c>
      <c r="D1377" s="0" t="s">
        <v>1592</v>
      </c>
    </row>
    <row r="1378" customFormat="false" ht="13.5" hidden="false" customHeight="false" outlineLevel="0" collapsed="false">
      <c r="A1378" s="0" t="s">
        <v>3180</v>
      </c>
      <c r="B1378" s="0" t="s">
        <v>3181</v>
      </c>
      <c r="C1378" s="0" t="s">
        <v>31</v>
      </c>
      <c r="D1378" s="0" t="s">
        <v>413</v>
      </c>
      <c r="E1378" s="0" t="s">
        <v>1043</v>
      </c>
    </row>
    <row r="1379" customFormat="false" ht="13.5" hidden="false" customHeight="false" outlineLevel="0" collapsed="false">
      <c r="A1379" s="0" t="s">
        <v>3182</v>
      </c>
      <c r="B1379" s="0" t="s">
        <v>3183</v>
      </c>
      <c r="C1379" s="0" t="s">
        <v>31</v>
      </c>
      <c r="D1379" s="0" t="s">
        <v>3184</v>
      </c>
    </row>
    <row r="1380" customFormat="false" ht="13.5" hidden="false" customHeight="false" outlineLevel="0" collapsed="false">
      <c r="A1380" s="0" t="s">
        <v>3185</v>
      </c>
      <c r="B1380" s="0" t="s">
        <v>3186</v>
      </c>
      <c r="C1380" s="0" t="s">
        <v>31</v>
      </c>
      <c r="D1380" s="0" t="s">
        <v>3187</v>
      </c>
    </row>
    <row r="1381" customFormat="false" ht="13.5" hidden="false" customHeight="false" outlineLevel="0" collapsed="false">
      <c r="A1381" s="0" t="s">
        <v>3188</v>
      </c>
      <c r="B1381" s="0" t="s">
        <v>3189</v>
      </c>
      <c r="C1381" s="0" t="s">
        <v>31</v>
      </c>
      <c r="D1381" s="0" t="s">
        <v>3190</v>
      </c>
    </row>
    <row r="1382" customFormat="false" ht="13.5" hidden="false" customHeight="false" outlineLevel="0" collapsed="false">
      <c r="A1382" s="0" t="s">
        <v>3191</v>
      </c>
      <c r="B1382" s="0" t="s">
        <v>2063</v>
      </c>
      <c r="C1382" s="0" t="s">
        <v>31</v>
      </c>
      <c r="D1382" s="0" t="s">
        <v>2054</v>
      </c>
    </row>
    <row r="1383" customFormat="false" ht="13.5" hidden="false" customHeight="false" outlineLevel="0" collapsed="false">
      <c r="A1383" s="0" t="s">
        <v>3192</v>
      </c>
      <c r="B1383" s="0" t="s">
        <v>3193</v>
      </c>
      <c r="C1383" s="0" t="s">
        <v>31</v>
      </c>
      <c r="D1383" s="0" t="s">
        <v>1651</v>
      </c>
    </row>
    <row r="1384" customFormat="false" ht="13.5" hidden="false" customHeight="false" outlineLevel="0" collapsed="false">
      <c r="A1384" s="0" t="s">
        <v>3194</v>
      </c>
      <c r="B1384" s="0" t="s">
        <v>3195</v>
      </c>
      <c r="C1384" s="0" t="s">
        <v>31</v>
      </c>
      <c r="D1384" s="0" t="s">
        <v>3196</v>
      </c>
    </row>
    <row r="1385" customFormat="false" ht="13.5" hidden="false" customHeight="false" outlineLevel="0" collapsed="false">
      <c r="A1385" s="0" t="s">
        <v>3197</v>
      </c>
      <c r="B1385" s="0" t="s">
        <v>3198</v>
      </c>
      <c r="C1385" s="0" t="s">
        <v>31</v>
      </c>
      <c r="D1385" s="0" t="s">
        <v>413</v>
      </c>
      <c r="E1385" s="0" t="s">
        <v>1151</v>
      </c>
      <c r="F1385" s="0" t="s">
        <v>60</v>
      </c>
    </row>
    <row r="1386" customFormat="false" ht="13.5" hidden="false" customHeight="false" outlineLevel="0" collapsed="false">
      <c r="A1386" s="0" t="s">
        <v>3199</v>
      </c>
      <c r="B1386" s="0" t="s">
        <v>3200</v>
      </c>
      <c r="C1386" s="0" t="s">
        <v>31</v>
      </c>
      <c r="D1386" s="0" t="s">
        <v>1924</v>
      </c>
    </row>
    <row r="1387" customFormat="false" ht="13.5" hidden="false" customHeight="false" outlineLevel="0" collapsed="false">
      <c r="A1387" s="0" t="s">
        <v>3201</v>
      </c>
      <c r="B1387" s="0" t="s">
        <v>3202</v>
      </c>
      <c r="C1387" s="0" t="s">
        <v>31</v>
      </c>
      <c r="D1387" s="0" t="s">
        <v>413</v>
      </c>
      <c r="E1387" s="0" t="s">
        <v>2985</v>
      </c>
    </row>
    <row r="1388" customFormat="false" ht="13.5" hidden="false" customHeight="false" outlineLevel="0" collapsed="false">
      <c r="A1388" s="0" t="s">
        <v>3203</v>
      </c>
      <c r="B1388" s="0" t="s">
        <v>3204</v>
      </c>
      <c r="C1388" s="0" t="s">
        <v>31</v>
      </c>
      <c r="D1388" s="0" t="s">
        <v>1957</v>
      </c>
    </row>
    <row r="1389" customFormat="false" ht="13.5" hidden="false" customHeight="false" outlineLevel="0" collapsed="false">
      <c r="A1389" s="0" t="s">
        <v>3205</v>
      </c>
      <c r="B1389" s="0" t="s">
        <v>3206</v>
      </c>
      <c r="C1389" s="0" t="s">
        <v>31</v>
      </c>
      <c r="D1389" s="0" t="s">
        <v>1704</v>
      </c>
      <c r="F1389" s="0" t="s">
        <v>60</v>
      </c>
    </row>
    <row r="1390" customFormat="false" ht="13.5" hidden="false" customHeight="false" outlineLevel="0" collapsed="false">
      <c r="A1390" s="0" t="s">
        <v>3207</v>
      </c>
      <c r="B1390" s="0" t="s">
        <v>3208</v>
      </c>
      <c r="C1390" s="0" t="s">
        <v>31</v>
      </c>
      <c r="D1390" s="0" t="s">
        <v>413</v>
      </c>
      <c r="E1390" s="0" t="s">
        <v>186</v>
      </c>
    </row>
    <row r="1391" customFormat="false" ht="13.5" hidden="false" customHeight="false" outlineLevel="0" collapsed="false">
      <c r="A1391" s="0" t="s">
        <v>3209</v>
      </c>
      <c r="B1391" s="0" t="s">
        <v>3210</v>
      </c>
      <c r="C1391" s="0" t="s">
        <v>31</v>
      </c>
      <c r="D1391" s="0" t="s">
        <v>19</v>
      </c>
      <c r="E1391" s="0" t="s">
        <v>200</v>
      </c>
      <c r="F1391" s="0" t="s">
        <v>60</v>
      </c>
    </row>
    <row r="1392" customFormat="false" ht="13.5" hidden="false" customHeight="false" outlineLevel="0" collapsed="false">
      <c r="A1392" s="0" t="s">
        <v>3211</v>
      </c>
      <c r="B1392" s="0" t="s">
        <v>3212</v>
      </c>
      <c r="C1392" s="0" t="s">
        <v>31</v>
      </c>
      <c r="D1392" s="0" t="s">
        <v>19</v>
      </c>
      <c r="E1392" s="0" t="s">
        <v>1151</v>
      </c>
      <c r="F1392" s="0" t="s">
        <v>60</v>
      </c>
    </row>
    <row r="1393" customFormat="false" ht="13.5" hidden="false" customHeight="false" outlineLevel="0" collapsed="false">
      <c r="A1393" s="0" t="s">
        <v>3213</v>
      </c>
      <c r="B1393" s="0" t="s">
        <v>3214</v>
      </c>
      <c r="C1393" s="0" t="s">
        <v>31</v>
      </c>
      <c r="D1393" s="0" t="s">
        <v>1957</v>
      </c>
    </row>
    <row r="1394" customFormat="false" ht="13.5" hidden="false" customHeight="false" outlineLevel="0" collapsed="false">
      <c r="A1394" s="0" t="s">
        <v>3215</v>
      </c>
      <c r="B1394" s="0" t="s">
        <v>3216</v>
      </c>
      <c r="C1394" s="0" t="s">
        <v>31</v>
      </c>
      <c r="D1394" s="0" t="s">
        <v>19</v>
      </c>
      <c r="E1394" s="0" t="s">
        <v>1065</v>
      </c>
      <c r="F1394" s="0" t="s">
        <v>43</v>
      </c>
    </row>
    <row r="1395" customFormat="false" ht="13.5" hidden="false" customHeight="false" outlineLevel="0" collapsed="false">
      <c r="A1395" s="0" t="s">
        <v>3217</v>
      </c>
      <c r="B1395" s="0" t="s">
        <v>3218</v>
      </c>
      <c r="C1395" s="0" t="s">
        <v>31</v>
      </c>
      <c r="D1395" s="0" t="s">
        <v>2444</v>
      </c>
    </row>
    <row r="1396" customFormat="false" ht="13.5" hidden="false" customHeight="false" outlineLevel="0" collapsed="false">
      <c r="A1396" s="0" t="s">
        <v>3219</v>
      </c>
      <c r="B1396" s="0" t="s">
        <v>3220</v>
      </c>
      <c r="C1396" s="0" t="s">
        <v>31</v>
      </c>
      <c r="D1396" s="0" t="s">
        <v>2072</v>
      </c>
      <c r="F1396" s="0" t="s">
        <v>60</v>
      </c>
    </row>
    <row r="1397" customFormat="false" ht="13.5" hidden="false" customHeight="false" outlineLevel="0" collapsed="false">
      <c r="A1397" s="0" t="s">
        <v>3221</v>
      </c>
      <c r="B1397" s="0" t="s">
        <v>3222</v>
      </c>
      <c r="C1397" s="0" t="s">
        <v>31</v>
      </c>
      <c r="D1397" s="0" t="s">
        <v>413</v>
      </c>
      <c r="E1397" s="0" t="s">
        <v>728</v>
      </c>
    </row>
    <row r="1398" customFormat="false" ht="13.5" hidden="false" customHeight="false" outlineLevel="0" collapsed="false">
      <c r="A1398" s="0" t="s">
        <v>3223</v>
      </c>
      <c r="B1398" s="0" t="s">
        <v>3224</v>
      </c>
      <c r="C1398" s="0" t="s">
        <v>31</v>
      </c>
      <c r="D1398" s="0" t="s">
        <v>413</v>
      </c>
      <c r="E1398" s="0" t="s">
        <v>12</v>
      </c>
    </row>
    <row r="1399" customFormat="false" ht="13.5" hidden="false" customHeight="false" outlineLevel="0" collapsed="false">
      <c r="A1399" s="0" t="s">
        <v>3225</v>
      </c>
      <c r="B1399" s="0" t="s">
        <v>3226</v>
      </c>
      <c r="C1399" s="0" t="s">
        <v>31</v>
      </c>
      <c r="D1399" s="0" t="s">
        <v>1651</v>
      </c>
    </row>
    <row r="1400" customFormat="false" ht="13.5" hidden="false" customHeight="false" outlineLevel="0" collapsed="false">
      <c r="A1400" s="0" t="s">
        <v>3227</v>
      </c>
      <c r="B1400" s="0" t="s">
        <v>3228</v>
      </c>
      <c r="C1400" s="0" t="s">
        <v>31</v>
      </c>
      <c r="D1400" s="0" t="s">
        <v>1704</v>
      </c>
      <c r="F1400" s="0" t="s">
        <v>60</v>
      </c>
    </row>
    <row r="1401" customFormat="false" ht="13.5" hidden="false" customHeight="false" outlineLevel="0" collapsed="false">
      <c r="A1401" s="0" t="s">
        <v>3229</v>
      </c>
      <c r="B1401" s="0" t="s">
        <v>3230</v>
      </c>
      <c r="C1401" s="0" t="s">
        <v>31</v>
      </c>
      <c r="D1401" s="0" t="s">
        <v>413</v>
      </c>
      <c r="E1401" s="0" t="s">
        <v>710</v>
      </c>
    </row>
    <row r="1402" customFormat="false" ht="13.5" hidden="false" customHeight="false" outlineLevel="0" collapsed="false">
      <c r="A1402" s="0" t="s">
        <v>3231</v>
      </c>
      <c r="B1402" s="0" t="s">
        <v>3232</v>
      </c>
      <c r="C1402" s="0" t="s">
        <v>31</v>
      </c>
      <c r="D1402" s="0" t="s">
        <v>1704</v>
      </c>
    </row>
    <row r="1403" customFormat="false" ht="13.5" hidden="false" customHeight="false" outlineLevel="0" collapsed="false">
      <c r="A1403" s="0" t="s">
        <v>3233</v>
      </c>
      <c r="B1403" s="0" t="s">
        <v>3234</v>
      </c>
      <c r="C1403" s="0" t="s">
        <v>31</v>
      </c>
      <c r="D1403" s="0" t="s">
        <v>2552</v>
      </c>
    </row>
    <row r="1404" customFormat="false" ht="13.5" hidden="false" customHeight="false" outlineLevel="0" collapsed="false">
      <c r="A1404" s="0" t="s">
        <v>3235</v>
      </c>
      <c r="B1404" s="0" t="s">
        <v>3236</v>
      </c>
      <c r="C1404" s="0" t="s">
        <v>31</v>
      </c>
      <c r="D1404" s="0" t="s">
        <v>413</v>
      </c>
      <c r="E1404" s="0" t="s">
        <v>150</v>
      </c>
      <c r="F1404" s="0" t="s">
        <v>60</v>
      </c>
    </row>
    <row r="1405" customFormat="false" ht="13.5" hidden="false" customHeight="false" outlineLevel="0" collapsed="false">
      <c r="A1405" s="0" t="s">
        <v>3237</v>
      </c>
      <c r="B1405" s="0" t="s">
        <v>868</v>
      </c>
      <c r="C1405" s="0" t="s">
        <v>31</v>
      </c>
      <c r="D1405" s="0" t="s">
        <v>2072</v>
      </c>
      <c r="F1405" s="0" t="s">
        <v>60</v>
      </c>
    </row>
    <row r="1406" customFormat="false" ht="13.5" hidden="false" customHeight="false" outlineLevel="0" collapsed="false">
      <c r="A1406" s="0" t="s">
        <v>3238</v>
      </c>
      <c r="B1406" s="0" t="s">
        <v>3239</v>
      </c>
      <c r="C1406" s="0" t="s">
        <v>31</v>
      </c>
      <c r="D1406" s="0" t="s">
        <v>2887</v>
      </c>
    </row>
    <row r="1407" customFormat="false" ht="13.5" hidden="false" customHeight="false" outlineLevel="0" collapsed="false">
      <c r="A1407" s="0" t="s">
        <v>3240</v>
      </c>
      <c r="B1407" s="0" t="s">
        <v>3241</v>
      </c>
      <c r="C1407" s="0" t="s">
        <v>31</v>
      </c>
      <c r="D1407" s="0" t="s">
        <v>1513</v>
      </c>
      <c r="E1407" s="0" t="s">
        <v>12</v>
      </c>
    </row>
    <row r="1408" customFormat="false" ht="13.5" hidden="false" customHeight="false" outlineLevel="0" collapsed="false">
      <c r="A1408" s="0" t="s">
        <v>3242</v>
      </c>
      <c r="B1408" s="0" t="s">
        <v>3243</v>
      </c>
      <c r="C1408" s="0" t="s">
        <v>31</v>
      </c>
      <c r="D1408" s="0" t="s">
        <v>16</v>
      </c>
      <c r="E1408" s="0" t="s">
        <v>307</v>
      </c>
      <c r="F1408" s="0" t="s">
        <v>1669</v>
      </c>
    </row>
    <row r="1409" customFormat="false" ht="13.5" hidden="false" customHeight="false" outlineLevel="0" collapsed="false">
      <c r="A1409" s="0" t="s">
        <v>3244</v>
      </c>
      <c r="B1409" s="0" t="s">
        <v>3245</v>
      </c>
      <c r="C1409" s="0" t="s">
        <v>31</v>
      </c>
      <c r="D1409" s="0" t="s">
        <v>413</v>
      </c>
      <c r="E1409" s="0" t="s">
        <v>98</v>
      </c>
      <c r="F1409" s="0" t="s">
        <v>1669</v>
      </c>
    </row>
    <row r="1410" customFormat="false" ht="13.5" hidden="false" customHeight="false" outlineLevel="0" collapsed="false">
      <c r="A1410" s="0" t="s">
        <v>3246</v>
      </c>
      <c r="B1410" s="0" t="s">
        <v>3247</v>
      </c>
      <c r="C1410" s="0" t="s">
        <v>31</v>
      </c>
      <c r="D1410" s="0" t="s">
        <v>413</v>
      </c>
      <c r="E1410" s="0" t="s">
        <v>150</v>
      </c>
    </row>
    <row r="1411" customFormat="false" ht="13.5" hidden="false" customHeight="false" outlineLevel="0" collapsed="false">
      <c r="A1411" s="0" t="s">
        <v>3248</v>
      </c>
      <c r="B1411" s="0" t="s">
        <v>3249</v>
      </c>
      <c r="C1411" s="0" t="s">
        <v>31</v>
      </c>
      <c r="D1411" s="0" t="s">
        <v>1513</v>
      </c>
    </row>
    <row r="1412" customFormat="false" ht="13.5" hidden="false" customHeight="false" outlineLevel="0" collapsed="false">
      <c r="A1412" s="0" t="s">
        <v>3250</v>
      </c>
      <c r="B1412" s="0" t="s">
        <v>3251</v>
      </c>
      <c r="C1412" s="0" t="s">
        <v>31</v>
      </c>
      <c r="D1412" s="0" t="s">
        <v>2356</v>
      </c>
    </row>
    <row r="1413" customFormat="false" ht="13.5" hidden="false" customHeight="false" outlineLevel="0" collapsed="false">
      <c r="A1413" s="0" t="s">
        <v>3252</v>
      </c>
      <c r="B1413" s="0" t="s">
        <v>2413</v>
      </c>
      <c r="C1413" s="0" t="s">
        <v>31</v>
      </c>
      <c r="D1413" s="0" t="s">
        <v>1651</v>
      </c>
    </row>
    <row r="1414" customFormat="false" ht="13.5" hidden="false" customHeight="false" outlineLevel="0" collapsed="false">
      <c r="A1414" s="0" t="s">
        <v>3253</v>
      </c>
      <c r="B1414" s="0" t="s">
        <v>3254</v>
      </c>
      <c r="C1414" s="0" t="s">
        <v>31</v>
      </c>
      <c r="D1414" s="0" t="s">
        <v>2444</v>
      </c>
    </row>
    <row r="1415" customFormat="false" ht="13.5" hidden="false" customHeight="false" outlineLevel="0" collapsed="false">
      <c r="A1415" s="0" t="s">
        <v>3255</v>
      </c>
      <c r="B1415" s="0" t="s">
        <v>3256</v>
      </c>
      <c r="C1415" s="0" t="s">
        <v>31</v>
      </c>
      <c r="D1415" s="0" t="s">
        <v>3077</v>
      </c>
    </row>
    <row r="1416" customFormat="false" ht="13.5" hidden="false" customHeight="false" outlineLevel="0" collapsed="false">
      <c r="A1416" s="0" t="s">
        <v>3257</v>
      </c>
      <c r="B1416" s="0" t="s">
        <v>3258</v>
      </c>
      <c r="C1416" s="0" t="s">
        <v>31</v>
      </c>
      <c r="D1416" s="0" t="s">
        <v>413</v>
      </c>
      <c r="E1416" s="0" t="s">
        <v>59</v>
      </c>
    </row>
    <row r="1417" customFormat="false" ht="13.5" hidden="false" customHeight="false" outlineLevel="0" collapsed="false">
      <c r="A1417" s="0" t="s">
        <v>3259</v>
      </c>
      <c r="B1417" s="0" t="s">
        <v>3260</v>
      </c>
      <c r="C1417" s="0" t="s">
        <v>31</v>
      </c>
      <c r="D1417" s="0" t="s">
        <v>3261</v>
      </c>
    </row>
    <row r="1418" customFormat="false" ht="13.5" hidden="false" customHeight="false" outlineLevel="0" collapsed="false">
      <c r="A1418" s="0" t="s">
        <v>3262</v>
      </c>
      <c r="B1418" s="0" t="s">
        <v>3263</v>
      </c>
      <c r="C1418" s="0" t="s">
        <v>31</v>
      </c>
      <c r="D1418" s="0" t="s">
        <v>1737</v>
      </c>
    </row>
    <row r="1419" customFormat="false" ht="13.5" hidden="false" customHeight="false" outlineLevel="0" collapsed="false">
      <c r="A1419" s="0" t="s">
        <v>3264</v>
      </c>
      <c r="B1419" s="0" t="s">
        <v>3265</v>
      </c>
      <c r="C1419" s="0" t="s">
        <v>31</v>
      </c>
      <c r="D1419" s="0" t="s">
        <v>1592</v>
      </c>
    </row>
    <row r="1420" customFormat="false" ht="13.5" hidden="false" customHeight="false" outlineLevel="0" collapsed="false">
      <c r="A1420" s="0" t="s">
        <v>3266</v>
      </c>
      <c r="B1420" s="0" t="s">
        <v>3267</v>
      </c>
      <c r="C1420" s="0" t="s">
        <v>31</v>
      </c>
      <c r="D1420" s="0" t="s">
        <v>1633</v>
      </c>
    </row>
    <row r="1421" customFormat="false" ht="13.5" hidden="false" customHeight="false" outlineLevel="0" collapsed="false">
      <c r="A1421" s="0" t="s">
        <v>3268</v>
      </c>
      <c r="B1421" s="0" t="s">
        <v>3269</v>
      </c>
      <c r="C1421" s="0" t="s">
        <v>31</v>
      </c>
      <c r="D1421" s="0" t="s">
        <v>1737</v>
      </c>
    </row>
    <row r="1422" customFormat="false" ht="13.5" hidden="false" customHeight="false" outlineLevel="0" collapsed="false">
      <c r="A1422" s="0" t="s">
        <v>3270</v>
      </c>
      <c r="B1422" s="0" t="s">
        <v>3271</v>
      </c>
      <c r="C1422" s="0" t="s">
        <v>31</v>
      </c>
      <c r="D1422" s="0" t="s">
        <v>1924</v>
      </c>
    </row>
    <row r="1423" customFormat="false" ht="13.5" hidden="false" customHeight="false" outlineLevel="0" collapsed="false">
      <c r="A1423" s="0" t="s">
        <v>3272</v>
      </c>
      <c r="B1423" s="0" t="s">
        <v>3273</v>
      </c>
      <c r="C1423" s="0" t="s">
        <v>31</v>
      </c>
      <c r="D1423" s="0" t="s">
        <v>3190</v>
      </c>
    </row>
    <row r="1424" customFormat="false" ht="13.5" hidden="false" customHeight="false" outlineLevel="0" collapsed="false">
      <c r="A1424" s="0" t="s">
        <v>3274</v>
      </c>
      <c r="B1424" s="0" t="s">
        <v>3275</v>
      </c>
      <c r="C1424" s="0" t="s">
        <v>31</v>
      </c>
      <c r="D1424" s="0" t="s">
        <v>3276</v>
      </c>
    </row>
    <row r="1425" customFormat="false" ht="13.5" hidden="false" customHeight="false" outlineLevel="0" collapsed="false">
      <c r="A1425" s="0" t="s">
        <v>3277</v>
      </c>
      <c r="B1425" s="0" t="s">
        <v>3278</v>
      </c>
      <c r="C1425" s="0" t="s">
        <v>31</v>
      </c>
      <c r="D1425" s="0" t="s">
        <v>1540</v>
      </c>
    </row>
    <row r="1426" customFormat="false" ht="13.5" hidden="false" customHeight="false" outlineLevel="0" collapsed="false">
      <c r="A1426" s="0" t="s">
        <v>3279</v>
      </c>
      <c r="B1426" s="0" t="s">
        <v>3280</v>
      </c>
      <c r="C1426" s="0" t="s">
        <v>31</v>
      </c>
      <c r="D1426" s="0" t="s">
        <v>2701</v>
      </c>
    </row>
    <row r="1427" customFormat="false" ht="13.5" hidden="false" customHeight="false" outlineLevel="0" collapsed="false">
      <c r="A1427" s="0" t="s">
        <v>3281</v>
      </c>
      <c r="B1427" s="0" t="s">
        <v>3282</v>
      </c>
      <c r="C1427" s="0" t="s">
        <v>31</v>
      </c>
      <c r="D1427" s="0" t="s">
        <v>2072</v>
      </c>
    </row>
    <row r="1428" customFormat="false" ht="13.5" hidden="false" customHeight="false" outlineLevel="0" collapsed="false">
      <c r="A1428" s="0" t="s">
        <v>3283</v>
      </c>
      <c r="B1428" s="0" t="s">
        <v>3177</v>
      </c>
      <c r="C1428" s="0" t="s">
        <v>31</v>
      </c>
      <c r="D1428" s="0" t="s">
        <v>2444</v>
      </c>
    </row>
    <row r="1429" customFormat="false" ht="13.5" hidden="false" customHeight="false" outlineLevel="0" collapsed="false">
      <c r="A1429" s="0" t="s">
        <v>3284</v>
      </c>
      <c r="B1429" s="0" t="s">
        <v>3285</v>
      </c>
      <c r="C1429" s="0" t="s">
        <v>31</v>
      </c>
      <c r="D1429" s="0" t="s">
        <v>1592</v>
      </c>
    </row>
    <row r="1430" customFormat="false" ht="13.5" hidden="false" customHeight="false" outlineLevel="0" collapsed="false">
      <c r="A1430" s="0" t="s">
        <v>3286</v>
      </c>
      <c r="B1430" s="0" t="s">
        <v>3287</v>
      </c>
      <c r="C1430" s="0" t="s">
        <v>31</v>
      </c>
      <c r="D1430" s="0" t="s">
        <v>1592</v>
      </c>
    </row>
    <row r="1431" customFormat="false" ht="13.5" hidden="false" customHeight="false" outlineLevel="0" collapsed="false">
      <c r="A1431" s="0" t="s">
        <v>3288</v>
      </c>
      <c r="B1431" s="0" t="s">
        <v>3289</v>
      </c>
      <c r="C1431" s="0" t="s">
        <v>31</v>
      </c>
      <c r="D1431" s="0" t="s">
        <v>1633</v>
      </c>
    </row>
    <row r="1432" customFormat="false" ht="13.5" hidden="false" customHeight="false" outlineLevel="0" collapsed="false">
      <c r="A1432" s="0" t="s">
        <v>3290</v>
      </c>
      <c r="B1432" s="0" t="s">
        <v>3291</v>
      </c>
      <c r="C1432" s="0" t="s">
        <v>31</v>
      </c>
      <c r="D1432" s="0" t="s">
        <v>1651</v>
      </c>
    </row>
    <row r="1433" customFormat="false" ht="13.5" hidden="false" customHeight="false" outlineLevel="0" collapsed="false">
      <c r="A1433" s="0" t="s">
        <v>3292</v>
      </c>
      <c r="B1433" s="0" t="s">
        <v>3293</v>
      </c>
      <c r="C1433" s="0" t="s">
        <v>31</v>
      </c>
      <c r="D1433" s="0" t="s">
        <v>1924</v>
      </c>
    </row>
    <row r="1434" customFormat="false" ht="13.5" hidden="false" customHeight="false" outlineLevel="0" collapsed="false">
      <c r="A1434" s="0" t="s">
        <v>3294</v>
      </c>
      <c r="B1434" s="0" t="s">
        <v>3295</v>
      </c>
      <c r="C1434" s="0" t="s">
        <v>31</v>
      </c>
      <c r="D1434" s="0" t="s">
        <v>2878</v>
      </c>
    </row>
    <row r="1435" customFormat="false" ht="13.5" hidden="false" customHeight="false" outlineLevel="0" collapsed="false">
      <c r="A1435" s="0" t="s">
        <v>3296</v>
      </c>
      <c r="B1435" s="0" t="s">
        <v>3297</v>
      </c>
      <c r="C1435" s="0" t="s">
        <v>31</v>
      </c>
      <c r="D1435" s="0" t="s">
        <v>413</v>
      </c>
      <c r="E1435" s="0" t="s">
        <v>47</v>
      </c>
    </row>
    <row r="1436" customFormat="false" ht="13.5" hidden="false" customHeight="false" outlineLevel="0" collapsed="false">
      <c r="A1436" s="0" t="s">
        <v>3298</v>
      </c>
      <c r="B1436" s="0" t="s">
        <v>3299</v>
      </c>
      <c r="C1436" s="0" t="s">
        <v>31</v>
      </c>
      <c r="D1436" s="0" t="s">
        <v>2386</v>
      </c>
    </row>
    <row r="1437" customFormat="false" ht="13.5" hidden="false" customHeight="false" outlineLevel="0" collapsed="false">
      <c r="A1437" s="0" t="s">
        <v>3300</v>
      </c>
      <c r="B1437" s="0" t="s">
        <v>3301</v>
      </c>
      <c r="C1437" s="0" t="s">
        <v>31</v>
      </c>
      <c r="D1437" s="0" t="s">
        <v>413</v>
      </c>
      <c r="E1437" s="0" t="s">
        <v>36</v>
      </c>
    </row>
    <row r="1438" customFormat="false" ht="13.5" hidden="false" customHeight="false" outlineLevel="0" collapsed="false">
      <c r="A1438" s="0" t="s">
        <v>3302</v>
      </c>
      <c r="B1438" s="0" t="s">
        <v>3303</v>
      </c>
      <c r="C1438" s="0" t="s">
        <v>31</v>
      </c>
      <c r="D1438" s="0" t="s">
        <v>1924</v>
      </c>
    </row>
    <row r="1439" customFormat="false" ht="13.5" hidden="false" customHeight="false" outlineLevel="0" collapsed="false">
      <c r="A1439" s="0" t="s">
        <v>3304</v>
      </c>
      <c r="B1439" s="0" t="s">
        <v>3305</v>
      </c>
      <c r="C1439" s="0" t="s">
        <v>31</v>
      </c>
      <c r="D1439" s="0" t="s">
        <v>2072</v>
      </c>
    </row>
    <row r="1440" customFormat="false" ht="13.5" hidden="false" customHeight="false" outlineLevel="0" collapsed="false">
      <c r="A1440" s="0" t="s">
        <v>3306</v>
      </c>
      <c r="B1440" s="0" t="s">
        <v>3307</v>
      </c>
      <c r="C1440" s="0" t="s">
        <v>31</v>
      </c>
      <c r="D1440" s="0" t="s">
        <v>2356</v>
      </c>
    </row>
    <row r="1441" customFormat="false" ht="13.5" hidden="false" customHeight="false" outlineLevel="0" collapsed="false">
      <c r="A1441" s="0" t="s">
        <v>3308</v>
      </c>
      <c r="B1441" s="0" t="s">
        <v>3309</v>
      </c>
      <c r="C1441" s="0" t="s">
        <v>31</v>
      </c>
      <c r="D1441" s="0" t="s">
        <v>413</v>
      </c>
      <c r="E1441" s="0" t="s">
        <v>59</v>
      </c>
    </row>
    <row r="1442" customFormat="false" ht="13.5" hidden="false" customHeight="false" outlineLevel="0" collapsed="false">
      <c r="A1442" s="0" t="s">
        <v>3310</v>
      </c>
      <c r="B1442" s="0" t="s">
        <v>3311</v>
      </c>
      <c r="C1442" s="0" t="s">
        <v>31</v>
      </c>
      <c r="D1442" s="0" t="s">
        <v>1704</v>
      </c>
    </row>
    <row r="1443" customFormat="false" ht="13.5" hidden="false" customHeight="false" outlineLevel="0" collapsed="false">
      <c r="A1443" s="0" t="s">
        <v>3312</v>
      </c>
      <c r="B1443" s="0" t="s">
        <v>3313</v>
      </c>
      <c r="C1443" s="0" t="s">
        <v>31</v>
      </c>
      <c r="D1443" s="0" t="s">
        <v>2878</v>
      </c>
      <c r="E1443" s="0" t="s">
        <v>98</v>
      </c>
    </row>
    <row r="1444" customFormat="false" ht="13.5" hidden="false" customHeight="false" outlineLevel="0" collapsed="false">
      <c r="A1444" s="0" t="s">
        <v>3314</v>
      </c>
      <c r="B1444" s="0" t="s">
        <v>3315</v>
      </c>
      <c r="C1444" s="0" t="s">
        <v>31</v>
      </c>
      <c r="D1444" s="0" t="s">
        <v>1651</v>
      </c>
      <c r="E1444" s="0" t="s">
        <v>47</v>
      </c>
    </row>
    <row r="1445" customFormat="false" ht="13.5" hidden="false" customHeight="false" outlineLevel="0" collapsed="false">
      <c r="A1445" s="0" t="s">
        <v>3316</v>
      </c>
      <c r="B1445" s="0" t="s">
        <v>3317</v>
      </c>
      <c r="C1445" s="0" t="s">
        <v>31</v>
      </c>
      <c r="D1445" s="0" t="s">
        <v>1633</v>
      </c>
    </row>
    <row r="1446" customFormat="false" ht="13.5" hidden="false" customHeight="false" outlineLevel="0" collapsed="false">
      <c r="A1446" s="0" t="s">
        <v>3318</v>
      </c>
      <c r="B1446" s="0" t="s">
        <v>289</v>
      </c>
      <c r="C1446" s="0" t="s">
        <v>31</v>
      </c>
      <c r="D1446" s="0" t="s">
        <v>413</v>
      </c>
      <c r="E1446" s="0" t="s">
        <v>32</v>
      </c>
    </row>
    <row r="1447" customFormat="false" ht="13.5" hidden="false" customHeight="false" outlineLevel="0" collapsed="false">
      <c r="A1447" s="0" t="s">
        <v>3319</v>
      </c>
      <c r="B1447" s="0" t="s">
        <v>3320</v>
      </c>
      <c r="C1447" s="0" t="s">
        <v>31</v>
      </c>
      <c r="D1447" s="0" t="s">
        <v>1704</v>
      </c>
    </row>
    <row r="1448" customFormat="false" ht="13.5" hidden="false" customHeight="false" outlineLevel="0" collapsed="false">
      <c r="A1448" s="0" t="s">
        <v>3321</v>
      </c>
      <c r="B1448" s="0" t="s">
        <v>3322</v>
      </c>
      <c r="C1448" s="0" t="s">
        <v>31</v>
      </c>
      <c r="D1448" s="0" t="s">
        <v>1651</v>
      </c>
      <c r="E1448" s="0" t="s">
        <v>47</v>
      </c>
    </row>
    <row r="1449" customFormat="false" ht="13.5" hidden="false" customHeight="false" outlineLevel="0" collapsed="false">
      <c r="A1449" s="0" t="s">
        <v>3323</v>
      </c>
      <c r="B1449" s="0" t="s">
        <v>3324</v>
      </c>
      <c r="C1449" s="0" t="s">
        <v>31</v>
      </c>
      <c r="D1449" s="0" t="s">
        <v>2887</v>
      </c>
    </row>
    <row r="1450" customFormat="false" ht="13.5" hidden="false" customHeight="false" outlineLevel="0" collapsed="false">
      <c r="A1450" s="0" t="s">
        <v>3325</v>
      </c>
      <c r="B1450" s="0" t="s">
        <v>3326</v>
      </c>
      <c r="C1450" s="0" t="s">
        <v>31</v>
      </c>
      <c r="D1450" s="0" t="s">
        <v>413</v>
      </c>
      <c r="E1450" s="0" t="s">
        <v>3327</v>
      </c>
    </row>
    <row r="1451" customFormat="false" ht="13.5" hidden="false" customHeight="false" outlineLevel="0" collapsed="false">
      <c r="A1451" s="0" t="s">
        <v>3328</v>
      </c>
      <c r="B1451" s="0" t="s">
        <v>3329</v>
      </c>
      <c r="C1451" s="0" t="s">
        <v>31</v>
      </c>
      <c r="D1451" s="0" t="s">
        <v>2444</v>
      </c>
    </row>
    <row r="1452" customFormat="false" ht="13.5" hidden="false" customHeight="false" outlineLevel="0" collapsed="false">
      <c r="A1452" s="0" t="s">
        <v>3330</v>
      </c>
      <c r="B1452" s="0" t="s">
        <v>3331</v>
      </c>
      <c r="C1452" s="0" t="s">
        <v>31</v>
      </c>
      <c r="D1452" s="0" t="s">
        <v>413</v>
      </c>
      <c r="E1452" s="0" t="s">
        <v>98</v>
      </c>
    </row>
    <row r="1453" customFormat="false" ht="13.5" hidden="false" customHeight="false" outlineLevel="0" collapsed="false">
      <c r="A1453" s="0" t="s">
        <v>3332</v>
      </c>
      <c r="B1453" s="0" t="s">
        <v>3333</v>
      </c>
      <c r="C1453" s="0" t="s">
        <v>31</v>
      </c>
      <c r="D1453" s="0" t="s">
        <v>19</v>
      </c>
      <c r="E1453" s="0" t="s">
        <v>200</v>
      </c>
      <c r="F1453" s="0" t="s">
        <v>60</v>
      </c>
    </row>
    <row r="1454" customFormat="false" ht="13.5" hidden="false" customHeight="false" outlineLevel="0" collapsed="false">
      <c r="A1454" s="0" t="s">
        <v>3334</v>
      </c>
      <c r="B1454" s="0" t="s">
        <v>3335</v>
      </c>
      <c r="C1454" s="0" t="s">
        <v>31</v>
      </c>
      <c r="D1454" s="0" t="s">
        <v>3190</v>
      </c>
    </row>
    <row r="1455" customFormat="false" ht="13.5" hidden="false" customHeight="false" outlineLevel="0" collapsed="false">
      <c r="A1455" s="0" t="s">
        <v>3336</v>
      </c>
      <c r="B1455" s="0" t="s">
        <v>3337</v>
      </c>
      <c r="C1455" s="0" t="s">
        <v>31</v>
      </c>
      <c r="D1455" s="0" t="s">
        <v>1592</v>
      </c>
    </row>
    <row r="1456" customFormat="false" ht="13.5" hidden="false" customHeight="false" outlineLevel="0" collapsed="false">
      <c r="A1456" s="0" t="s">
        <v>3338</v>
      </c>
      <c r="B1456" s="0" t="s">
        <v>3339</v>
      </c>
      <c r="C1456" s="0" t="s">
        <v>31</v>
      </c>
      <c r="D1456" s="0" t="s">
        <v>1924</v>
      </c>
    </row>
    <row r="1457" customFormat="false" ht="13.5" hidden="false" customHeight="false" outlineLevel="0" collapsed="false">
      <c r="A1457" s="0" t="s">
        <v>3340</v>
      </c>
      <c r="B1457" s="0" t="s">
        <v>3341</v>
      </c>
      <c r="C1457" s="0" t="s">
        <v>31</v>
      </c>
      <c r="D1457" s="0" t="s">
        <v>413</v>
      </c>
      <c r="E1457" s="0" t="s">
        <v>263</v>
      </c>
    </row>
    <row r="1458" customFormat="false" ht="13.5" hidden="false" customHeight="false" outlineLevel="0" collapsed="false">
      <c r="A1458" s="0" t="s">
        <v>3342</v>
      </c>
      <c r="B1458" s="0" t="s">
        <v>3343</v>
      </c>
      <c r="C1458" s="0" t="s">
        <v>31</v>
      </c>
      <c r="D1458" s="0" t="s">
        <v>3344</v>
      </c>
      <c r="E1458" s="0" t="s">
        <v>3345</v>
      </c>
      <c r="F1458" s="0" t="s">
        <v>60</v>
      </c>
    </row>
    <row r="1459" customFormat="false" ht="13.5" hidden="false" customHeight="false" outlineLevel="0" collapsed="false">
      <c r="A1459" s="0" t="s">
        <v>3346</v>
      </c>
      <c r="B1459" s="0" t="s">
        <v>3347</v>
      </c>
      <c r="C1459" s="0" t="s">
        <v>31</v>
      </c>
      <c r="D1459" s="0" t="s">
        <v>3123</v>
      </c>
      <c r="E1459" s="0" t="s">
        <v>307</v>
      </c>
      <c r="F1459" s="0" t="s">
        <v>60</v>
      </c>
    </row>
    <row r="1460" customFormat="false" ht="13.5" hidden="false" customHeight="false" outlineLevel="0" collapsed="false">
      <c r="A1460" s="0" t="s">
        <v>3348</v>
      </c>
      <c r="B1460" s="0" t="s">
        <v>3349</v>
      </c>
      <c r="C1460" s="0" t="s">
        <v>31</v>
      </c>
      <c r="D1460" s="0" t="s">
        <v>1592</v>
      </c>
    </row>
    <row r="1461" customFormat="false" ht="13.5" hidden="false" customHeight="false" outlineLevel="0" collapsed="false">
      <c r="A1461" s="0" t="s">
        <v>3350</v>
      </c>
      <c r="B1461" s="0" t="s">
        <v>3351</v>
      </c>
      <c r="C1461" s="0" t="s">
        <v>31</v>
      </c>
      <c r="D1461" s="0" t="s">
        <v>1527</v>
      </c>
    </row>
    <row r="1462" customFormat="false" ht="13.5" hidden="false" customHeight="false" outlineLevel="0" collapsed="false">
      <c r="A1462" s="0" t="s">
        <v>3352</v>
      </c>
      <c r="B1462" s="0" t="s">
        <v>3353</v>
      </c>
      <c r="C1462" s="0" t="s">
        <v>31</v>
      </c>
      <c r="D1462" s="0" t="s">
        <v>3354</v>
      </c>
    </row>
    <row r="1463" customFormat="false" ht="13.5" hidden="false" customHeight="false" outlineLevel="0" collapsed="false">
      <c r="A1463" s="0" t="s">
        <v>3355</v>
      </c>
      <c r="B1463" s="0" t="s">
        <v>3356</v>
      </c>
      <c r="C1463" s="0" t="s">
        <v>31</v>
      </c>
      <c r="D1463" s="0" t="s">
        <v>3020</v>
      </c>
    </row>
    <row r="1464" customFormat="false" ht="13.5" hidden="false" customHeight="false" outlineLevel="0" collapsed="false">
      <c r="A1464" s="0" t="s">
        <v>3357</v>
      </c>
      <c r="B1464" s="0" t="s">
        <v>3358</v>
      </c>
      <c r="C1464" s="0" t="s">
        <v>31</v>
      </c>
      <c r="D1464" s="0" t="s">
        <v>2072</v>
      </c>
    </row>
    <row r="1465" customFormat="false" ht="13.5" hidden="false" customHeight="false" outlineLevel="0" collapsed="false">
      <c r="A1465" s="0" t="s">
        <v>3359</v>
      </c>
      <c r="B1465" s="0" t="s">
        <v>3360</v>
      </c>
      <c r="C1465" s="0" t="s">
        <v>31</v>
      </c>
      <c r="D1465" s="0" t="s">
        <v>413</v>
      </c>
      <c r="E1465" s="0" t="s">
        <v>348</v>
      </c>
    </row>
    <row r="1466" customFormat="false" ht="13.5" hidden="false" customHeight="false" outlineLevel="0" collapsed="false">
      <c r="A1466" s="0" t="s">
        <v>3361</v>
      </c>
      <c r="B1466" s="0" t="s">
        <v>3269</v>
      </c>
      <c r="C1466" s="0" t="s">
        <v>31</v>
      </c>
      <c r="D1466" s="0" t="s">
        <v>1737</v>
      </c>
    </row>
    <row r="1467" customFormat="false" ht="13.5" hidden="false" customHeight="false" outlineLevel="0" collapsed="false">
      <c r="A1467" s="0" t="s">
        <v>3362</v>
      </c>
      <c r="B1467" s="0" t="s">
        <v>3363</v>
      </c>
      <c r="C1467" s="0" t="s">
        <v>31</v>
      </c>
      <c r="D1467" s="0" t="s">
        <v>2878</v>
      </c>
    </row>
    <row r="1468" customFormat="false" ht="13.5" hidden="false" customHeight="false" outlineLevel="0" collapsed="false">
      <c r="A1468" s="0" t="s">
        <v>3364</v>
      </c>
      <c r="B1468" s="0" t="s">
        <v>3365</v>
      </c>
      <c r="C1468" s="0" t="s">
        <v>31</v>
      </c>
      <c r="D1468" s="0" t="s">
        <v>2678</v>
      </c>
    </row>
    <row r="1469" customFormat="false" ht="13.5" hidden="false" customHeight="false" outlineLevel="0" collapsed="false">
      <c r="A1469" s="0" t="s">
        <v>3366</v>
      </c>
      <c r="B1469" s="0" t="s">
        <v>3367</v>
      </c>
      <c r="C1469" s="0" t="s">
        <v>31</v>
      </c>
      <c r="D1469" s="0" t="s">
        <v>2072</v>
      </c>
    </row>
    <row r="1470" customFormat="false" ht="13.5" hidden="false" customHeight="false" outlineLevel="0" collapsed="false">
      <c r="A1470" s="0" t="s">
        <v>3368</v>
      </c>
      <c r="B1470" s="0" t="s">
        <v>3369</v>
      </c>
      <c r="C1470" s="0" t="s">
        <v>31</v>
      </c>
      <c r="D1470" s="0" t="s">
        <v>1592</v>
      </c>
    </row>
    <row r="1471" customFormat="false" ht="13.5" hidden="false" customHeight="false" outlineLevel="0" collapsed="false">
      <c r="A1471" s="0" t="s">
        <v>3370</v>
      </c>
      <c r="B1471" s="0" t="s">
        <v>3371</v>
      </c>
      <c r="C1471" s="0" t="s">
        <v>31</v>
      </c>
      <c r="D1471" s="0" t="s">
        <v>2552</v>
      </c>
    </row>
    <row r="1472" customFormat="false" ht="13.5" hidden="false" customHeight="false" outlineLevel="0" collapsed="false">
      <c r="A1472" s="0" t="s">
        <v>3372</v>
      </c>
      <c r="B1472" s="0" t="s">
        <v>3373</v>
      </c>
      <c r="C1472" s="0" t="s">
        <v>31</v>
      </c>
      <c r="D1472" s="0" t="s">
        <v>1592</v>
      </c>
    </row>
    <row r="1473" customFormat="false" ht="13.5" hidden="false" customHeight="false" outlineLevel="0" collapsed="false">
      <c r="A1473" s="0" t="s">
        <v>3374</v>
      </c>
      <c r="B1473" s="0" t="s">
        <v>3375</v>
      </c>
      <c r="C1473" s="0" t="s">
        <v>31</v>
      </c>
      <c r="D1473" s="0" t="s">
        <v>1508</v>
      </c>
    </row>
    <row r="1474" customFormat="false" ht="13.5" hidden="false" customHeight="false" outlineLevel="0" collapsed="false">
      <c r="A1474" s="0" t="s">
        <v>3376</v>
      </c>
      <c r="B1474" s="0" t="s">
        <v>3377</v>
      </c>
      <c r="C1474" s="0" t="s">
        <v>31</v>
      </c>
      <c r="D1474" s="0" t="s">
        <v>1737</v>
      </c>
    </row>
    <row r="1475" customFormat="false" ht="13.5" hidden="false" customHeight="false" outlineLevel="0" collapsed="false">
      <c r="A1475" s="0" t="s">
        <v>3378</v>
      </c>
      <c r="B1475" s="0" t="s">
        <v>3379</v>
      </c>
      <c r="C1475" s="0" t="s">
        <v>31</v>
      </c>
      <c r="D1475" s="0" t="s">
        <v>413</v>
      </c>
      <c r="F1475" s="0" t="s">
        <v>3380</v>
      </c>
    </row>
    <row r="1476" customFormat="false" ht="13.5" hidden="false" customHeight="false" outlineLevel="0" collapsed="false">
      <c r="A1476" s="0" t="s">
        <v>3381</v>
      </c>
      <c r="B1476" s="0" t="s">
        <v>3382</v>
      </c>
      <c r="C1476" s="0" t="s">
        <v>31</v>
      </c>
      <c r="D1476" s="0" t="s">
        <v>2878</v>
      </c>
    </row>
    <row r="1477" customFormat="false" ht="13.5" hidden="false" customHeight="false" outlineLevel="0" collapsed="false">
      <c r="A1477" s="0" t="s">
        <v>3383</v>
      </c>
      <c r="B1477" s="0" t="s">
        <v>3384</v>
      </c>
      <c r="C1477" s="0" t="s">
        <v>31</v>
      </c>
      <c r="D1477" s="0" t="s">
        <v>1592</v>
      </c>
    </row>
    <row r="1478" customFormat="false" ht="13.5" hidden="false" customHeight="false" outlineLevel="0" collapsed="false">
      <c r="A1478" s="0" t="s">
        <v>3385</v>
      </c>
      <c r="B1478" s="0" t="s">
        <v>3386</v>
      </c>
      <c r="C1478" s="0" t="s">
        <v>31</v>
      </c>
      <c r="D1478" s="0" t="s">
        <v>2072</v>
      </c>
    </row>
    <row r="1479" customFormat="false" ht="13.5" hidden="false" customHeight="false" outlineLevel="0" collapsed="false">
      <c r="A1479" s="0" t="s">
        <v>3387</v>
      </c>
      <c r="B1479" s="0" t="s">
        <v>3388</v>
      </c>
      <c r="C1479" s="0" t="s">
        <v>31</v>
      </c>
      <c r="D1479" s="0" t="s">
        <v>19</v>
      </c>
      <c r="E1479" s="0" t="s">
        <v>200</v>
      </c>
      <c r="F1479" s="0" t="s">
        <v>60</v>
      </c>
    </row>
    <row r="1480" customFormat="false" ht="13.5" hidden="false" customHeight="false" outlineLevel="0" collapsed="false">
      <c r="A1480" s="0" t="s">
        <v>3389</v>
      </c>
      <c r="B1480" s="0" t="s">
        <v>3390</v>
      </c>
      <c r="C1480" s="0" t="s">
        <v>31</v>
      </c>
      <c r="D1480" s="0" t="s">
        <v>3276</v>
      </c>
    </row>
    <row r="1481" customFormat="false" ht="13.5" hidden="false" customHeight="false" outlineLevel="0" collapsed="false">
      <c r="A1481" s="0" t="s">
        <v>3391</v>
      </c>
      <c r="B1481" s="0" t="s">
        <v>3392</v>
      </c>
      <c r="C1481" s="0" t="s">
        <v>31</v>
      </c>
      <c r="D1481" s="0" t="s">
        <v>2444</v>
      </c>
    </row>
    <row r="1482" customFormat="false" ht="13.5" hidden="false" customHeight="false" outlineLevel="0" collapsed="false">
      <c r="A1482" s="0" t="s">
        <v>3393</v>
      </c>
      <c r="B1482" s="0" t="s">
        <v>3394</v>
      </c>
      <c r="C1482" s="0" t="s">
        <v>31</v>
      </c>
      <c r="D1482" s="0" t="s">
        <v>3395</v>
      </c>
    </row>
    <row r="1483" customFormat="false" ht="13.5" hidden="false" customHeight="false" outlineLevel="0" collapsed="false">
      <c r="A1483" s="0" t="s">
        <v>3396</v>
      </c>
      <c r="B1483" s="0" t="s">
        <v>3397</v>
      </c>
      <c r="C1483" s="0" t="s">
        <v>31</v>
      </c>
      <c r="D1483" s="0" t="s">
        <v>69</v>
      </c>
    </row>
    <row r="1484" customFormat="false" ht="13.5" hidden="false" customHeight="false" outlineLevel="0" collapsed="false">
      <c r="A1484" s="0" t="s">
        <v>3398</v>
      </c>
      <c r="B1484" s="0" t="s">
        <v>3399</v>
      </c>
      <c r="C1484" s="0" t="s">
        <v>31</v>
      </c>
      <c r="D1484" s="0" t="s">
        <v>2072</v>
      </c>
    </row>
    <row r="1485" customFormat="false" ht="13.5" hidden="false" customHeight="false" outlineLevel="0" collapsed="false">
      <c r="A1485" s="0" t="s">
        <v>3400</v>
      </c>
      <c r="B1485" s="0" t="s">
        <v>3401</v>
      </c>
      <c r="C1485" s="0" t="s">
        <v>31</v>
      </c>
      <c r="D1485" s="0" t="s">
        <v>413</v>
      </c>
      <c r="E1485" s="0" t="s">
        <v>32</v>
      </c>
    </row>
    <row r="1486" customFormat="false" ht="13.5" hidden="false" customHeight="false" outlineLevel="0" collapsed="false">
      <c r="A1486" s="0" t="s">
        <v>3402</v>
      </c>
      <c r="B1486" s="0" t="s">
        <v>3403</v>
      </c>
      <c r="C1486" s="0" t="s">
        <v>31</v>
      </c>
      <c r="D1486" s="0" t="s">
        <v>1704</v>
      </c>
    </row>
    <row r="1487" customFormat="false" ht="13.5" hidden="false" customHeight="false" outlineLevel="0" collapsed="false">
      <c r="A1487" s="0" t="s">
        <v>3404</v>
      </c>
      <c r="B1487" s="0" t="s">
        <v>3405</v>
      </c>
      <c r="C1487" s="0" t="s">
        <v>31</v>
      </c>
      <c r="D1487" s="0" t="s">
        <v>3406</v>
      </c>
    </row>
    <row r="1488" customFormat="false" ht="13.5" hidden="false" customHeight="false" outlineLevel="0" collapsed="false">
      <c r="A1488" s="0" t="s">
        <v>3407</v>
      </c>
      <c r="B1488" s="0" t="s">
        <v>3408</v>
      </c>
      <c r="C1488" s="0" t="s">
        <v>31</v>
      </c>
      <c r="D1488" s="0" t="s">
        <v>3409</v>
      </c>
    </row>
    <row r="1489" customFormat="false" ht="13.5" hidden="false" customHeight="false" outlineLevel="0" collapsed="false">
      <c r="A1489" s="0" t="s">
        <v>3410</v>
      </c>
      <c r="B1489" s="0" t="s">
        <v>3411</v>
      </c>
      <c r="C1489" s="0" t="s">
        <v>31</v>
      </c>
      <c r="D1489" s="0" t="s">
        <v>1592</v>
      </c>
    </row>
    <row r="1490" customFormat="false" ht="13.5" hidden="false" customHeight="false" outlineLevel="0" collapsed="false">
      <c r="A1490" s="0" t="s">
        <v>3412</v>
      </c>
      <c r="B1490" s="0" t="s">
        <v>3413</v>
      </c>
      <c r="C1490" s="0" t="s">
        <v>31</v>
      </c>
      <c r="D1490" s="0" t="s">
        <v>19</v>
      </c>
      <c r="E1490" s="0" t="s">
        <v>122</v>
      </c>
      <c r="F1490" s="0" t="s">
        <v>1152</v>
      </c>
    </row>
    <row r="1491" customFormat="false" ht="13.5" hidden="false" customHeight="false" outlineLevel="0" collapsed="false">
      <c r="A1491" s="0" t="s">
        <v>3414</v>
      </c>
      <c r="B1491" s="0" t="s">
        <v>3415</v>
      </c>
      <c r="C1491" s="0" t="s">
        <v>31</v>
      </c>
      <c r="D1491" s="0" t="s">
        <v>1704</v>
      </c>
      <c r="F1491" s="0" t="s">
        <v>60</v>
      </c>
    </row>
    <row r="1492" customFormat="false" ht="13.5" hidden="false" customHeight="false" outlineLevel="0" collapsed="false">
      <c r="A1492" s="0" t="s">
        <v>3416</v>
      </c>
      <c r="B1492" s="0" t="s">
        <v>3417</v>
      </c>
      <c r="C1492" s="0" t="s">
        <v>31</v>
      </c>
      <c r="D1492" s="0" t="s">
        <v>3196</v>
      </c>
    </row>
    <row r="1493" customFormat="false" ht="13.5" hidden="false" customHeight="false" outlineLevel="0" collapsed="false">
      <c r="A1493" s="0" t="s">
        <v>3418</v>
      </c>
      <c r="B1493" s="0" t="s">
        <v>3419</v>
      </c>
      <c r="C1493" s="0" t="s">
        <v>31</v>
      </c>
      <c r="D1493" s="0" t="s">
        <v>2598</v>
      </c>
    </row>
    <row r="1494" customFormat="false" ht="13.5" hidden="false" customHeight="false" outlineLevel="0" collapsed="false">
      <c r="A1494" s="0" t="s">
        <v>3420</v>
      </c>
      <c r="B1494" s="0" t="s">
        <v>3421</v>
      </c>
      <c r="C1494" s="0" t="s">
        <v>31</v>
      </c>
      <c r="D1494" s="0" t="s">
        <v>1704</v>
      </c>
    </row>
    <row r="1495" customFormat="false" ht="13.5" hidden="false" customHeight="false" outlineLevel="0" collapsed="false">
      <c r="A1495" s="0" t="s">
        <v>3422</v>
      </c>
      <c r="B1495" s="0" t="s">
        <v>3423</v>
      </c>
      <c r="C1495" s="0" t="s">
        <v>31</v>
      </c>
      <c r="D1495" s="0" t="s">
        <v>19</v>
      </c>
      <c r="E1495" s="0" t="s">
        <v>710</v>
      </c>
      <c r="F1495" s="0" t="s">
        <v>60</v>
      </c>
    </row>
    <row r="1496" customFormat="false" ht="13.5" hidden="false" customHeight="false" outlineLevel="0" collapsed="false">
      <c r="A1496" s="0" t="s">
        <v>3424</v>
      </c>
      <c r="B1496" s="0" t="s">
        <v>3425</v>
      </c>
      <c r="C1496" s="0" t="s">
        <v>31</v>
      </c>
      <c r="D1496" s="0" t="s">
        <v>413</v>
      </c>
      <c r="E1496" s="0" t="s">
        <v>263</v>
      </c>
    </row>
    <row r="1497" customFormat="false" ht="13.5" hidden="false" customHeight="false" outlineLevel="0" collapsed="false">
      <c r="A1497" s="0" t="s">
        <v>3426</v>
      </c>
      <c r="B1497" s="0" t="s">
        <v>3427</v>
      </c>
      <c r="C1497" s="0" t="s">
        <v>31</v>
      </c>
      <c r="D1497" s="0" t="s">
        <v>2072</v>
      </c>
    </row>
    <row r="1498" customFormat="false" ht="13.5" hidden="false" customHeight="false" outlineLevel="0" collapsed="false">
      <c r="A1498" s="0" t="s">
        <v>3428</v>
      </c>
      <c r="B1498" s="0" t="s">
        <v>3429</v>
      </c>
      <c r="C1498" s="0" t="s">
        <v>31</v>
      </c>
      <c r="D1498" s="0" t="s">
        <v>2072</v>
      </c>
    </row>
    <row r="1499" customFormat="false" ht="13.5" hidden="false" customHeight="false" outlineLevel="0" collapsed="false">
      <c r="A1499" s="0" t="s">
        <v>3430</v>
      </c>
      <c r="B1499" s="0" t="s">
        <v>3431</v>
      </c>
      <c r="C1499" s="0" t="s">
        <v>31</v>
      </c>
      <c r="D1499" s="0" t="s">
        <v>413</v>
      </c>
      <c r="E1499" s="0" t="s">
        <v>98</v>
      </c>
    </row>
    <row r="1500" customFormat="false" ht="13.5" hidden="false" customHeight="false" outlineLevel="0" collapsed="false">
      <c r="A1500" s="0" t="s">
        <v>3432</v>
      </c>
      <c r="B1500" s="0" t="s">
        <v>3433</v>
      </c>
      <c r="C1500" s="0" t="s">
        <v>31</v>
      </c>
      <c r="D1500" s="0" t="s">
        <v>2072</v>
      </c>
    </row>
    <row r="1501" customFormat="false" ht="13.5" hidden="false" customHeight="false" outlineLevel="0" collapsed="false">
      <c r="A1501" s="0" t="s">
        <v>3434</v>
      </c>
      <c r="B1501" s="0" t="s">
        <v>3435</v>
      </c>
      <c r="C1501" s="0" t="s">
        <v>31</v>
      </c>
      <c r="D1501" s="0" t="s">
        <v>1704</v>
      </c>
    </row>
    <row r="1502" customFormat="false" ht="13.5" hidden="false" customHeight="false" outlineLevel="0" collapsed="false">
      <c r="A1502" s="0" t="s">
        <v>3436</v>
      </c>
      <c r="B1502" s="0" t="s">
        <v>3437</v>
      </c>
      <c r="C1502" s="0" t="s">
        <v>31</v>
      </c>
      <c r="D1502" s="0" t="s">
        <v>19</v>
      </c>
      <c r="E1502" s="0" t="s">
        <v>410</v>
      </c>
      <c r="F1502" s="0" t="s">
        <v>60</v>
      </c>
      <c r="G1502" s="0" t="s">
        <v>1152</v>
      </c>
    </row>
    <row r="1503" customFormat="false" ht="13.5" hidden="false" customHeight="false" outlineLevel="0" collapsed="false">
      <c r="A1503" s="0" t="s">
        <v>3438</v>
      </c>
      <c r="B1503" s="0" t="s">
        <v>3439</v>
      </c>
      <c r="C1503" s="0" t="s">
        <v>31</v>
      </c>
      <c r="D1503" s="0" t="s">
        <v>2386</v>
      </c>
    </row>
    <row r="1504" customFormat="false" ht="13.5" hidden="false" customHeight="false" outlineLevel="0" collapsed="false">
      <c r="A1504" s="0" t="s">
        <v>3440</v>
      </c>
      <c r="B1504" s="0" t="s">
        <v>3441</v>
      </c>
      <c r="C1504" s="0" t="s">
        <v>31</v>
      </c>
      <c r="D1504" s="0" t="s">
        <v>2072</v>
      </c>
    </row>
    <row r="1505" customFormat="false" ht="13.5" hidden="false" customHeight="false" outlineLevel="0" collapsed="false">
      <c r="A1505" s="0" t="s">
        <v>3442</v>
      </c>
      <c r="B1505" s="0" t="s">
        <v>1929</v>
      </c>
      <c r="C1505" s="0" t="s">
        <v>31</v>
      </c>
      <c r="D1505" s="0" t="s">
        <v>3020</v>
      </c>
    </row>
    <row r="1506" customFormat="false" ht="13.5" hidden="false" customHeight="false" outlineLevel="0" collapsed="false">
      <c r="A1506" s="0" t="s">
        <v>3443</v>
      </c>
      <c r="B1506" s="0" t="s">
        <v>3444</v>
      </c>
      <c r="C1506" s="0" t="s">
        <v>31</v>
      </c>
      <c r="D1506" s="0" t="s">
        <v>16</v>
      </c>
      <c r="E1506" s="0" t="s">
        <v>936</v>
      </c>
      <c r="F1506" s="0" t="s">
        <v>1669</v>
      </c>
    </row>
    <row r="1507" customFormat="false" ht="13.5" hidden="false" customHeight="false" outlineLevel="0" collapsed="false">
      <c r="A1507" s="0" t="s">
        <v>3445</v>
      </c>
      <c r="B1507" s="0" t="s">
        <v>3446</v>
      </c>
      <c r="C1507" s="0" t="s">
        <v>31</v>
      </c>
      <c r="D1507" s="0" t="s">
        <v>1737</v>
      </c>
    </row>
    <row r="1508" customFormat="false" ht="13.5" hidden="false" customHeight="false" outlineLevel="0" collapsed="false">
      <c r="A1508" s="0" t="s">
        <v>3447</v>
      </c>
      <c r="B1508" s="0" t="s">
        <v>3448</v>
      </c>
      <c r="C1508" s="0" t="s">
        <v>31</v>
      </c>
      <c r="D1508" s="0" t="s">
        <v>19</v>
      </c>
      <c r="E1508" s="0" t="s">
        <v>12</v>
      </c>
      <c r="F1508" s="0" t="s">
        <v>1901</v>
      </c>
    </row>
    <row r="1509" customFormat="false" ht="13.5" hidden="false" customHeight="false" outlineLevel="0" collapsed="false">
      <c r="A1509" s="0" t="s">
        <v>3449</v>
      </c>
      <c r="B1509" s="0" t="s">
        <v>3450</v>
      </c>
      <c r="C1509" s="0" t="s">
        <v>31</v>
      </c>
      <c r="D1509" s="0" t="s">
        <v>1592</v>
      </c>
    </row>
    <row r="1510" customFormat="false" ht="13.5" hidden="false" customHeight="false" outlineLevel="0" collapsed="false">
      <c r="A1510" s="0" t="s">
        <v>3451</v>
      </c>
      <c r="B1510" s="0" t="s">
        <v>3452</v>
      </c>
      <c r="C1510" s="0" t="s">
        <v>31</v>
      </c>
      <c r="D1510" s="0" t="s">
        <v>1527</v>
      </c>
    </row>
    <row r="1511" customFormat="false" ht="13.5" hidden="false" customHeight="false" outlineLevel="0" collapsed="false">
      <c r="A1511" s="0" t="s">
        <v>3453</v>
      </c>
      <c r="B1511" s="0" t="s">
        <v>3454</v>
      </c>
      <c r="C1511" s="0" t="s">
        <v>31</v>
      </c>
      <c r="D1511" s="0" t="s">
        <v>2072</v>
      </c>
    </row>
    <row r="1512" customFormat="false" ht="13.5" hidden="false" customHeight="false" outlineLevel="0" collapsed="false">
      <c r="A1512" s="0" t="s">
        <v>3455</v>
      </c>
      <c r="B1512" s="0" t="s">
        <v>3456</v>
      </c>
      <c r="C1512" s="0" t="s">
        <v>31</v>
      </c>
      <c r="D1512" s="0" t="s">
        <v>1505</v>
      </c>
    </row>
    <row r="1513" customFormat="false" ht="13.5" hidden="false" customHeight="false" outlineLevel="0" collapsed="false">
      <c r="A1513" s="0" t="s">
        <v>3457</v>
      </c>
      <c r="B1513" s="0" t="s">
        <v>3458</v>
      </c>
      <c r="C1513" s="0" t="s">
        <v>31</v>
      </c>
      <c r="D1513" s="0" t="s">
        <v>1527</v>
      </c>
    </row>
    <row r="1514" customFormat="false" ht="13.5" hidden="false" customHeight="false" outlineLevel="0" collapsed="false">
      <c r="A1514" s="0" t="s">
        <v>3459</v>
      </c>
      <c r="B1514" s="0" t="s">
        <v>3460</v>
      </c>
      <c r="C1514" s="0" t="s">
        <v>31</v>
      </c>
      <c r="D1514" s="0" t="s">
        <v>1592</v>
      </c>
    </row>
    <row r="1515" customFormat="false" ht="13.5" hidden="false" customHeight="false" outlineLevel="0" collapsed="false">
      <c r="A1515" s="0" t="s">
        <v>3461</v>
      </c>
      <c r="B1515" s="0" t="s">
        <v>3462</v>
      </c>
      <c r="C1515" s="0" t="s">
        <v>31</v>
      </c>
      <c r="D1515" s="0" t="s">
        <v>16</v>
      </c>
      <c r="E1515" s="0" t="s">
        <v>53</v>
      </c>
      <c r="F1515" s="0" t="s">
        <v>1669</v>
      </c>
    </row>
    <row r="1516" customFormat="false" ht="13.5" hidden="false" customHeight="false" outlineLevel="0" collapsed="false">
      <c r="A1516" s="0" t="s">
        <v>3463</v>
      </c>
      <c r="B1516" s="0" t="s">
        <v>3464</v>
      </c>
      <c r="C1516" s="0" t="s">
        <v>31</v>
      </c>
      <c r="D1516" s="0" t="s">
        <v>1651</v>
      </c>
    </row>
    <row r="1517" customFormat="false" ht="13.5" hidden="false" customHeight="false" outlineLevel="0" collapsed="false">
      <c r="A1517" s="0" t="s">
        <v>3465</v>
      </c>
      <c r="B1517" s="0" t="s">
        <v>3466</v>
      </c>
      <c r="C1517" s="0" t="s">
        <v>31</v>
      </c>
      <c r="D1517" s="0" t="s">
        <v>1924</v>
      </c>
    </row>
    <row r="1518" customFormat="false" ht="13.5" hidden="false" customHeight="false" outlineLevel="0" collapsed="false">
      <c r="A1518" s="0" t="s">
        <v>3467</v>
      </c>
      <c r="B1518" s="0" t="s">
        <v>3468</v>
      </c>
      <c r="C1518" s="0" t="s">
        <v>31</v>
      </c>
      <c r="D1518" s="0" t="s">
        <v>3469</v>
      </c>
    </row>
    <row r="1519" customFormat="false" ht="13.5" hidden="false" customHeight="false" outlineLevel="0" collapsed="false">
      <c r="A1519" s="0" t="s">
        <v>3470</v>
      </c>
      <c r="B1519" s="0" t="s">
        <v>3471</v>
      </c>
      <c r="C1519" s="0" t="s">
        <v>31</v>
      </c>
      <c r="D1519" s="0" t="s">
        <v>19</v>
      </c>
      <c r="E1519" s="0" t="s">
        <v>122</v>
      </c>
      <c r="F1519" s="0" t="s">
        <v>60</v>
      </c>
    </row>
    <row r="1520" customFormat="false" ht="13.5" hidden="false" customHeight="false" outlineLevel="0" collapsed="false">
      <c r="A1520" s="0" t="s">
        <v>3472</v>
      </c>
      <c r="B1520" s="0" t="s">
        <v>3473</v>
      </c>
      <c r="C1520" s="0" t="s">
        <v>31</v>
      </c>
      <c r="D1520" s="0" t="s">
        <v>413</v>
      </c>
      <c r="E1520" s="0" t="s">
        <v>98</v>
      </c>
    </row>
    <row r="1521" customFormat="false" ht="13.5" hidden="false" customHeight="false" outlineLevel="0" collapsed="false">
      <c r="A1521" s="0" t="s">
        <v>3474</v>
      </c>
      <c r="B1521" s="0" t="s">
        <v>3475</v>
      </c>
      <c r="C1521" s="0" t="s">
        <v>31</v>
      </c>
      <c r="D1521" s="0" t="s">
        <v>2552</v>
      </c>
    </row>
    <row r="1522" customFormat="false" ht="13.5" hidden="false" customHeight="false" outlineLevel="0" collapsed="false">
      <c r="A1522" s="0" t="s">
        <v>3476</v>
      </c>
      <c r="B1522" s="0" t="s">
        <v>3477</v>
      </c>
      <c r="C1522" s="0" t="s">
        <v>31</v>
      </c>
      <c r="D1522" s="0" t="s">
        <v>413</v>
      </c>
      <c r="E1522" s="0" t="s">
        <v>766</v>
      </c>
      <c r="F1522" s="0" t="s">
        <v>60</v>
      </c>
    </row>
    <row r="1523" customFormat="false" ht="13.5" hidden="false" customHeight="false" outlineLevel="0" collapsed="false">
      <c r="A1523" s="0" t="s">
        <v>3478</v>
      </c>
      <c r="B1523" s="0" t="s">
        <v>3479</v>
      </c>
      <c r="C1523" s="0" t="s">
        <v>31</v>
      </c>
      <c r="D1523" s="0" t="s">
        <v>1592</v>
      </c>
    </row>
    <row r="1524" customFormat="false" ht="13.5" hidden="false" customHeight="false" outlineLevel="0" collapsed="false">
      <c r="A1524" s="0" t="s">
        <v>3480</v>
      </c>
      <c r="B1524" s="0" t="s">
        <v>3481</v>
      </c>
      <c r="C1524" s="0" t="s">
        <v>31</v>
      </c>
      <c r="D1524" s="0" t="s">
        <v>413</v>
      </c>
      <c r="E1524" s="0" t="s">
        <v>287</v>
      </c>
    </row>
    <row r="1525" customFormat="false" ht="13.5" hidden="false" customHeight="false" outlineLevel="0" collapsed="false">
      <c r="A1525" s="0" t="s">
        <v>3482</v>
      </c>
      <c r="B1525" s="0" t="s">
        <v>3483</v>
      </c>
      <c r="C1525" s="0" t="s">
        <v>31</v>
      </c>
      <c r="D1525" s="0" t="s">
        <v>1957</v>
      </c>
    </row>
    <row r="1526" customFormat="false" ht="13.5" hidden="false" customHeight="false" outlineLevel="0" collapsed="false">
      <c r="A1526" s="0" t="s">
        <v>3484</v>
      </c>
      <c r="B1526" s="0" t="s">
        <v>3485</v>
      </c>
      <c r="C1526" s="0" t="s">
        <v>31</v>
      </c>
      <c r="D1526" s="0" t="s">
        <v>2072</v>
      </c>
    </row>
    <row r="1527" customFormat="false" ht="13.5" hidden="false" customHeight="false" outlineLevel="0" collapsed="false">
      <c r="A1527" s="0" t="s">
        <v>3486</v>
      </c>
      <c r="B1527" s="0" t="s">
        <v>3487</v>
      </c>
      <c r="C1527" s="0" t="s">
        <v>31</v>
      </c>
      <c r="D1527" s="0" t="s">
        <v>2072</v>
      </c>
    </row>
    <row r="1528" customFormat="false" ht="13.5" hidden="false" customHeight="false" outlineLevel="0" collapsed="false">
      <c r="A1528" s="0" t="s">
        <v>3488</v>
      </c>
      <c r="B1528" s="0" t="s">
        <v>3489</v>
      </c>
      <c r="C1528" s="0" t="s">
        <v>31</v>
      </c>
      <c r="D1528" s="0" t="s">
        <v>2552</v>
      </c>
    </row>
    <row r="1529" customFormat="false" ht="13.5" hidden="false" customHeight="false" outlineLevel="0" collapsed="false">
      <c r="A1529" s="0" t="s">
        <v>3490</v>
      </c>
      <c r="B1529" s="0" t="s">
        <v>3491</v>
      </c>
      <c r="C1529" s="0" t="s">
        <v>31</v>
      </c>
      <c r="D1529" s="0" t="s">
        <v>1508</v>
      </c>
    </row>
    <row r="1530" customFormat="false" ht="13.5" hidden="false" customHeight="false" outlineLevel="0" collapsed="false">
      <c r="A1530" s="0" t="s">
        <v>3492</v>
      </c>
      <c r="B1530" s="0" t="s">
        <v>3493</v>
      </c>
      <c r="C1530" s="0" t="s">
        <v>31</v>
      </c>
      <c r="D1530" s="0" t="s">
        <v>1540</v>
      </c>
    </row>
    <row r="1531" customFormat="false" ht="13.5" hidden="false" customHeight="false" outlineLevel="0" collapsed="false">
      <c r="A1531" s="0" t="s">
        <v>3494</v>
      </c>
      <c r="B1531" s="0" t="s">
        <v>3495</v>
      </c>
      <c r="C1531" s="0" t="s">
        <v>31</v>
      </c>
      <c r="D1531" s="0" t="s">
        <v>2072</v>
      </c>
    </row>
    <row r="1532" customFormat="false" ht="13.5" hidden="false" customHeight="false" outlineLevel="0" collapsed="false">
      <c r="A1532" s="0" t="s">
        <v>3496</v>
      </c>
      <c r="B1532" s="0" t="s">
        <v>2288</v>
      </c>
      <c r="C1532" s="0" t="s">
        <v>31</v>
      </c>
      <c r="D1532" s="0" t="s">
        <v>3469</v>
      </c>
    </row>
    <row r="1533" customFormat="false" ht="13.5" hidden="false" customHeight="false" outlineLevel="0" collapsed="false">
      <c r="A1533" s="0" t="s">
        <v>3497</v>
      </c>
      <c r="B1533" s="0" t="s">
        <v>3498</v>
      </c>
      <c r="C1533" s="0" t="s">
        <v>31</v>
      </c>
      <c r="D1533" s="0" t="s">
        <v>1704</v>
      </c>
    </row>
    <row r="1534" customFormat="false" ht="13.5" hidden="false" customHeight="false" outlineLevel="0" collapsed="false">
      <c r="A1534" s="0" t="s">
        <v>3499</v>
      </c>
      <c r="B1534" s="0" t="s">
        <v>3500</v>
      </c>
      <c r="C1534" s="0" t="s">
        <v>31</v>
      </c>
      <c r="D1534" s="0" t="s">
        <v>413</v>
      </c>
      <c r="E1534" s="0" t="s">
        <v>98</v>
      </c>
    </row>
    <row r="1535" customFormat="false" ht="13.5" hidden="false" customHeight="false" outlineLevel="0" collapsed="false">
      <c r="A1535" s="0" t="s">
        <v>3501</v>
      </c>
      <c r="B1535" s="0" t="s">
        <v>3502</v>
      </c>
      <c r="C1535" s="0" t="s">
        <v>31</v>
      </c>
      <c r="D1535" s="0" t="s">
        <v>69</v>
      </c>
    </row>
    <row r="1536" customFormat="false" ht="13.5" hidden="false" customHeight="false" outlineLevel="0" collapsed="false">
      <c r="A1536" s="0" t="s">
        <v>3503</v>
      </c>
      <c r="B1536" s="0" t="s">
        <v>3504</v>
      </c>
      <c r="C1536" s="0" t="s">
        <v>31</v>
      </c>
      <c r="D1536" s="0" t="s">
        <v>413</v>
      </c>
      <c r="E1536" s="0" t="s">
        <v>898</v>
      </c>
    </row>
    <row r="1537" customFormat="false" ht="13.5" hidden="false" customHeight="false" outlineLevel="0" collapsed="false">
      <c r="A1537" s="0" t="s">
        <v>3505</v>
      </c>
      <c r="B1537" s="0" t="s">
        <v>3506</v>
      </c>
      <c r="C1537" s="0" t="s">
        <v>31</v>
      </c>
      <c r="D1537" s="0" t="s">
        <v>1704</v>
      </c>
    </row>
    <row r="1538" customFormat="false" ht="13.5" hidden="false" customHeight="false" outlineLevel="0" collapsed="false">
      <c r="A1538" s="0" t="s">
        <v>3507</v>
      </c>
      <c r="B1538" s="0" t="s">
        <v>3508</v>
      </c>
      <c r="C1538" s="0" t="s">
        <v>31</v>
      </c>
      <c r="D1538" s="0" t="s">
        <v>1540</v>
      </c>
    </row>
    <row r="1539" customFormat="false" ht="13.5" hidden="false" customHeight="false" outlineLevel="0" collapsed="false">
      <c r="A1539" s="0" t="s">
        <v>3509</v>
      </c>
      <c r="B1539" s="0" t="s">
        <v>3510</v>
      </c>
      <c r="C1539" s="0" t="s">
        <v>31</v>
      </c>
      <c r="D1539" s="0" t="s">
        <v>2905</v>
      </c>
    </row>
    <row r="1540" customFormat="false" ht="13.5" hidden="false" customHeight="false" outlineLevel="0" collapsed="false">
      <c r="A1540" s="0" t="s">
        <v>3511</v>
      </c>
      <c r="B1540" s="0" t="s">
        <v>3512</v>
      </c>
      <c r="C1540" s="0" t="s">
        <v>31</v>
      </c>
      <c r="D1540" s="0" t="s">
        <v>1704</v>
      </c>
    </row>
    <row r="1541" customFormat="false" ht="13.5" hidden="false" customHeight="false" outlineLevel="0" collapsed="false">
      <c r="A1541" s="0" t="s">
        <v>3513</v>
      </c>
      <c r="B1541" s="0" t="s">
        <v>3514</v>
      </c>
      <c r="C1541" s="0" t="s">
        <v>31</v>
      </c>
      <c r="D1541" s="0" t="s">
        <v>2072</v>
      </c>
    </row>
    <row r="1542" customFormat="false" ht="13.5" hidden="false" customHeight="false" outlineLevel="0" collapsed="false">
      <c r="A1542" s="0" t="s">
        <v>3515</v>
      </c>
      <c r="B1542" s="0" t="s">
        <v>3516</v>
      </c>
      <c r="C1542" s="0" t="s">
        <v>31</v>
      </c>
      <c r="D1542" s="0" t="s">
        <v>413</v>
      </c>
      <c r="E1542" s="0" t="s">
        <v>98</v>
      </c>
    </row>
    <row r="1543" customFormat="false" ht="13.5" hidden="false" customHeight="false" outlineLevel="0" collapsed="false">
      <c r="A1543" s="0" t="s">
        <v>3517</v>
      </c>
      <c r="B1543" s="0" t="s">
        <v>3518</v>
      </c>
      <c r="C1543" s="0" t="s">
        <v>31</v>
      </c>
      <c r="D1543" s="0" t="s">
        <v>1704</v>
      </c>
    </row>
    <row r="1544" customFormat="false" ht="13.5" hidden="false" customHeight="false" outlineLevel="0" collapsed="false">
      <c r="A1544" s="0" t="s">
        <v>3519</v>
      </c>
      <c r="B1544" s="0" t="s">
        <v>3520</v>
      </c>
      <c r="C1544" s="0" t="s">
        <v>31</v>
      </c>
      <c r="D1544" s="0" t="s">
        <v>2871</v>
      </c>
    </row>
    <row r="1545" customFormat="false" ht="13.5" hidden="false" customHeight="false" outlineLevel="0" collapsed="false">
      <c r="A1545" s="0" t="s">
        <v>3521</v>
      </c>
      <c r="B1545" s="0" t="s">
        <v>3522</v>
      </c>
      <c r="C1545" s="0" t="s">
        <v>31</v>
      </c>
      <c r="D1545" s="0" t="s">
        <v>3523</v>
      </c>
    </row>
    <row r="1546" customFormat="false" ht="13.5" hidden="false" customHeight="false" outlineLevel="0" collapsed="false">
      <c r="A1546" s="0" t="s">
        <v>3524</v>
      </c>
      <c r="B1546" s="0" t="s">
        <v>3525</v>
      </c>
      <c r="C1546" s="0" t="s">
        <v>31</v>
      </c>
      <c r="D1546" s="0" t="s">
        <v>16</v>
      </c>
      <c r="E1546" s="0" t="s">
        <v>53</v>
      </c>
      <c r="F1546" s="0" t="s">
        <v>1669</v>
      </c>
    </row>
    <row r="1547" customFormat="false" ht="13.5" hidden="false" customHeight="false" outlineLevel="0" collapsed="false">
      <c r="A1547" s="0" t="s">
        <v>3526</v>
      </c>
      <c r="B1547" s="0" t="s">
        <v>3527</v>
      </c>
      <c r="C1547" s="0" t="s">
        <v>31</v>
      </c>
      <c r="D1547" s="0" t="s">
        <v>1924</v>
      </c>
    </row>
    <row r="1548" customFormat="false" ht="13.5" hidden="false" customHeight="false" outlineLevel="0" collapsed="false">
      <c r="A1548" s="0" t="s">
        <v>3528</v>
      </c>
      <c r="B1548" s="0" t="s">
        <v>3529</v>
      </c>
      <c r="C1548" s="0" t="s">
        <v>31</v>
      </c>
      <c r="D1548" s="0" t="s">
        <v>1704</v>
      </c>
    </row>
    <row r="1549" customFormat="false" ht="13.5" hidden="false" customHeight="false" outlineLevel="0" collapsed="false">
      <c r="A1549" s="0" t="s">
        <v>3530</v>
      </c>
      <c r="B1549" s="0" t="s">
        <v>3531</v>
      </c>
      <c r="C1549" s="0" t="s">
        <v>31</v>
      </c>
      <c r="D1549" s="0" t="s">
        <v>1924</v>
      </c>
    </row>
    <row r="1550" customFormat="false" ht="13.5" hidden="false" customHeight="false" outlineLevel="0" collapsed="false">
      <c r="A1550" s="0" t="s">
        <v>3532</v>
      </c>
      <c r="B1550" s="0" t="s">
        <v>3533</v>
      </c>
      <c r="C1550" s="0" t="s">
        <v>31</v>
      </c>
      <c r="D1550" s="0" t="s">
        <v>1924</v>
      </c>
    </row>
    <row r="1551" customFormat="false" ht="13.5" hidden="false" customHeight="false" outlineLevel="0" collapsed="false">
      <c r="A1551" s="0" t="s">
        <v>3534</v>
      </c>
      <c r="B1551" s="0" t="s">
        <v>3535</v>
      </c>
      <c r="C1551" s="0" t="s">
        <v>31</v>
      </c>
      <c r="D1551" s="0" t="s">
        <v>1704</v>
      </c>
    </row>
    <row r="1552" customFormat="false" ht="13.5" hidden="false" customHeight="false" outlineLevel="0" collapsed="false">
      <c r="A1552" s="0" t="s">
        <v>3536</v>
      </c>
      <c r="B1552" s="0" t="s">
        <v>3537</v>
      </c>
      <c r="C1552" s="0" t="s">
        <v>31</v>
      </c>
      <c r="D1552" s="0" t="s">
        <v>16</v>
      </c>
      <c r="E1552" s="0" t="s">
        <v>36</v>
      </c>
      <c r="F1552" s="0" t="s">
        <v>1669</v>
      </c>
    </row>
    <row r="1553" customFormat="false" ht="13.5" hidden="false" customHeight="false" outlineLevel="0" collapsed="false">
      <c r="A1553" s="0" t="s">
        <v>3538</v>
      </c>
      <c r="B1553" s="0" t="s">
        <v>3539</v>
      </c>
      <c r="C1553" s="0" t="s">
        <v>31</v>
      </c>
      <c r="D1553" s="0" t="s">
        <v>1704</v>
      </c>
    </row>
    <row r="1554" customFormat="false" ht="13.5" hidden="false" customHeight="false" outlineLevel="0" collapsed="false">
      <c r="A1554" s="0" t="s">
        <v>3540</v>
      </c>
      <c r="B1554" s="0" t="s">
        <v>3541</v>
      </c>
      <c r="C1554" s="0" t="s">
        <v>31</v>
      </c>
      <c r="D1554" s="0" t="s">
        <v>2386</v>
      </c>
    </row>
    <row r="1555" customFormat="false" ht="13.5" hidden="false" customHeight="false" outlineLevel="0" collapsed="false">
      <c r="A1555" s="0" t="s">
        <v>3542</v>
      </c>
      <c r="B1555" s="0" t="s">
        <v>3543</v>
      </c>
      <c r="C1555" s="0" t="s">
        <v>31</v>
      </c>
      <c r="D1555" s="0" t="s">
        <v>3544</v>
      </c>
    </row>
    <row r="1556" customFormat="false" ht="13.5" hidden="false" customHeight="false" outlineLevel="0" collapsed="false">
      <c r="A1556" s="0" t="s">
        <v>3545</v>
      </c>
      <c r="B1556" s="0" t="s">
        <v>3546</v>
      </c>
      <c r="C1556" s="0" t="s">
        <v>31</v>
      </c>
      <c r="D1556" s="0" t="s">
        <v>3547</v>
      </c>
    </row>
    <row r="1557" customFormat="false" ht="13.5" hidden="false" customHeight="false" outlineLevel="0" collapsed="false">
      <c r="A1557" s="0" t="s">
        <v>3548</v>
      </c>
      <c r="B1557" s="0" t="s">
        <v>3549</v>
      </c>
      <c r="C1557" s="4" t="s">
        <v>31</v>
      </c>
      <c r="D1557" s="0" t="s">
        <v>413</v>
      </c>
      <c r="E1557" s="0" t="s">
        <v>1399</v>
      </c>
    </row>
    <row r="1558" customFormat="false" ht="13.5" hidden="false" customHeight="false" outlineLevel="0" collapsed="false">
      <c r="A1558" s="0" t="s">
        <v>3550</v>
      </c>
      <c r="B1558" s="0" t="s">
        <v>3551</v>
      </c>
      <c r="C1558" s="0" t="s">
        <v>31</v>
      </c>
      <c r="D1558" s="0" t="s">
        <v>1508</v>
      </c>
    </row>
    <row r="1559" customFormat="false" ht="13.5" hidden="false" customHeight="false" outlineLevel="0" collapsed="false">
      <c r="A1559" s="0" t="s">
        <v>3552</v>
      </c>
      <c r="B1559" s="0" t="s">
        <v>3553</v>
      </c>
      <c r="C1559" s="0" t="s">
        <v>31</v>
      </c>
      <c r="D1559" s="0" t="s">
        <v>1704</v>
      </c>
    </row>
    <row r="1560" customFormat="false" ht="13.5" hidden="false" customHeight="false" outlineLevel="0" collapsed="false">
      <c r="A1560" s="0" t="s">
        <v>3554</v>
      </c>
      <c r="B1560" s="0" t="s">
        <v>3555</v>
      </c>
      <c r="C1560" s="0" t="s">
        <v>31</v>
      </c>
      <c r="D1560" s="0" t="s">
        <v>1924</v>
      </c>
    </row>
    <row r="1561" customFormat="false" ht="13.5" hidden="false" customHeight="false" outlineLevel="0" collapsed="false">
      <c r="A1561" s="0" t="s">
        <v>3556</v>
      </c>
      <c r="B1561" s="0" t="s">
        <v>3557</v>
      </c>
      <c r="C1561" s="0" t="s">
        <v>31</v>
      </c>
      <c r="D1561" s="0" t="s">
        <v>16</v>
      </c>
      <c r="E1561" s="0" t="s">
        <v>36</v>
      </c>
      <c r="F1561" s="0" t="s">
        <v>1669</v>
      </c>
    </row>
    <row r="1562" customFormat="false" ht="13.5" hidden="false" customHeight="false" outlineLevel="0" collapsed="false">
      <c r="A1562" s="0" t="s">
        <v>3558</v>
      </c>
      <c r="B1562" s="0" t="s">
        <v>3559</v>
      </c>
      <c r="C1562" s="0" t="s">
        <v>31</v>
      </c>
      <c r="D1562" s="0" t="s">
        <v>1651</v>
      </c>
    </row>
    <row r="1563" customFormat="false" ht="13.5" hidden="false" customHeight="false" outlineLevel="0" collapsed="false">
      <c r="A1563" s="0" t="s">
        <v>3560</v>
      </c>
      <c r="B1563" s="0" t="s">
        <v>3561</v>
      </c>
      <c r="C1563" s="3" t="s">
        <v>31</v>
      </c>
      <c r="D1563" s="0" t="s">
        <v>1513</v>
      </c>
    </row>
    <row r="1564" customFormat="false" ht="13.5" hidden="false" customHeight="false" outlineLevel="0" collapsed="false">
      <c r="A1564" s="0" t="s">
        <v>3562</v>
      </c>
      <c r="B1564" s="0" t="s">
        <v>3563</v>
      </c>
      <c r="C1564" s="0" t="s">
        <v>31</v>
      </c>
      <c r="D1564" s="0" t="s">
        <v>1527</v>
      </c>
    </row>
    <row r="1565" customFormat="false" ht="13.5" hidden="false" customHeight="false" outlineLevel="0" collapsed="false">
      <c r="A1565" s="0" t="s">
        <v>3564</v>
      </c>
      <c r="B1565" s="0" t="s">
        <v>3565</v>
      </c>
      <c r="C1565" s="0" t="s">
        <v>31</v>
      </c>
      <c r="D1565" s="0" t="s">
        <v>1592</v>
      </c>
    </row>
    <row r="1566" customFormat="false" ht="13.5" hidden="false" customHeight="false" outlineLevel="0" collapsed="false">
      <c r="A1566" s="0" t="s">
        <v>3566</v>
      </c>
      <c r="B1566" s="0" t="s">
        <v>3567</v>
      </c>
      <c r="C1566" s="0" t="s">
        <v>31</v>
      </c>
      <c r="D1566" s="0" t="s">
        <v>19</v>
      </c>
      <c r="E1566" s="0" t="s">
        <v>1292</v>
      </c>
      <c r="F1566" s="0" t="s">
        <v>60</v>
      </c>
    </row>
    <row r="1567" customFormat="false" ht="13.5" hidden="false" customHeight="false" outlineLevel="0" collapsed="false">
      <c r="A1567" s="0" t="s">
        <v>3568</v>
      </c>
      <c r="B1567" s="0" t="s">
        <v>3569</v>
      </c>
      <c r="C1567" s="0" t="s">
        <v>31</v>
      </c>
      <c r="D1567" s="0" t="s">
        <v>19</v>
      </c>
      <c r="E1567" s="0" t="s">
        <v>869</v>
      </c>
      <c r="F1567" s="0" t="s">
        <v>60</v>
      </c>
    </row>
    <row r="1568" customFormat="false" ht="13.5" hidden="false" customHeight="false" outlineLevel="0" collapsed="false">
      <c r="A1568" s="0" t="s">
        <v>3570</v>
      </c>
      <c r="B1568" s="0" t="s">
        <v>412</v>
      </c>
      <c r="C1568" s="0" t="s">
        <v>31</v>
      </c>
      <c r="D1568" s="0" t="s">
        <v>2809</v>
      </c>
    </row>
    <row r="1569" customFormat="false" ht="13.5" hidden="false" customHeight="false" outlineLevel="0" collapsed="false">
      <c r="A1569" s="0" t="s">
        <v>3571</v>
      </c>
      <c r="B1569" s="0" t="s">
        <v>3572</v>
      </c>
      <c r="C1569" s="0" t="s">
        <v>31</v>
      </c>
      <c r="D1569" s="0" t="s">
        <v>413</v>
      </c>
      <c r="E1569" s="0" t="s">
        <v>2890</v>
      </c>
    </row>
    <row r="1570" customFormat="false" ht="13.5" hidden="false" customHeight="false" outlineLevel="0" collapsed="false">
      <c r="A1570" s="0" t="s">
        <v>3573</v>
      </c>
      <c r="B1570" s="0" t="s">
        <v>2835</v>
      </c>
      <c r="C1570" s="0" t="s">
        <v>31</v>
      </c>
      <c r="D1570" s="0" t="s">
        <v>2492</v>
      </c>
    </row>
    <row r="1571" customFormat="false" ht="13.5" hidden="false" customHeight="false" outlineLevel="0" collapsed="false">
      <c r="A1571" s="0" t="s">
        <v>3574</v>
      </c>
      <c r="B1571" s="0" t="s">
        <v>3575</v>
      </c>
      <c r="C1571" s="0" t="s">
        <v>31</v>
      </c>
      <c r="D1571" s="0" t="s">
        <v>1957</v>
      </c>
    </row>
    <row r="1572" customFormat="false" ht="13.5" hidden="false" customHeight="false" outlineLevel="0" collapsed="false">
      <c r="A1572" s="0" t="s">
        <v>3576</v>
      </c>
      <c r="B1572" s="0" t="s">
        <v>3577</v>
      </c>
      <c r="C1572" s="0" t="s">
        <v>31</v>
      </c>
      <c r="D1572" s="0" t="s">
        <v>1957</v>
      </c>
    </row>
    <row r="1573" customFormat="false" ht="13.5" hidden="false" customHeight="false" outlineLevel="0" collapsed="false">
      <c r="A1573" s="0" t="s">
        <v>3578</v>
      </c>
      <c r="B1573" s="0" t="s">
        <v>3579</v>
      </c>
      <c r="C1573" s="0" t="s">
        <v>31</v>
      </c>
      <c r="D1573" s="0" t="s">
        <v>1651</v>
      </c>
    </row>
    <row r="1574" customFormat="false" ht="13.5" hidden="false" customHeight="false" outlineLevel="0" collapsed="false">
      <c r="A1574" s="0" t="s">
        <v>3580</v>
      </c>
      <c r="B1574" s="0" t="s">
        <v>3581</v>
      </c>
      <c r="C1574" s="0" t="s">
        <v>31</v>
      </c>
      <c r="D1574" s="0" t="s">
        <v>2678</v>
      </c>
    </row>
    <row r="1575" customFormat="false" ht="13.5" hidden="false" customHeight="false" outlineLevel="0" collapsed="false">
      <c r="A1575" s="0" t="s">
        <v>3582</v>
      </c>
      <c r="B1575" s="0" t="s">
        <v>3583</v>
      </c>
      <c r="C1575" s="0" t="s">
        <v>31</v>
      </c>
      <c r="D1575" s="0" t="s">
        <v>2386</v>
      </c>
    </row>
    <row r="1576" customFormat="false" ht="13.5" hidden="false" customHeight="false" outlineLevel="0" collapsed="false">
      <c r="A1576" s="0" t="s">
        <v>3584</v>
      </c>
      <c r="B1576" s="0" t="s">
        <v>3585</v>
      </c>
      <c r="C1576" s="0" t="s">
        <v>31</v>
      </c>
      <c r="D1576" s="0" t="s">
        <v>3261</v>
      </c>
    </row>
    <row r="1577" customFormat="false" ht="13.5" hidden="false" customHeight="false" outlineLevel="0" collapsed="false">
      <c r="A1577" s="0" t="s">
        <v>3586</v>
      </c>
      <c r="B1577" s="0" t="s">
        <v>3587</v>
      </c>
      <c r="C1577" s="0" t="s">
        <v>31</v>
      </c>
      <c r="D1577" s="0" t="s">
        <v>19</v>
      </c>
      <c r="E1577" s="0" t="s">
        <v>47</v>
      </c>
      <c r="F1577" s="0" t="s">
        <v>2460</v>
      </c>
    </row>
    <row r="1578" customFormat="false" ht="13.5" hidden="false" customHeight="false" outlineLevel="0" collapsed="false">
      <c r="A1578" s="0" t="s">
        <v>3588</v>
      </c>
      <c r="B1578" s="0" t="s">
        <v>3589</v>
      </c>
      <c r="C1578" s="0" t="s">
        <v>31</v>
      </c>
      <c r="D1578" s="0" t="s">
        <v>2386</v>
      </c>
    </row>
    <row r="1579" customFormat="false" ht="13.5" hidden="false" customHeight="false" outlineLevel="0" collapsed="false">
      <c r="A1579" s="0" t="s">
        <v>3590</v>
      </c>
      <c r="B1579" s="0" t="s">
        <v>3591</v>
      </c>
      <c r="C1579" s="0" t="s">
        <v>31</v>
      </c>
      <c r="D1579" s="0" t="s">
        <v>2356</v>
      </c>
    </row>
    <row r="1580" customFormat="false" ht="13.5" hidden="false" customHeight="false" outlineLevel="0" collapsed="false">
      <c r="A1580" s="0" t="s">
        <v>3592</v>
      </c>
      <c r="B1580" s="0" t="s">
        <v>3593</v>
      </c>
      <c r="C1580" s="0" t="s">
        <v>31</v>
      </c>
      <c r="D1580" s="0" t="s">
        <v>1527</v>
      </c>
    </row>
    <row r="1581" customFormat="false" ht="13.5" hidden="false" customHeight="false" outlineLevel="0" collapsed="false">
      <c r="A1581" s="0" t="s">
        <v>3594</v>
      </c>
      <c r="B1581" s="0" t="s">
        <v>3595</v>
      </c>
      <c r="C1581" s="0" t="s">
        <v>31</v>
      </c>
      <c r="D1581" s="0" t="s">
        <v>413</v>
      </c>
      <c r="E1581" s="0" t="s">
        <v>3596</v>
      </c>
    </row>
    <row r="1582" customFormat="false" ht="13.5" hidden="false" customHeight="false" outlineLevel="0" collapsed="false">
      <c r="A1582" s="0" t="s">
        <v>3597</v>
      </c>
      <c r="B1582" s="0" t="s">
        <v>3598</v>
      </c>
      <c r="C1582" s="0" t="s">
        <v>31</v>
      </c>
      <c r="D1582" s="0" t="s">
        <v>19</v>
      </c>
      <c r="E1582" s="0" t="s">
        <v>1253</v>
      </c>
      <c r="F1582" s="0" t="s">
        <v>1782</v>
      </c>
    </row>
    <row r="1583" customFormat="false" ht="13.5" hidden="false" customHeight="false" outlineLevel="0" collapsed="false">
      <c r="A1583" s="0" t="s">
        <v>3599</v>
      </c>
      <c r="B1583" s="0" t="s">
        <v>3600</v>
      </c>
      <c r="C1583" s="0" t="s">
        <v>31</v>
      </c>
      <c r="D1583" s="0" t="s">
        <v>1704</v>
      </c>
    </row>
    <row r="1584" customFormat="false" ht="13.5" hidden="false" customHeight="false" outlineLevel="0" collapsed="false">
      <c r="A1584" s="0" t="s">
        <v>3601</v>
      </c>
      <c r="B1584" s="0" t="s">
        <v>3602</v>
      </c>
      <c r="C1584" s="0" t="s">
        <v>31</v>
      </c>
      <c r="D1584" s="0" t="s">
        <v>413</v>
      </c>
      <c r="E1584" s="0" t="s">
        <v>12</v>
      </c>
    </row>
    <row r="1585" customFormat="false" ht="13.5" hidden="false" customHeight="false" outlineLevel="0" collapsed="false">
      <c r="A1585" s="0" t="s">
        <v>3603</v>
      </c>
      <c r="B1585" s="0" t="s">
        <v>3604</v>
      </c>
      <c r="C1585" s="0" t="s">
        <v>31</v>
      </c>
      <c r="D1585" s="0" t="s">
        <v>413</v>
      </c>
      <c r="E1585" s="0" t="s">
        <v>150</v>
      </c>
    </row>
    <row r="1586" customFormat="false" ht="13.5" hidden="false" customHeight="false" outlineLevel="0" collapsed="false">
      <c r="A1586" s="0" t="s">
        <v>3605</v>
      </c>
      <c r="B1586" s="0" t="s">
        <v>3606</v>
      </c>
      <c r="C1586" s="0" t="s">
        <v>31</v>
      </c>
      <c r="D1586" s="0" t="s">
        <v>370</v>
      </c>
    </row>
    <row r="1587" customFormat="false" ht="13.5" hidden="false" customHeight="false" outlineLevel="0" collapsed="false">
      <c r="A1587" s="0" t="s">
        <v>3607</v>
      </c>
      <c r="B1587" s="0" t="s">
        <v>3608</v>
      </c>
      <c r="C1587" s="0" t="s">
        <v>31</v>
      </c>
      <c r="D1587" s="0" t="s">
        <v>1957</v>
      </c>
    </row>
    <row r="1588" customFormat="false" ht="13.5" hidden="false" customHeight="false" outlineLevel="0" collapsed="false">
      <c r="A1588" s="0" t="s">
        <v>3609</v>
      </c>
      <c r="B1588" s="0" t="s">
        <v>3610</v>
      </c>
      <c r="C1588" s="0" t="s">
        <v>31</v>
      </c>
      <c r="D1588" s="0" t="s">
        <v>1704</v>
      </c>
    </row>
    <row r="1589" customFormat="false" ht="13.5" hidden="false" customHeight="false" outlineLevel="0" collapsed="false">
      <c r="A1589" s="0" t="s">
        <v>3611</v>
      </c>
      <c r="B1589" s="0" t="s">
        <v>3612</v>
      </c>
      <c r="C1589" s="0" t="s">
        <v>31</v>
      </c>
      <c r="D1589" s="0" t="s">
        <v>1704</v>
      </c>
      <c r="F1589" s="0" t="s">
        <v>60</v>
      </c>
    </row>
    <row r="1590" customFormat="false" ht="13.5" hidden="false" customHeight="false" outlineLevel="0" collapsed="false">
      <c r="A1590" s="0" t="s">
        <v>3613</v>
      </c>
      <c r="B1590" s="0" t="s">
        <v>3614</v>
      </c>
      <c r="C1590" s="0" t="s">
        <v>31</v>
      </c>
      <c r="D1590" s="0" t="s">
        <v>1737</v>
      </c>
    </row>
    <row r="1591" customFormat="false" ht="13.5" hidden="false" customHeight="false" outlineLevel="0" collapsed="false">
      <c r="A1591" s="0" t="s">
        <v>3615</v>
      </c>
      <c r="B1591" s="0" t="s">
        <v>3616</v>
      </c>
      <c r="C1591" s="0" t="s">
        <v>31</v>
      </c>
      <c r="D1591" s="0" t="s">
        <v>1957</v>
      </c>
    </row>
    <row r="1592" customFormat="false" ht="13.5" hidden="false" customHeight="false" outlineLevel="0" collapsed="false">
      <c r="A1592" s="0" t="s">
        <v>3617</v>
      </c>
      <c r="B1592" s="0" t="s">
        <v>3618</v>
      </c>
      <c r="C1592" s="0" t="s">
        <v>31</v>
      </c>
      <c r="D1592" s="0" t="s">
        <v>413</v>
      </c>
      <c r="E1592" s="0" t="s">
        <v>32</v>
      </c>
    </row>
    <row r="1593" customFormat="false" ht="13.5" hidden="false" customHeight="false" outlineLevel="0" collapsed="false">
      <c r="A1593" s="0" t="s">
        <v>3619</v>
      </c>
      <c r="B1593" s="0" t="s">
        <v>3620</v>
      </c>
      <c r="C1593" s="0" t="s">
        <v>31</v>
      </c>
      <c r="D1593" s="0" t="s">
        <v>2072</v>
      </c>
    </row>
    <row r="1594" customFormat="false" ht="13.5" hidden="false" customHeight="false" outlineLevel="0" collapsed="false">
      <c r="A1594" s="0" t="s">
        <v>3621</v>
      </c>
      <c r="B1594" s="0" t="s">
        <v>3622</v>
      </c>
      <c r="C1594" s="0" t="s">
        <v>31</v>
      </c>
      <c r="D1594" s="0" t="s">
        <v>2887</v>
      </c>
    </row>
    <row r="1595" customFormat="false" ht="13.5" hidden="false" customHeight="false" outlineLevel="0" collapsed="false">
      <c r="A1595" s="0" t="s">
        <v>3623</v>
      </c>
      <c r="B1595" s="0" t="s">
        <v>3624</v>
      </c>
      <c r="C1595" s="0" t="s">
        <v>31</v>
      </c>
      <c r="D1595" s="0" t="s">
        <v>69</v>
      </c>
    </row>
    <row r="1596" customFormat="false" ht="13.5" hidden="false" customHeight="false" outlineLevel="0" collapsed="false">
      <c r="A1596" s="0" t="s">
        <v>3625</v>
      </c>
      <c r="B1596" s="0" t="s">
        <v>1101</v>
      </c>
      <c r="C1596" s="0" t="s">
        <v>31</v>
      </c>
      <c r="D1596" s="0" t="s">
        <v>413</v>
      </c>
      <c r="E1596" s="0" t="s">
        <v>32</v>
      </c>
    </row>
    <row r="1597" customFormat="false" ht="13.5" hidden="false" customHeight="false" outlineLevel="0" collapsed="false">
      <c r="A1597" s="0" t="s">
        <v>3626</v>
      </c>
      <c r="B1597" s="0" t="s">
        <v>3627</v>
      </c>
      <c r="C1597" s="0" t="s">
        <v>31</v>
      </c>
      <c r="D1597" s="0" t="s">
        <v>3628</v>
      </c>
    </row>
    <row r="1598" customFormat="false" ht="13.5" hidden="false" customHeight="false" outlineLevel="0" collapsed="false">
      <c r="A1598" s="0" t="s">
        <v>3629</v>
      </c>
      <c r="B1598" s="0" t="s">
        <v>3630</v>
      </c>
      <c r="C1598" s="0" t="s">
        <v>31</v>
      </c>
      <c r="D1598" s="0" t="s">
        <v>2072</v>
      </c>
    </row>
    <row r="1599" customFormat="false" ht="13.5" hidden="false" customHeight="false" outlineLevel="0" collapsed="false">
      <c r="A1599" s="0" t="s">
        <v>3631</v>
      </c>
      <c r="B1599" s="0" t="s">
        <v>1392</v>
      </c>
      <c r="C1599" s="0" t="s">
        <v>31</v>
      </c>
      <c r="D1599" s="0" t="s">
        <v>279</v>
      </c>
    </row>
    <row r="1600" customFormat="false" ht="13.5" hidden="false" customHeight="false" outlineLevel="0" collapsed="false">
      <c r="A1600" s="0" t="s">
        <v>3632</v>
      </c>
      <c r="B1600" s="0" t="s">
        <v>3633</v>
      </c>
      <c r="C1600" s="0" t="s">
        <v>31</v>
      </c>
      <c r="D1600" s="0" t="s">
        <v>1704</v>
      </c>
    </row>
    <row r="1601" customFormat="false" ht="13.5" hidden="false" customHeight="false" outlineLevel="0" collapsed="false">
      <c r="A1601" s="0" t="s">
        <v>3634</v>
      </c>
      <c r="B1601" s="0" t="s">
        <v>3635</v>
      </c>
      <c r="C1601" s="0" t="s">
        <v>31</v>
      </c>
      <c r="D1601" s="0" t="s">
        <v>1651</v>
      </c>
    </row>
    <row r="1602" customFormat="false" ht="13.5" hidden="false" customHeight="false" outlineLevel="0" collapsed="false">
      <c r="A1602" s="0" t="s">
        <v>3636</v>
      </c>
      <c r="B1602" s="0" t="s">
        <v>3637</v>
      </c>
      <c r="C1602" s="0" t="s">
        <v>31</v>
      </c>
      <c r="D1602" s="0" t="s">
        <v>2386</v>
      </c>
    </row>
    <row r="1603" customFormat="false" ht="13.5" hidden="false" customHeight="false" outlineLevel="0" collapsed="false">
      <c r="A1603" s="0" t="s">
        <v>3638</v>
      </c>
      <c r="B1603" s="0" t="s">
        <v>3639</v>
      </c>
      <c r="C1603" s="0" t="s">
        <v>31</v>
      </c>
      <c r="D1603" s="0" t="s">
        <v>413</v>
      </c>
      <c r="E1603" s="0" t="s">
        <v>12</v>
      </c>
    </row>
    <row r="1604" customFormat="false" ht="13.5" hidden="false" customHeight="false" outlineLevel="0" collapsed="false">
      <c r="A1604" s="0" t="s">
        <v>3640</v>
      </c>
      <c r="B1604" s="0" t="s">
        <v>3641</v>
      </c>
      <c r="C1604" s="0" t="s">
        <v>31</v>
      </c>
      <c r="D1604" s="0" t="s">
        <v>3642</v>
      </c>
    </row>
    <row r="1605" customFormat="false" ht="13.5" hidden="false" customHeight="false" outlineLevel="0" collapsed="false">
      <c r="A1605" s="0" t="s">
        <v>3643</v>
      </c>
      <c r="B1605" s="0" t="s">
        <v>3644</v>
      </c>
      <c r="C1605" s="0" t="s">
        <v>31</v>
      </c>
      <c r="D1605" s="0" t="s">
        <v>1592</v>
      </c>
    </row>
    <row r="1606" customFormat="false" ht="13.5" hidden="false" customHeight="false" outlineLevel="0" collapsed="false">
      <c r="A1606" s="0" t="s">
        <v>3645</v>
      </c>
      <c r="B1606" s="0" t="s">
        <v>3646</v>
      </c>
      <c r="C1606" s="0" t="s">
        <v>31</v>
      </c>
      <c r="D1606" s="0" t="s">
        <v>1704</v>
      </c>
    </row>
    <row r="1607" customFormat="false" ht="13.5" hidden="false" customHeight="false" outlineLevel="0" collapsed="false">
      <c r="A1607" s="0" t="s">
        <v>3647</v>
      </c>
      <c r="B1607" s="0" t="s">
        <v>3648</v>
      </c>
      <c r="C1607" s="0" t="s">
        <v>31</v>
      </c>
      <c r="D1607" s="0" t="s">
        <v>413</v>
      </c>
      <c r="E1607" s="0" t="s">
        <v>710</v>
      </c>
    </row>
    <row r="1608" customFormat="false" ht="13.5" hidden="false" customHeight="false" outlineLevel="0" collapsed="false">
      <c r="A1608" s="0" t="s">
        <v>3649</v>
      </c>
      <c r="B1608" s="0" t="s">
        <v>3650</v>
      </c>
      <c r="C1608" s="0" t="s">
        <v>31</v>
      </c>
      <c r="D1608" s="0" t="s">
        <v>1699</v>
      </c>
    </row>
    <row r="1609" customFormat="false" ht="13.5" hidden="false" customHeight="false" outlineLevel="0" collapsed="false">
      <c r="A1609" s="0" t="s">
        <v>3651</v>
      </c>
      <c r="B1609" s="0" t="s">
        <v>3652</v>
      </c>
      <c r="C1609" s="0" t="s">
        <v>31</v>
      </c>
      <c r="D1609" s="0" t="s">
        <v>1737</v>
      </c>
    </row>
    <row r="1610" customFormat="false" ht="13.5" hidden="false" customHeight="false" outlineLevel="0" collapsed="false">
      <c r="A1610" s="0" t="s">
        <v>3653</v>
      </c>
      <c r="B1610" s="0" t="s">
        <v>3654</v>
      </c>
      <c r="C1610" s="0" t="s">
        <v>31</v>
      </c>
      <c r="D1610" s="0" t="s">
        <v>2871</v>
      </c>
    </row>
    <row r="1611" customFormat="false" ht="13.5" hidden="false" customHeight="false" outlineLevel="0" collapsed="false">
      <c r="A1611" s="0" t="s">
        <v>3655</v>
      </c>
      <c r="B1611" s="0" t="s">
        <v>3656</v>
      </c>
      <c r="C1611" s="0" t="s">
        <v>31</v>
      </c>
      <c r="D1611" s="0" t="s">
        <v>19</v>
      </c>
      <c r="E1611" s="0" t="s">
        <v>1151</v>
      </c>
      <c r="F1611" s="0" t="s">
        <v>60</v>
      </c>
    </row>
    <row r="1612" customFormat="false" ht="13.5" hidden="false" customHeight="false" outlineLevel="0" collapsed="false">
      <c r="A1612" s="0" t="s">
        <v>3657</v>
      </c>
      <c r="B1612" s="0" t="s">
        <v>3658</v>
      </c>
      <c r="C1612" s="0" t="s">
        <v>31</v>
      </c>
      <c r="D1612" s="0" t="s">
        <v>1592</v>
      </c>
    </row>
    <row r="1613" customFormat="false" ht="13.5" hidden="false" customHeight="false" outlineLevel="0" collapsed="false">
      <c r="A1613" s="0" t="s">
        <v>3659</v>
      </c>
      <c r="B1613" s="0" t="s">
        <v>3660</v>
      </c>
      <c r="C1613" s="0" t="s">
        <v>31</v>
      </c>
      <c r="D1613" s="0" t="s">
        <v>413</v>
      </c>
      <c r="E1613" s="0" t="s">
        <v>98</v>
      </c>
    </row>
    <row r="1614" customFormat="false" ht="13.5" hidden="false" customHeight="false" outlineLevel="0" collapsed="false">
      <c r="A1614" s="0" t="s">
        <v>3661</v>
      </c>
      <c r="B1614" s="0" t="s">
        <v>3662</v>
      </c>
      <c r="C1614" s="0" t="s">
        <v>31</v>
      </c>
      <c r="D1614" s="0" t="s">
        <v>1651</v>
      </c>
    </row>
    <row r="1615" customFormat="false" ht="13.5" hidden="false" customHeight="false" outlineLevel="0" collapsed="false">
      <c r="A1615" s="0" t="s">
        <v>3663</v>
      </c>
      <c r="B1615" s="0" t="s">
        <v>3664</v>
      </c>
      <c r="C1615" s="0" t="s">
        <v>31</v>
      </c>
      <c r="D1615" s="0" t="s">
        <v>413</v>
      </c>
      <c r="E1615" s="0" t="s">
        <v>3665</v>
      </c>
    </row>
    <row r="1616" customFormat="false" ht="13.5" hidden="false" customHeight="false" outlineLevel="0" collapsed="false">
      <c r="A1616" s="0" t="s">
        <v>3666</v>
      </c>
      <c r="B1616" s="0" t="s">
        <v>3667</v>
      </c>
      <c r="C1616" s="0" t="s">
        <v>31</v>
      </c>
      <c r="D1616" s="0" t="s">
        <v>1704</v>
      </c>
    </row>
    <row r="1617" customFormat="false" ht="13.5" hidden="false" customHeight="false" outlineLevel="0" collapsed="false">
      <c r="A1617" s="0" t="s">
        <v>3668</v>
      </c>
      <c r="B1617" s="0" t="s">
        <v>3669</v>
      </c>
      <c r="C1617" s="0" t="s">
        <v>31</v>
      </c>
      <c r="D1617" s="0" t="s">
        <v>16</v>
      </c>
      <c r="E1617" s="0" t="s">
        <v>36</v>
      </c>
      <c r="F1617" s="0" t="s">
        <v>1669</v>
      </c>
    </row>
    <row r="1618" customFormat="false" ht="13.5" hidden="false" customHeight="false" outlineLevel="0" collapsed="false">
      <c r="A1618" s="0" t="s">
        <v>3670</v>
      </c>
      <c r="B1618" s="0" t="s">
        <v>3671</v>
      </c>
      <c r="C1618" s="0" t="s">
        <v>31</v>
      </c>
      <c r="D1618" s="0" t="s">
        <v>413</v>
      </c>
      <c r="E1618" s="0" t="s">
        <v>12</v>
      </c>
    </row>
    <row r="1619" customFormat="false" ht="13.5" hidden="false" customHeight="false" outlineLevel="0" collapsed="false">
      <c r="A1619" s="0" t="s">
        <v>3672</v>
      </c>
      <c r="B1619" s="0" t="s">
        <v>3673</v>
      </c>
      <c r="C1619" s="0" t="s">
        <v>31</v>
      </c>
      <c r="D1619" s="0" t="s">
        <v>3674</v>
      </c>
    </row>
    <row r="1620" customFormat="false" ht="13.5" hidden="false" customHeight="false" outlineLevel="0" collapsed="false">
      <c r="A1620" s="0" t="s">
        <v>3675</v>
      </c>
      <c r="B1620" s="0" t="s">
        <v>3676</v>
      </c>
      <c r="C1620" s="0" t="s">
        <v>31</v>
      </c>
      <c r="D1620" s="0" t="s">
        <v>1957</v>
      </c>
    </row>
    <row r="1621" customFormat="false" ht="13.5" hidden="false" customHeight="false" outlineLevel="0" collapsed="false">
      <c r="A1621" s="0" t="s">
        <v>3677</v>
      </c>
      <c r="B1621" s="0" t="s">
        <v>3678</v>
      </c>
      <c r="C1621" s="0" t="s">
        <v>31</v>
      </c>
      <c r="D1621" s="0" t="s">
        <v>16</v>
      </c>
      <c r="E1621" s="0" t="s">
        <v>36</v>
      </c>
      <c r="F1621" s="0" t="s">
        <v>1669</v>
      </c>
    </row>
    <row r="1622" customFormat="false" ht="13.5" hidden="false" customHeight="false" outlineLevel="0" collapsed="false">
      <c r="A1622" s="0" t="s">
        <v>3679</v>
      </c>
      <c r="B1622" s="0" t="s">
        <v>3680</v>
      </c>
      <c r="C1622" s="0" t="s">
        <v>31</v>
      </c>
      <c r="D1622" s="0" t="s">
        <v>2678</v>
      </c>
    </row>
    <row r="1623" customFormat="false" ht="13.5" hidden="false" customHeight="false" outlineLevel="0" collapsed="false">
      <c r="A1623" s="0" t="s">
        <v>3681</v>
      </c>
      <c r="B1623" s="0" t="s">
        <v>3682</v>
      </c>
      <c r="C1623" s="0" t="s">
        <v>31</v>
      </c>
      <c r="D1623" s="0" t="s">
        <v>1633</v>
      </c>
    </row>
    <row r="1624" customFormat="false" ht="13.5" hidden="false" customHeight="false" outlineLevel="0" collapsed="false">
      <c r="A1624" s="0" t="s">
        <v>3683</v>
      </c>
      <c r="B1624" s="0" t="s">
        <v>3684</v>
      </c>
      <c r="C1624" s="0" t="s">
        <v>31</v>
      </c>
      <c r="D1624" s="0" t="s">
        <v>413</v>
      </c>
      <c r="E1624" s="0" t="s">
        <v>1043</v>
      </c>
    </row>
    <row r="1625" customFormat="false" ht="13.5" hidden="false" customHeight="false" outlineLevel="0" collapsed="false">
      <c r="A1625" s="0" t="s">
        <v>3685</v>
      </c>
      <c r="B1625" s="0" t="s">
        <v>3686</v>
      </c>
      <c r="C1625" s="0" t="s">
        <v>31</v>
      </c>
      <c r="D1625" s="0" t="s">
        <v>2629</v>
      </c>
    </row>
    <row r="1626" customFormat="false" ht="13.5" hidden="false" customHeight="false" outlineLevel="0" collapsed="false">
      <c r="A1626" s="0" t="s">
        <v>3687</v>
      </c>
      <c r="B1626" s="0" t="s">
        <v>3688</v>
      </c>
      <c r="C1626" s="0" t="s">
        <v>31</v>
      </c>
      <c r="D1626" s="0" t="s">
        <v>19</v>
      </c>
      <c r="E1626" s="0" t="s">
        <v>1043</v>
      </c>
      <c r="F1626" s="0" t="s">
        <v>60</v>
      </c>
      <c r="G1626" s="0" t="s">
        <v>1782</v>
      </c>
    </row>
    <row r="1627" customFormat="false" ht="13.5" hidden="false" customHeight="false" outlineLevel="0" collapsed="false">
      <c r="A1627" s="0" t="s">
        <v>3689</v>
      </c>
      <c r="B1627" s="0" t="s">
        <v>3690</v>
      </c>
      <c r="C1627" s="0" t="s">
        <v>31</v>
      </c>
      <c r="D1627" s="0" t="s">
        <v>3691</v>
      </c>
    </row>
    <row r="1628" customFormat="false" ht="13.5" hidden="false" customHeight="false" outlineLevel="0" collapsed="false">
      <c r="A1628" s="0" t="s">
        <v>3692</v>
      </c>
      <c r="B1628" s="0" t="s">
        <v>3693</v>
      </c>
      <c r="C1628" s="0" t="s">
        <v>31</v>
      </c>
      <c r="D1628" s="0" t="s">
        <v>1957</v>
      </c>
    </row>
    <row r="1629" customFormat="false" ht="13.5" hidden="false" customHeight="false" outlineLevel="0" collapsed="false">
      <c r="A1629" s="0" t="s">
        <v>3694</v>
      </c>
      <c r="B1629" s="0" t="s">
        <v>3695</v>
      </c>
      <c r="C1629" s="0" t="s">
        <v>31</v>
      </c>
      <c r="D1629" s="0" t="s">
        <v>1651</v>
      </c>
    </row>
    <row r="1630" customFormat="false" ht="13.5" hidden="false" customHeight="false" outlineLevel="0" collapsed="false">
      <c r="A1630" s="0" t="s">
        <v>3696</v>
      </c>
      <c r="B1630" s="0" t="s">
        <v>3697</v>
      </c>
      <c r="C1630" s="0" t="s">
        <v>31</v>
      </c>
      <c r="D1630" s="0" t="s">
        <v>413</v>
      </c>
      <c r="E1630" s="0" t="s">
        <v>12</v>
      </c>
    </row>
    <row r="1631" customFormat="false" ht="13.5" hidden="false" customHeight="false" outlineLevel="0" collapsed="false">
      <c r="A1631" s="0" t="s">
        <v>3698</v>
      </c>
      <c r="B1631" s="0" t="s">
        <v>3699</v>
      </c>
      <c r="C1631" s="0" t="s">
        <v>31</v>
      </c>
      <c r="D1631" s="0" t="s">
        <v>3190</v>
      </c>
    </row>
    <row r="1632" customFormat="false" ht="13.5" hidden="false" customHeight="false" outlineLevel="0" collapsed="false">
      <c r="A1632" s="0" t="s">
        <v>3700</v>
      </c>
      <c r="B1632" s="0" t="s">
        <v>3701</v>
      </c>
      <c r="C1632" s="0" t="s">
        <v>31</v>
      </c>
      <c r="D1632" s="0" t="s">
        <v>2878</v>
      </c>
    </row>
    <row r="1633" customFormat="false" ht="13.5" hidden="false" customHeight="false" outlineLevel="0" collapsed="false">
      <c r="A1633" s="0" t="s">
        <v>3702</v>
      </c>
      <c r="B1633" s="0" t="s">
        <v>3703</v>
      </c>
      <c r="C1633" s="0" t="s">
        <v>31</v>
      </c>
      <c r="D1633" s="0" t="s">
        <v>3628</v>
      </c>
    </row>
    <row r="1634" customFormat="false" ht="13.5" hidden="false" customHeight="false" outlineLevel="0" collapsed="false">
      <c r="A1634" s="0" t="s">
        <v>3704</v>
      </c>
      <c r="B1634" s="0" t="s">
        <v>3705</v>
      </c>
      <c r="C1634" s="0" t="s">
        <v>31</v>
      </c>
      <c r="D1634" s="0" t="s">
        <v>413</v>
      </c>
      <c r="E1634" s="0" t="s">
        <v>98</v>
      </c>
    </row>
    <row r="1635" customFormat="false" ht="13.5" hidden="false" customHeight="false" outlineLevel="0" collapsed="false">
      <c r="A1635" s="0" t="s">
        <v>3706</v>
      </c>
      <c r="B1635" s="0" t="s">
        <v>3707</v>
      </c>
      <c r="C1635" s="0" t="s">
        <v>31</v>
      </c>
      <c r="D1635" s="0" t="s">
        <v>413</v>
      </c>
      <c r="E1635" s="0" t="s">
        <v>32</v>
      </c>
    </row>
    <row r="1636" customFormat="false" ht="13.5" hidden="false" customHeight="false" outlineLevel="0" collapsed="false">
      <c r="A1636" s="0" t="s">
        <v>3708</v>
      </c>
      <c r="B1636" s="0" t="s">
        <v>3709</v>
      </c>
      <c r="C1636" s="0" t="s">
        <v>31</v>
      </c>
      <c r="D1636" s="0" t="s">
        <v>2444</v>
      </c>
    </row>
    <row r="1637" customFormat="false" ht="13.5" hidden="false" customHeight="false" outlineLevel="0" collapsed="false">
      <c r="A1637" s="0" t="s">
        <v>3710</v>
      </c>
      <c r="B1637" s="0" t="s">
        <v>3498</v>
      </c>
      <c r="C1637" s="0" t="s">
        <v>31</v>
      </c>
      <c r="D1637" s="0" t="s">
        <v>3711</v>
      </c>
    </row>
    <row r="1638" customFormat="false" ht="13.5" hidden="false" customHeight="false" outlineLevel="0" collapsed="false">
      <c r="A1638" s="0" t="s">
        <v>3712</v>
      </c>
      <c r="B1638" s="0" t="s">
        <v>3713</v>
      </c>
      <c r="C1638" s="0" t="s">
        <v>31</v>
      </c>
      <c r="D1638" s="0" t="s">
        <v>1592</v>
      </c>
    </row>
    <row r="1639" customFormat="false" ht="13.5" hidden="false" customHeight="false" outlineLevel="0" collapsed="false">
      <c r="A1639" s="0" t="s">
        <v>3714</v>
      </c>
      <c r="B1639" s="0" t="s">
        <v>3715</v>
      </c>
      <c r="C1639" s="0" t="s">
        <v>31</v>
      </c>
      <c r="D1639" s="0" t="s">
        <v>1957</v>
      </c>
    </row>
    <row r="1640" customFormat="false" ht="13.5" hidden="false" customHeight="false" outlineLevel="0" collapsed="false">
      <c r="A1640" s="0" t="s">
        <v>3716</v>
      </c>
      <c r="B1640" s="0" t="s">
        <v>3717</v>
      </c>
      <c r="C1640" s="0" t="s">
        <v>31</v>
      </c>
      <c r="D1640" s="0" t="s">
        <v>2492</v>
      </c>
    </row>
    <row r="1641" customFormat="false" ht="13.5" hidden="false" customHeight="false" outlineLevel="0" collapsed="false">
      <c r="A1641" s="0" t="s">
        <v>3718</v>
      </c>
      <c r="B1641" s="0" t="s">
        <v>3719</v>
      </c>
      <c r="C1641" s="0" t="s">
        <v>31</v>
      </c>
      <c r="D1641" s="0" t="s">
        <v>2054</v>
      </c>
    </row>
    <row r="1642" customFormat="false" ht="13.5" hidden="false" customHeight="false" outlineLevel="0" collapsed="false">
      <c r="A1642" s="0" t="s">
        <v>3720</v>
      </c>
      <c r="B1642" s="0" t="s">
        <v>3721</v>
      </c>
      <c r="C1642" s="0" t="s">
        <v>31</v>
      </c>
      <c r="D1642" s="0" t="s">
        <v>279</v>
      </c>
    </row>
    <row r="1643" customFormat="false" ht="13.5" hidden="false" customHeight="false" outlineLevel="0" collapsed="false">
      <c r="A1643" s="0" t="s">
        <v>3722</v>
      </c>
      <c r="B1643" s="0" t="s">
        <v>3723</v>
      </c>
      <c r="C1643" s="0" t="s">
        <v>31</v>
      </c>
      <c r="D1643" s="0" t="s">
        <v>19</v>
      </c>
      <c r="E1643" s="0" t="s">
        <v>3724</v>
      </c>
      <c r="F1643" s="0" t="s">
        <v>60</v>
      </c>
    </row>
    <row r="1644" customFormat="false" ht="13.5" hidden="false" customHeight="false" outlineLevel="0" collapsed="false">
      <c r="A1644" s="0" t="s">
        <v>3725</v>
      </c>
      <c r="B1644" s="0" t="s">
        <v>3726</v>
      </c>
      <c r="C1644" s="0" t="s">
        <v>31</v>
      </c>
      <c r="D1644" s="0" t="s">
        <v>2356</v>
      </c>
    </row>
    <row r="1645" customFormat="false" ht="13.5" hidden="false" customHeight="false" outlineLevel="0" collapsed="false">
      <c r="A1645" s="0" t="s">
        <v>3727</v>
      </c>
      <c r="B1645" s="0" t="s">
        <v>3728</v>
      </c>
      <c r="C1645" s="0" t="s">
        <v>31</v>
      </c>
      <c r="D1645" s="0" t="s">
        <v>1592</v>
      </c>
    </row>
    <row r="1646" customFormat="false" ht="13.5" hidden="false" customHeight="false" outlineLevel="0" collapsed="false">
      <c r="A1646" s="0" t="s">
        <v>3729</v>
      </c>
      <c r="B1646" s="0" t="s">
        <v>3730</v>
      </c>
      <c r="C1646" s="0" t="s">
        <v>31</v>
      </c>
      <c r="D1646" s="0" t="s">
        <v>1592</v>
      </c>
    </row>
    <row r="1647" customFormat="false" ht="13.5" hidden="false" customHeight="false" outlineLevel="0" collapsed="false">
      <c r="A1647" s="0" t="s">
        <v>3731</v>
      </c>
      <c r="B1647" s="0" t="s">
        <v>801</v>
      </c>
      <c r="C1647" s="0" t="s">
        <v>31</v>
      </c>
      <c r="D1647" s="0" t="s">
        <v>19</v>
      </c>
      <c r="E1647" s="0" t="s">
        <v>150</v>
      </c>
      <c r="F1647" s="0" t="s">
        <v>60</v>
      </c>
    </row>
    <row r="1648" customFormat="false" ht="13.5" hidden="false" customHeight="false" outlineLevel="0" collapsed="false">
      <c r="A1648" s="0" t="s">
        <v>3732</v>
      </c>
      <c r="B1648" s="0" t="s">
        <v>3733</v>
      </c>
      <c r="C1648" s="0" t="s">
        <v>31</v>
      </c>
      <c r="D1648" s="0" t="s">
        <v>3523</v>
      </c>
    </row>
    <row r="1649" customFormat="false" ht="13.5" hidden="false" customHeight="false" outlineLevel="0" collapsed="false">
      <c r="A1649" s="0" t="s">
        <v>3734</v>
      </c>
      <c r="B1649" s="0" t="s">
        <v>3735</v>
      </c>
      <c r="C1649" s="0" t="s">
        <v>31</v>
      </c>
      <c r="D1649" s="0" t="s">
        <v>413</v>
      </c>
      <c r="E1649" s="0" t="s">
        <v>1043</v>
      </c>
    </row>
    <row r="1650" customFormat="false" ht="13.5" hidden="false" customHeight="false" outlineLevel="0" collapsed="false">
      <c r="A1650" s="0" t="s">
        <v>3736</v>
      </c>
      <c r="B1650" s="0" t="s">
        <v>3737</v>
      </c>
      <c r="C1650" s="0" t="s">
        <v>31</v>
      </c>
      <c r="D1650" s="0" t="s">
        <v>413</v>
      </c>
      <c r="E1650" s="0" t="s">
        <v>783</v>
      </c>
    </row>
    <row r="1651" customFormat="false" ht="13.5" hidden="false" customHeight="false" outlineLevel="0" collapsed="false">
      <c r="A1651" s="0" t="s">
        <v>3738</v>
      </c>
      <c r="B1651" s="0" t="s">
        <v>3739</v>
      </c>
      <c r="C1651" s="0" t="s">
        <v>31</v>
      </c>
      <c r="D1651" s="0" t="s">
        <v>2072</v>
      </c>
    </row>
    <row r="1652" customFormat="false" ht="13.5" hidden="false" customHeight="false" outlineLevel="0" collapsed="false">
      <c r="A1652" s="0" t="s">
        <v>3740</v>
      </c>
      <c r="B1652" s="0" t="s">
        <v>3741</v>
      </c>
      <c r="C1652" s="0" t="s">
        <v>31</v>
      </c>
      <c r="D1652" s="0" t="s">
        <v>2492</v>
      </c>
    </row>
    <row r="1653" customFormat="false" ht="13.5" hidden="false" customHeight="false" outlineLevel="0" collapsed="false">
      <c r="A1653" s="0" t="s">
        <v>3742</v>
      </c>
      <c r="B1653" s="0" t="s">
        <v>3743</v>
      </c>
      <c r="C1653" s="0" t="s">
        <v>31</v>
      </c>
      <c r="D1653" s="0" t="s">
        <v>413</v>
      </c>
      <c r="E1653" s="0" t="s">
        <v>483</v>
      </c>
    </row>
    <row r="1654" customFormat="false" ht="13.5" hidden="false" customHeight="false" outlineLevel="0" collapsed="false">
      <c r="A1654" s="0" t="s">
        <v>3744</v>
      </c>
      <c r="B1654" s="0" t="s">
        <v>3745</v>
      </c>
      <c r="C1654" s="0" t="s">
        <v>31</v>
      </c>
      <c r="D1654" s="0" t="s">
        <v>413</v>
      </c>
      <c r="E1654" s="0" t="s">
        <v>3746</v>
      </c>
    </row>
    <row r="1655" customFormat="false" ht="13.5" hidden="false" customHeight="false" outlineLevel="0" collapsed="false">
      <c r="A1655" s="0" t="s">
        <v>3747</v>
      </c>
      <c r="B1655" s="0" t="s">
        <v>3748</v>
      </c>
      <c r="C1655" s="0" t="s">
        <v>31</v>
      </c>
      <c r="D1655" s="0" t="s">
        <v>19</v>
      </c>
      <c r="E1655" s="0" t="s">
        <v>695</v>
      </c>
      <c r="F1655" s="0" t="s">
        <v>3749</v>
      </c>
    </row>
    <row r="1656" customFormat="false" ht="13.5" hidden="false" customHeight="false" outlineLevel="0" collapsed="false">
      <c r="A1656" s="0" t="s">
        <v>3750</v>
      </c>
      <c r="B1656" s="0" t="s">
        <v>3751</v>
      </c>
      <c r="C1656" s="0" t="s">
        <v>31</v>
      </c>
      <c r="D1656" s="0" t="s">
        <v>1572</v>
      </c>
    </row>
    <row r="1657" customFormat="false" ht="13.5" hidden="false" customHeight="false" outlineLevel="0" collapsed="false">
      <c r="A1657" s="0" t="s">
        <v>3752</v>
      </c>
      <c r="B1657" s="0" t="s">
        <v>3753</v>
      </c>
      <c r="C1657" s="0" t="s">
        <v>31</v>
      </c>
      <c r="D1657" s="0" t="s">
        <v>2356</v>
      </c>
    </row>
    <row r="1658" customFormat="false" ht="13.5" hidden="false" customHeight="false" outlineLevel="0" collapsed="false">
      <c r="A1658" s="0" t="s">
        <v>3754</v>
      </c>
      <c r="B1658" s="0" t="s">
        <v>3755</v>
      </c>
      <c r="C1658" s="0" t="s">
        <v>31</v>
      </c>
      <c r="D1658" s="0" t="s">
        <v>1592</v>
      </c>
    </row>
    <row r="1659" customFormat="false" ht="13.5" hidden="false" customHeight="false" outlineLevel="0" collapsed="false">
      <c r="A1659" s="0" t="s">
        <v>3756</v>
      </c>
      <c r="B1659" s="0" t="s">
        <v>3757</v>
      </c>
      <c r="C1659" s="0" t="s">
        <v>31</v>
      </c>
      <c r="D1659" s="0" t="s">
        <v>1704</v>
      </c>
    </row>
    <row r="1660" customFormat="false" ht="13.5" hidden="false" customHeight="false" outlineLevel="0" collapsed="false">
      <c r="A1660" s="0" t="s">
        <v>3758</v>
      </c>
      <c r="B1660" s="0" t="s">
        <v>3759</v>
      </c>
      <c r="C1660" s="0" t="s">
        <v>31</v>
      </c>
      <c r="D1660" s="0" t="s">
        <v>1957</v>
      </c>
    </row>
    <row r="1661" customFormat="false" ht="13.5" hidden="false" customHeight="false" outlineLevel="0" collapsed="false">
      <c r="A1661" s="0" t="s">
        <v>3760</v>
      </c>
      <c r="B1661" s="0" t="s">
        <v>3761</v>
      </c>
      <c r="C1661" s="0" t="s">
        <v>31</v>
      </c>
      <c r="D1661" s="0" t="s">
        <v>1651</v>
      </c>
    </row>
    <row r="1662" customFormat="false" ht="13.5" hidden="false" customHeight="false" outlineLevel="0" collapsed="false">
      <c r="A1662" s="0" t="s">
        <v>3762</v>
      </c>
      <c r="B1662" s="0" t="s">
        <v>3763</v>
      </c>
      <c r="C1662" s="0" t="s">
        <v>31</v>
      </c>
      <c r="D1662" s="0" t="s">
        <v>413</v>
      </c>
      <c r="E1662" s="0" t="s">
        <v>3764</v>
      </c>
    </row>
    <row r="1663" customFormat="false" ht="13.5" hidden="false" customHeight="false" outlineLevel="0" collapsed="false">
      <c r="A1663" s="0" t="s">
        <v>3765</v>
      </c>
      <c r="B1663" s="0" t="s">
        <v>3766</v>
      </c>
      <c r="C1663" s="0" t="s">
        <v>31</v>
      </c>
      <c r="D1663" s="0" t="s">
        <v>1572</v>
      </c>
    </row>
    <row r="1664" customFormat="false" ht="13.5" hidden="false" customHeight="false" outlineLevel="0" collapsed="false">
      <c r="A1664" s="0" t="s">
        <v>3767</v>
      </c>
      <c r="B1664" s="0" t="s">
        <v>3768</v>
      </c>
      <c r="C1664" s="0" t="s">
        <v>31</v>
      </c>
      <c r="D1664" s="0" t="s">
        <v>1957</v>
      </c>
    </row>
    <row r="1665" customFormat="false" ht="13.5" hidden="false" customHeight="false" outlineLevel="0" collapsed="false">
      <c r="A1665" s="0" t="s">
        <v>3769</v>
      </c>
      <c r="B1665" s="0" t="s">
        <v>3770</v>
      </c>
      <c r="C1665" s="0" t="s">
        <v>31</v>
      </c>
      <c r="D1665" s="0" t="s">
        <v>16</v>
      </c>
      <c r="E1665" s="0" t="s">
        <v>53</v>
      </c>
    </row>
    <row r="1666" customFormat="false" ht="13.5" hidden="false" customHeight="false" outlineLevel="0" collapsed="false">
      <c r="A1666" s="0" t="s">
        <v>3771</v>
      </c>
      <c r="B1666" s="0" t="s">
        <v>3772</v>
      </c>
      <c r="C1666" s="0" t="s">
        <v>31</v>
      </c>
      <c r="D1666" s="0" t="s">
        <v>1704</v>
      </c>
    </row>
    <row r="1667" customFormat="false" ht="13.5" hidden="false" customHeight="false" outlineLevel="0" collapsed="false">
      <c r="A1667" s="0" t="s">
        <v>3773</v>
      </c>
      <c r="B1667" s="0" t="s">
        <v>3774</v>
      </c>
      <c r="C1667" s="0" t="s">
        <v>31</v>
      </c>
      <c r="D1667" s="0" t="s">
        <v>1704</v>
      </c>
    </row>
    <row r="1668" customFormat="false" ht="13.5" hidden="false" customHeight="false" outlineLevel="0" collapsed="false">
      <c r="A1668" s="0" t="s">
        <v>3775</v>
      </c>
      <c r="B1668" s="0" t="s">
        <v>3776</v>
      </c>
      <c r="C1668" s="0" t="s">
        <v>31</v>
      </c>
      <c r="D1668" s="0" t="s">
        <v>413</v>
      </c>
      <c r="E1668" s="0" t="s">
        <v>98</v>
      </c>
    </row>
    <row r="1669" customFormat="false" ht="13.5" hidden="false" customHeight="false" outlineLevel="0" collapsed="false">
      <c r="A1669" s="0" t="s">
        <v>3777</v>
      </c>
      <c r="B1669" s="0" t="s">
        <v>2835</v>
      </c>
      <c r="C1669" s="0" t="s">
        <v>31</v>
      </c>
      <c r="D1669" s="0" t="s">
        <v>2492</v>
      </c>
    </row>
    <row r="1670" customFormat="false" ht="13.5" hidden="false" customHeight="false" outlineLevel="0" collapsed="false">
      <c r="A1670" s="0" t="s">
        <v>3778</v>
      </c>
      <c r="B1670" s="0" t="s">
        <v>3779</v>
      </c>
      <c r="C1670" s="0" t="s">
        <v>31</v>
      </c>
      <c r="D1670" s="0" t="s">
        <v>1699</v>
      </c>
    </row>
    <row r="1671" customFormat="false" ht="13.5" hidden="false" customHeight="false" outlineLevel="0" collapsed="false">
      <c r="A1671" s="0" t="s">
        <v>3780</v>
      </c>
      <c r="B1671" s="0" t="s">
        <v>3781</v>
      </c>
      <c r="C1671" s="0" t="s">
        <v>31</v>
      </c>
      <c r="D1671" s="0" t="s">
        <v>1699</v>
      </c>
    </row>
    <row r="1672" customFormat="false" ht="13.5" hidden="false" customHeight="false" outlineLevel="0" collapsed="false">
      <c r="A1672" s="0" t="s">
        <v>3782</v>
      </c>
      <c r="B1672" s="0" t="s">
        <v>3783</v>
      </c>
      <c r="C1672" s="0" t="s">
        <v>31</v>
      </c>
      <c r="D1672" s="0" t="s">
        <v>1924</v>
      </c>
    </row>
    <row r="1673" customFormat="false" ht="13.5" hidden="false" customHeight="false" outlineLevel="0" collapsed="false">
      <c r="A1673" s="0" t="s">
        <v>3784</v>
      </c>
      <c r="B1673" s="0" t="s">
        <v>3785</v>
      </c>
      <c r="C1673" s="0" t="s">
        <v>31</v>
      </c>
      <c r="D1673" s="0" t="s">
        <v>1704</v>
      </c>
    </row>
    <row r="1674" customFormat="false" ht="13.5" hidden="false" customHeight="false" outlineLevel="0" collapsed="false">
      <c r="A1674" s="0" t="s">
        <v>3786</v>
      </c>
      <c r="B1674" s="0" t="s">
        <v>3787</v>
      </c>
      <c r="C1674" s="0" t="s">
        <v>31</v>
      </c>
      <c r="D1674" s="0" t="s">
        <v>2552</v>
      </c>
    </row>
    <row r="1675" customFormat="false" ht="13.5" hidden="false" customHeight="false" outlineLevel="0" collapsed="false">
      <c r="A1675" s="0" t="s">
        <v>3788</v>
      </c>
      <c r="B1675" s="0" t="s">
        <v>3789</v>
      </c>
      <c r="C1675" s="0" t="s">
        <v>31</v>
      </c>
      <c r="D1675" s="0" t="s">
        <v>413</v>
      </c>
      <c r="E1675" s="0" t="s">
        <v>32</v>
      </c>
    </row>
    <row r="1676" customFormat="false" ht="13.5" hidden="false" customHeight="false" outlineLevel="0" collapsed="false">
      <c r="A1676" s="0" t="s">
        <v>3790</v>
      </c>
      <c r="B1676" s="0" t="s">
        <v>3791</v>
      </c>
      <c r="C1676" s="3" t="s">
        <v>31</v>
      </c>
      <c r="D1676" s="0" t="s">
        <v>3674</v>
      </c>
    </row>
    <row r="1677" customFormat="false" ht="13.5" hidden="false" customHeight="false" outlineLevel="0" collapsed="false">
      <c r="A1677" s="0" t="s">
        <v>3792</v>
      </c>
      <c r="B1677" s="0" t="s">
        <v>801</v>
      </c>
      <c r="C1677" s="0" t="s">
        <v>31</v>
      </c>
      <c r="D1677" s="0" t="s">
        <v>1699</v>
      </c>
    </row>
    <row r="1678" customFormat="false" ht="13.5" hidden="false" customHeight="false" outlineLevel="0" collapsed="false">
      <c r="A1678" s="0" t="s">
        <v>3793</v>
      </c>
      <c r="B1678" s="0" t="s">
        <v>3794</v>
      </c>
      <c r="C1678" s="0" t="s">
        <v>31</v>
      </c>
      <c r="D1678" s="0" t="s">
        <v>3628</v>
      </c>
    </row>
    <row r="1679" customFormat="false" ht="13.5" hidden="false" customHeight="false" outlineLevel="0" collapsed="false">
      <c r="A1679" s="0" t="s">
        <v>3795</v>
      </c>
      <c r="B1679" s="0" t="s">
        <v>3796</v>
      </c>
      <c r="C1679" s="0" t="s">
        <v>31</v>
      </c>
      <c r="D1679" s="0" t="s">
        <v>2492</v>
      </c>
    </row>
    <row r="1680" customFormat="false" ht="13.5" hidden="false" customHeight="false" outlineLevel="0" collapsed="false">
      <c r="A1680" s="0" t="s">
        <v>3797</v>
      </c>
      <c r="B1680" s="0" t="s">
        <v>3798</v>
      </c>
      <c r="C1680" s="0" t="s">
        <v>31</v>
      </c>
      <c r="D1680" s="0" t="s">
        <v>2687</v>
      </c>
    </row>
    <row r="1681" customFormat="false" ht="13.5" hidden="false" customHeight="false" outlineLevel="0" collapsed="false">
      <c r="A1681" s="0" t="s">
        <v>3799</v>
      </c>
      <c r="B1681" s="0" t="s">
        <v>3800</v>
      </c>
      <c r="C1681" s="0" t="s">
        <v>31</v>
      </c>
      <c r="D1681" s="0" t="s">
        <v>413</v>
      </c>
      <c r="E1681" s="0" t="s">
        <v>1009</v>
      </c>
    </row>
    <row r="1682" customFormat="false" ht="13.5" hidden="false" customHeight="false" outlineLevel="0" collapsed="false">
      <c r="A1682" s="0" t="s">
        <v>3801</v>
      </c>
      <c r="B1682" s="0" t="s">
        <v>3802</v>
      </c>
      <c r="C1682" s="0" t="s">
        <v>31</v>
      </c>
      <c r="D1682" s="0" t="s">
        <v>279</v>
      </c>
    </row>
    <row r="1683" customFormat="false" ht="13.5" hidden="false" customHeight="false" outlineLevel="0" collapsed="false">
      <c r="A1683" s="0" t="s">
        <v>3803</v>
      </c>
      <c r="B1683" s="0" t="s">
        <v>3804</v>
      </c>
      <c r="C1683" s="0" t="s">
        <v>31</v>
      </c>
      <c r="D1683" s="0" t="s">
        <v>1592</v>
      </c>
    </row>
    <row r="1684" customFormat="false" ht="13.5" hidden="false" customHeight="false" outlineLevel="0" collapsed="false">
      <c r="A1684" s="0" t="s">
        <v>3805</v>
      </c>
      <c r="B1684" s="0" t="s">
        <v>3806</v>
      </c>
      <c r="C1684" s="0" t="s">
        <v>31</v>
      </c>
      <c r="D1684" s="0" t="s">
        <v>1704</v>
      </c>
    </row>
    <row r="1685" customFormat="false" ht="13.5" hidden="false" customHeight="false" outlineLevel="0" collapsed="false">
      <c r="A1685" s="0" t="s">
        <v>3807</v>
      </c>
      <c r="B1685" s="0" t="s">
        <v>3808</v>
      </c>
      <c r="C1685" s="0" t="s">
        <v>31</v>
      </c>
      <c r="D1685" s="0" t="s">
        <v>413</v>
      </c>
      <c r="E1685" s="0" t="s">
        <v>150</v>
      </c>
    </row>
    <row r="1686" customFormat="false" ht="13.5" hidden="false" customHeight="false" outlineLevel="0" collapsed="false">
      <c r="A1686" s="0" t="s">
        <v>3809</v>
      </c>
      <c r="B1686" s="0" t="s">
        <v>3810</v>
      </c>
      <c r="C1686" s="0" t="s">
        <v>31</v>
      </c>
      <c r="D1686" s="0" t="s">
        <v>1699</v>
      </c>
    </row>
    <row r="1687" customFormat="false" ht="13.5" hidden="false" customHeight="false" outlineLevel="0" collapsed="false">
      <c r="A1687" s="0" t="s">
        <v>3811</v>
      </c>
      <c r="B1687" s="0" t="s">
        <v>3343</v>
      </c>
      <c r="C1687" s="0" t="s">
        <v>31</v>
      </c>
      <c r="D1687" s="0" t="s">
        <v>1704</v>
      </c>
    </row>
    <row r="1688" customFormat="false" ht="13.5" hidden="false" customHeight="false" outlineLevel="0" collapsed="false">
      <c r="A1688" s="0" t="s">
        <v>3812</v>
      </c>
      <c r="B1688" s="0" t="s">
        <v>3813</v>
      </c>
      <c r="C1688" s="0" t="s">
        <v>31</v>
      </c>
      <c r="D1688" s="0" t="s">
        <v>413</v>
      </c>
      <c r="E1688" s="0" t="s">
        <v>150</v>
      </c>
    </row>
    <row r="1689" customFormat="false" ht="13.5" hidden="false" customHeight="false" outlineLevel="0" collapsed="false">
      <c r="A1689" s="0" t="s">
        <v>3814</v>
      </c>
      <c r="B1689" s="0" t="s">
        <v>3815</v>
      </c>
      <c r="C1689" s="0" t="s">
        <v>31</v>
      </c>
      <c r="D1689" s="0" t="s">
        <v>413</v>
      </c>
      <c r="E1689" s="0" t="s">
        <v>486</v>
      </c>
    </row>
    <row r="1690" customFormat="false" ht="13.5" hidden="false" customHeight="false" outlineLevel="0" collapsed="false">
      <c r="A1690" s="0" t="s">
        <v>3816</v>
      </c>
      <c r="B1690" s="0" t="s">
        <v>3817</v>
      </c>
      <c r="C1690" s="0" t="s">
        <v>31</v>
      </c>
      <c r="D1690" s="0" t="s">
        <v>2878</v>
      </c>
      <c r="E1690" s="0" t="s">
        <v>122</v>
      </c>
    </row>
    <row r="1691" customFormat="false" ht="13.5" hidden="false" customHeight="false" outlineLevel="0" collapsed="false">
      <c r="A1691" s="0" t="s">
        <v>3818</v>
      </c>
      <c r="B1691" s="0" t="s">
        <v>3819</v>
      </c>
      <c r="C1691" s="0" t="s">
        <v>31</v>
      </c>
      <c r="D1691" s="0" t="s">
        <v>2072</v>
      </c>
    </row>
    <row r="1692" customFormat="false" ht="13.5" hidden="false" customHeight="false" outlineLevel="0" collapsed="false">
      <c r="A1692" s="0" t="s">
        <v>3820</v>
      </c>
      <c r="B1692" s="0" t="s">
        <v>3821</v>
      </c>
      <c r="C1692" s="0" t="s">
        <v>31</v>
      </c>
      <c r="D1692" s="0" t="s">
        <v>413</v>
      </c>
      <c r="E1692" s="0" t="s">
        <v>59</v>
      </c>
    </row>
    <row r="1693" customFormat="false" ht="13.5" hidden="false" customHeight="false" outlineLevel="0" collapsed="false">
      <c r="A1693" s="0" t="s">
        <v>3822</v>
      </c>
      <c r="B1693" s="0" t="s">
        <v>3823</v>
      </c>
      <c r="C1693" s="0" t="s">
        <v>31</v>
      </c>
      <c r="D1693" s="0" t="s">
        <v>69</v>
      </c>
    </row>
    <row r="1694" customFormat="false" ht="13.5" hidden="false" customHeight="false" outlineLevel="0" collapsed="false">
      <c r="A1694" s="0" t="s">
        <v>3824</v>
      </c>
      <c r="B1694" s="0" t="s">
        <v>3825</v>
      </c>
      <c r="C1694" s="0" t="s">
        <v>31</v>
      </c>
      <c r="D1694" s="0" t="s">
        <v>1924</v>
      </c>
    </row>
    <row r="1695" customFormat="false" ht="13.5" hidden="false" customHeight="false" outlineLevel="0" collapsed="false">
      <c r="A1695" s="0" t="s">
        <v>3826</v>
      </c>
      <c r="B1695" s="0" t="s">
        <v>3827</v>
      </c>
      <c r="C1695" s="0" t="s">
        <v>31</v>
      </c>
      <c r="D1695" s="0" t="s">
        <v>413</v>
      </c>
      <c r="E1695" s="0" t="s">
        <v>1116</v>
      </c>
    </row>
    <row r="1696" customFormat="false" ht="13.5" hidden="false" customHeight="false" outlineLevel="0" collapsed="false">
      <c r="A1696" s="0" t="s">
        <v>3828</v>
      </c>
      <c r="B1696" s="0" t="s">
        <v>3829</v>
      </c>
      <c r="C1696" s="0" t="s">
        <v>31</v>
      </c>
      <c r="D1696" s="0" t="s">
        <v>1704</v>
      </c>
    </row>
    <row r="1697" customFormat="false" ht="13.5" hidden="false" customHeight="false" outlineLevel="0" collapsed="false">
      <c r="A1697" s="0" t="s">
        <v>3830</v>
      </c>
      <c r="B1697" s="0" t="s">
        <v>3831</v>
      </c>
      <c r="C1697" s="0" t="s">
        <v>31</v>
      </c>
      <c r="D1697" s="0" t="s">
        <v>413</v>
      </c>
      <c r="E1697" s="0" t="s">
        <v>98</v>
      </c>
    </row>
    <row r="1698" customFormat="false" ht="13.5" hidden="false" customHeight="false" outlineLevel="0" collapsed="false">
      <c r="A1698" s="0" t="s">
        <v>3832</v>
      </c>
      <c r="B1698" s="0" t="s">
        <v>3833</v>
      </c>
      <c r="C1698" s="0" t="s">
        <v>31</v>
      </c>
      <c r="D1698" s="0" t="s">
        <v>2072</v>
      </c>
    </row>
    <row r="1699" customFormat="false" ht="13.5" hidden="false" customHeight="false" outlineLevel="0" collapsed="false">
      <c r="A1699" s="0" t="s">
        <v>3834</v>
      </c>
      <c r="B1699" s="0" t="s">
        <v>3835</v>
      </c>
      <c r="C1699" s="0" t="s">
        <v>31</v>
      </c>
      <c r="D1699" s="0" t="s">
        <v>2072</v>
      </c>
    </row>
    <row r="1700" customFormat="false" ht="13.5" hidden="false" customHeight="false" outlineLevel="0" collapsed="false">
      <c r="A1700" s="0" t="s">
        <v>3836</v>
      </c>
      <c r="B1700" s="0" t="s">
        <v>3837</v>
      </c>
      <c r="C1700" s="0" t="s">
        <v>31</v>
      </c>
      <c r="D1700" s="0" t="s">
        <v>413</v>
      </c>
      <c r="E1700" s="0" t="s">
        <v>728</v>
      </c>
    </row>
    <row r="1701" customFormat="false" ht="13.5" hidden="false" customHeight="false" outlineLevel="0" collapsed="false">
      <c r="A1701" s="0" t="s">
        <v>3838</v>
      </c>
      <c r="B1701" s="0" t="s">
        <v>3358</v>
      </c>
      <c r="C1701" s="0" t="s">
        <v>31</v>
      </c>
      <c r="D1701" s="0" t="s">
        <v>2072</v>
      </c>
    </row>
    <row r="1702" customFormat="false" ht="13.5" hidden="false" customHeight="false" outlineLevel="0" collapsed="false">
      <c r="A1702" s="0" t="s">
        <v>3839</v>
      </c>
      <c r="B1702" s="0" t="s">
        <v>3320</v>
      </c>
      <c r="C1702" s="0" t="s">
        <v>31</v>
      </c>
      <c r="D1702" s="0" t="s">
        <v>1699</v>
      </c>
    </row>
    <row r="1703" customFormat="false" ht="13.5" hidden="false" customHeight="false" outlineLevel="0" collapsed="false">
      <c r="A1703" s="0" t="s">
        <v>3840</v>
      </c>
      <c r="B1703" s="0" t="s">
        <v>3841</v>
      </c>
      <c r="C1703" s="0" t="s">
        <v>31</v>
      </c>
      <c r="D1703" s="0" t="s">
        <v>1924</v>
      </c>
    </row>
    <row r="1704" customFormat="false" ht="13.5" hidden="false" customHeight="false" outlineLevel="0" collapsed="false">
      <c r="A1704" s="0" t="s">
        <v>3842</v>
      </c>
      <c r="B1704" s="0" t="s">
        <v>3843</v>
      </c>
      <c r="C1704" s="0" t="s">
        <v>31</v>
      </c>
      <c r="D1704" s="0" t="s">
        <v>1592</v>
      </c>
    </row>
    <row r="1705" customFormat="false" ht="13.5" hidden="false" customHeight="false" outlineLevel="0" collapsed="false">
      <c r="A1705" s="0" t="s">
        <v>3844</v>
      </c>
      <c r="B1705" s="0" t="s">
        <v>3845</v>
      </c>
      <c r="C1705" s="0" t="s">
        <v>31</v>
      </c>
      <c r="D1705" s="0" t="s">
        <v>2552</v>
      </c>
    </row>
    <row r="1706" customFormat="false" ht="13.5" hidden="false" customHeight="false" outlineLevel="0" collapsed="false">
      <c r="A1706" s="0" t="s">
        <v>3846</v>
      </c>
      <c r="B1706" s="0" t="s">
        <v>3847</v>
      </c>
      <c r="C1706" s="0" t="s">
        <v>31</v>
      </c>
      <c r="D1706" s="0" t="s">
        <v>1527</v>
      </c>
    </row>
    <row r="1707" customFormat="false" ht="13.5" hidden="false" customHeight="false" outlineLevel="0" collapsed="false">
      <c r="A1707" s="0" t="s">
        <v>3848</v>
      </c>
      <c r="B1707" s="0" t="s">
        <v>3849</v>
      </c>
      <c r="C1707" s="0" t="s">
        <v>31</v>
      </c>
      <c r="D1707" s="0" t="s">
        <v>200</v>
      </c>
      <c r="F1707" s="0" t="s">
        <v>3037</v>
      </c>
    </row>
    <row r="1708" customFormat="false" ht="13.5" hidden="false" customHeight="false" outlineLevel="0" collapsed="false">
      <c r="A1708" s="0" t="s">
        <v>3850</v>
      </c>
      <c r="B1708" s="0" t="s">
        <v>3168</v>
      </c>
      <c r="C1708" s="0" t="s">
        <v>31</v>
      </c>
      <c r="D1708" s="0" t="s">
        <v>413</v>
      </c>
    </row>
    <row r="1709" customFormat="false" ht="13.5" hidden="false" customHeight="false" outlineLevel="0" collapsed="false">
      <c r="A1709" s="0" t="s">
        <v>3851</v>
      </c>
      <c r="B1709" s="0" t="s">
        <v>3852</v>
      </c>
      <c r="C1709" s="0" t="s">
        <v>31</v>
      </c>
      <c r="D1709" s="0" t="s">
        <v>1527</v>
      </c>
    </row>
    <row r="1710" customFormat="false" ht="13.5" hidden="false" customHeight="false" outlineLevel="0" collapsed="false">
      <c r="A1710" s="0" t="s">
        <v>3853</v>
      </c>
      <c r="B1710" s="0" t="s">
        <v>3854</v>
      </c>
      <c r="C1710" s="0" t="s">
        <v>31</v>
      </c>
      <c r="D1710" s="0" t="s">
        <v>3020</v>
      </c>
    </row>
    <row r="1711" customFormat="false" ht="13.5" hidden="false" customHeight="false" outlineLevel="0" collapsed="false">
      <c r="A1711" s="0" t="s">
        <v>3855</v>
      </c>
      <c r="B1711" s="0" t="s">
        <v>3856</v>
      </c>
      <c r="C1711" s="0" t="s">
        <v>31</v>
      </c>
      <c r="D1711" s="0" t="s">
        <v>2871</v>
      </c>
    </row>
    <row r="1712" customFormat="false" ht="13.5" hidden="false" customHeight="false" outlineLevel="0" collapsed="false">
      <c r="A1712" s="0" t="s">
        <v>3857</v>
      </c>
      <c r="B1712" s="0" t="s">
        <v>3858</v>
      </c>
      <c r="C1712" s="0" t="s">
        <v>31</v>
      </c>
      <c r="D1712" s="0" t="s">
        <v>413</v>
      </c>
      <c r="E1712" s="0" t="s">
        <v>98</v>
      </c>
    </row>
    <row r="1713" customFormat="false" ht="13.5" hidden="false" customHeight="false" outlineLevel="0" collapsed="false">
      <c r="A1713" s="0" t="s">
        <v>3859</v>
      </c>
      <c r="B1713" s="0" t="s">
        <v>3860</v>
      </c>
      <c r="C1713" s="0" t="s">
        <v>31</v>
      </c>
      <c r="D1713" s="0" t="s">
        <v>413</v>
      </c>
      <c r="E1713" s="0" t="s">
        <v>12</v>
      </c>
    </row>
    <row r="1714" customFormat="false" ht="13.5" hidden="false" customHeight="false" outlineLevel="0" collapsed="false">
      <c r="A1714" s="0" t="s">
        <v>3861</v>
      </c>
      <c r="B1714" s="0" t="s">
        <v>3862</v>
      </c>
      <c r="C1714" s="0" t="s">
        <v>31</v>
      </c>
      <c r="D1714" s="0" t="s">
        <v>2552</v>
      </c>
    </row>
    <row r="1715" customFormat="false" ht="13.5" hidden="false" customHeight="false" outlineLevel="0" collapsed="false">
      <c r="A1715" s="0" t="s">
        <v>3863</v>
      </c>
      <c r="B1715" s="0" t="s">
        <v>3864</v>
      </c>
      <c r="C1715" s="0" t="s">
        <v>31</v>
      </c>
      <c r="D1715" s="0" t="s">
        <v>2492</v>
      </c>
    </row>
    <row r="1716" customFormat="false" ht="13.5" hidden="false" customHeight="false" outlineLevel="0" collapsed="false">
      <c r="A1716" s="0" t="s">
        <v>3865</v>
      </c>
      <c r="B1716" s="0" t="s">
        <v>3866</v>
      </c>
      <c r="C1716" s="0" t="s">
        <v>31</v>
      </c>
      <c r="D1716" s="0" t="s">
        <v>2386</v>
      </c>
    </row>
    <row r="1717" customFormat="false" ht="13.5" hidden="false" customHeight="false" outlineLevel="0" collapsed="false">
      <c r="A1717" s="0" t="s">
        <v>3867</v>
      </c>
      <c r="B1717" s="0" t="s">
        <v>3868</v>
      </c>
      <c r="C1717" s="0" t="s">
        <v>31</v>
      </c>
      <c r="D1717" s="0" t="s">
        <v>2492</v>
      </c>
    </row>
    <row r="1718" customFormat="false" ht="13.5" hidden="false" customHeight="false" outlineLevel="0" collapsed="false">
      <c r="A1718" s="0" t="s">
        <v>3869</v>
      </c>
      <c r="B1718" s="0" t="s">
        <v>3870</v>
      </c>
      <c r="C1718" s="0" t="s">
        <v>31</v>
      </c>
      <c r="D1718" s="0" t="s">
        <v>19</v>
      </c>
      <c r="E1718" s="0" t="s">
        <v>186</v>
      </c>
      <c r="F1718" s="0" t="s">
        <v>60</v>
      </c>
    </row>
    <row r="1719" customFormat="false" ht="13.5" hidden="false" customHeight="false" outlineLevel="0" collapsed="false">
      <c r="A1719" s="0" t="s">
        <v>3871</v>
      </c>
      <c r="B1719" s="0" t="s">
        <v>3872</v>
      </c>
      <c r="C1719" s="0" t="s">
        <v>31</v>
      </c>
      <c r="D1719" s="0" t="s">
        <v>19</v>
      </c>
      <c r="E1719" s="0" t="s">
        <v>32</v>
      </c>
      <c r="F1719" s="0" t="s">
        <v>1782</v>
      </c>
    </row>
    <row r="1720" customFormat="false" ht="13.5" hidden="false" customHeight="false" outlineLevel="0" collapsed="false">
      <c r="A1720" s="0" t="s">
        <v>3873</v>
      </c>
      <c r="B1720" s="0" t="s">
        <v>3874</v>
      </c>
      <c r="C1720" s="0" t="s">
        <v>31</v>
      </c>
      <c r="D1720" s="0" t="s">
        <v>1704</v>
      </c>
    </row>
    <row r="1721" customFormat="false" ht="13.5" hidden="false" customHeight="false" outlineLevel="0" collapsed="false">
      <c r="A1721" s="0" t="s">
        <v>3875</v>
      </c>
      <c r="B1721" s="0" t="s">
        <v>3876</v>
      </c>
      <c r="C1721" s="0" t="s">
        <v>31</v>
      </c>
      <c r="D1721" s="0" t="s">
        <v>2072</v>
      </c>
    </row>
    <row r="1722" customFormat="false" ht="13.5" hidden="false" customHeight="false" outlineLevel="0" collapsed="false">
      <c r="A1722" s="0" t="s">
        <v>3877</v>
      </c>
      <c r="B1722" s="0" t="s">
        <v>3878</v>
      </c>
      <c r="C1722" s="0" t="s">
        <v>31</v>
      </c>
      <c r="D1722" s="0" t="s">
        <v>1651</v>
      </c>
    </row>
    <row r="1723" customFormat="false" ht="13.5" hidden="false" customHeight="false" outlineLevel="0" collapsed="false">
      <c r="A1723" s="0" t="s">
        <v>3879</v>
      </c>
      <c r="B1723" s="0" t="s">
        <v>3880</v>
      </c>
      <c r="C1723" s="0" t="s">
        <v>31</v>
      </c>
      <c r="D1723" s="0" t="s">
        <v>2072</v>
      </c>
    </row>
    <row r="1724" customFormat="false" ht="13.5" hidden="false" customHeight="false" outlineLevel="0" collapsed="false">
      <c r="A1724" s="0" t="s">
        <v>3881</v>
      </c>
      <c r="B1724" s="0" t="s">
        <v>3882</v>
      </c>
      <c r="C1724" s="0" t="s">
        <v>31</v>
      </c>
      <c r="D1724" s="0" t="s">
        <v>1592</v>
      </c>
    </row>
    <row r="1725" customFormat="false" ht="13.5" hidden="false" customHeight="false" outlineLevel="0" collapsed="false">
      <c r="A1725" s="0" t="s">
        <v>3883</v>
      </c>
      <c r="B1725" s="0" t="s">
        <v>3884</v>
      </c>
      <c r="C1725" s="0" t="s">
        <v>31</v>
      </c>
      <c r="D1725" s="0" t="s">
        <v>413</v>
      </c>
      <c r="E1725" s="0" t="s">
        <v>3885</v>
      </c>
      <c r="F1725" s="0" t="s">
        <v>60</v>
      </c>
    </row>
    <row r="1726" customFormat="false" ht="13.5" hidden="false" customHeight="false" outlineLevel="0" collapsed="false">
      <c r="A1726" s="0" t="s">
        <v>3886</v>
      </c>
      <c r="B1726" s="0" t="s">
        <v>3887</v>
      </c>
      <c r="C1726" s="0" t="s">
        <v>31</v>
      </c>
      <c r="D1726" s="0" t="s">
        <v>1651</v>
      </c>
    </row>
    <row r="1727" customFormat="false" ht="13.5" hidden="false" customHeight="false" outlineLevel="0" collapsed="false">
      <c r="A1727" s="0" t="s">
        <v>3888</v>
      </c>
      <c r="B1727" s="0" t="s">
        <v>3889</v>
      </c>
      <c r="C1727" s="0" t="s">
        <v>31</v>
      </c>
      <c r="D1727" s="0" t="s">
        <v>3890</v>
      </c>
    </row>
    <row r="1728" customFormat="false" ht="13.5" hidden="false" customHeight="false" outlineLevel="0" collapsed="false">
      <c r="A1728" s="0" t="s">
        <v>3891</v>
      </c>
      <c r="B1728" s="0" t="s">
        <v>3892</v>
      </c>
      <c r="C1728" s="0" t="s">
        <v>31</v>
      </c>
      <c r="D1728" s="0" t="s">
        <v>2492</v>
      </c>
    </row>
    <row r="1729" customFormat="false" ht="13.5" hidden="false" customHeight="false" outlineLevel="0" collapsed="false">
      <c r="A1729" s="0" t="s">
        <v>3893</v>
      </c>
      <c r="B1729" s="0" t="s">
        <v>3894</v>
      </c>
      <c r="C1729" s="0" t="s">
        <v>31</v>
      </c>
      <c r="D1729" s="0" t="s">
        <v>3895</v>
      </c>
    </row>
    <row r="1730" customFormat="false" ht="13.5" hidden="false" customHeight="false" outlineLevel="0" collapsed="false">
      <c r="A1730" s="0" t="s">
        <v>3896</v>
      </c>
      <c r="B1730" s="0" t="s">
        <v>3897</v>
      </c>
      <c r="C1730" s="0" t="s">
        <v>31</v>
      </c>
      <c r="D1730" s="0" t="s">
        <v>2492</v>
      </c>
    </row>
    <row r="1731" customFormat="false" ht="13.5" hidden="false" customHeight="false" outlineLevel="0" collapsed="false">
      <c r="A1731" s="0" t="s">
        <v>3898</v>
      </c>
      <c r="B1731" s="0" t="s">
        <v>3899</v>
      </c>
      <c r="C1731" s="0" t="s">
        <v>31</v>
      </c>
      <c r="D1731" s="0" t="s">
        <v>16</v>
      </c>
      <c r="E1731" s="0" t="s">
        <v>53</v>
      </c>
      <c r="F1731" s="0" t="s">
        <v>1669</v>
      </c>
    </row>
    <row r="1732" customFormat="false" ht="13.5" hidden="false" customHeight="false" outlineLevel="0" collapsed="false">
      <c r="A1732" s="0" t="s">
        <v>3900</v>
      </c>
      <c r="B1732" s="0" t="s">
        <v>3901</v>
      </c>
      <c r="C1732" s="0" t="s">
        <v>31</v>
      </c>
      <c r="D1732" s="0" t="s">
        <v>413</v>
      </c>
      <c r="E1732" s="0" t="s">
        <v>32</v>
      </c>
    </row>
    <row r="1733" customFormat="false" ht="13.5" hidden="false" customHeight="false" outlineLevel="0" collapsed="false">
      <c r="A1733" s="0" t="s">
        <v>3902</v>
      </c>
      <c r="B1733" s="0" t="s">
        <v>3903</v>
      </c>
      <c r="C1733" s="0" t="s">
        <v>31</v>
      </c>
      <c r="D1733" s="0" t="s">
        <v>2492</v>
      </c>
    </row>
    <row r="1734" customFormat="false" ht="13.5" hidden="false" customHeight="false" outlineLevel="0" collapsed="false">
      <c r="A1734" s="0" t="s">
        <v>3904</v>
      </c>
      <c r="B1734" s="0" t="s">
        <v>3905</v>
      </c>
      <c r="C1734" s="0" t="s">
        <v>31</v>
      </c>
      <c r="D1734" s="0" t="s">
        <v>2492</v>
      </c>
    </row>
    <row r="1735" customFormat="false" ht="13.5" hidden="false" customHeight="false" outlineLevel="0" collapsed="false">
      <c r="A1735" s="0" t="s">
        <v>3906</v>
      </c>
      <c r="B1735" s="0" t="s">
        <v>3907</v>
      </c>
      <c r="C1735" s="0" t="s">
        <v>31</v>
      </c>
      <c r="D1735" s="0" t="s">
        <v>19</v>
      </c>
      <c r="E1735" s="0" t="s">
        <v>98</v>
      </c>
      <c r="F1735" s="0" t="s">
        <v>60</v>
      </c>
    </row>
    <row r="1736" customFormat="false" ht="13.5" hidden="false" customHeight="false" outlineLevel="0" collapsed="false">
      <c r="A1736" s="0" t="s">
        <v>3908</v>
      </c>
      <c r="B1736" s="0" t="s">
        <v>3909</v>
      </c>
      <c r="C1736" s="0" t="s">
        <v>31</v>
      </c>
      <c r="D1736" s="0" t="s">
        <v>413</v>
      </c>
      <c r="E1736" s="0" t="s">
        <v>486</v>
      </c>
    </row>
    <row r="1737" customFormat="false" ht="13.5" hidden="false" customHeight="false" outlineLevel="0" collapsed="false">
      <c r="A1737" s="0" t="s">
        <v>3910</v>
      </c>
      <c r="B1737" s="0" t="s">
        <v>3911</v>
      </c>
      <c r="C1737" s="0" t="s">
        <v>31</v>
      </c>
      <c r="D1737" s="0" t="s">
        <v>413</v>
      </c>
      <c r="E1737" s="0" t="s">
        <v>32</v>
      </c>
    </row>
    <row r="1738" customFormat="false" ht="13.5" hidden="false" customHeight="false" outlineLevel="0" collapsed="false">
      <c r="A1738" s="0" t="s">
        <v>3912</v>
      </c>
      <c r="B1738" s="0" t="s">
        <v>3913</v>
      </c>
      <c r="C1738" s="0" t="s">
        <v>31</v>
      </c>
      <c r="D1738" s="0" t="s">
        <v>3469</v>
      </c>
    </row>
    <row r="1739" customFormat="false" ht="13.5" hidden="false" customHeight="false" outlineLevel="0" collapsed="false">
      <c r="A1739" s="0" t="s">
        <v>3914</v>
      </c>
      <c r="B1739" s="0" t="s">
        <v>3915</v>
      </c>
      <c r="C1739" s="0" t="s">
        <v>31</v>
      </c>
      <c r="D1739" s="0" t="s">
        <v>413</v>
      </c>
      <c r="E1739" s="0" t="s">
        <v>98</v>
      </c>
    </row>
    <row r="1740" customFormat="false" ht="13.5" hidden="false" customHeight="false" outlineLevel="0" collapsed="false">
      <c r="A1740" s="0" t="s">
        <v>3916</v>
      </c>
      <c r="B1740" s="0" t="s">
        <v>3917</v>
      </c>
      <c r="C1740" s="0" t="s">
        <v>31</v>
      </c>
      <c r="D1740" s="0" t="s">
        <v>19</v>
      </c>
      <c r="E1740" s="0" t="s">
        <v>150</v>
      </c>
      <c r="F1740" s="0" t="s">
        <v>60</v>
      </c>
    </row>
    <row r="1741" customFormat="false" ht="13.5" hidden="false" customHeight="false" outlineLevel="0" collapsed="false">
      <c r="A1741" s="0" t="s">
        <v>3918</v>
      </c>
      <c r="B1741" s="0" t="s">
        <v>3919</v>
      </c>
      <c r="C1741" s="0" t="s">
        <v>31</v>
      </c>
      <c r="D1741" s="0" t="s">
        <v>3261</v>
      </c>
    </row>
    <row r="1742" customFormat="false" ht="13.5" hidden="false" customHeight="false" outlineLevel="0" collapsed="false">
      <c r="A1742" s="0" t="s">
        <v>3920</v>
      </c>
      <c r="B1742" s="0" t="s">
        <v>3921</v>
      </c>
      <c r="C1742" s="0" t="s">
        <v>31</v>
      </c>
      <c r="D1742" s="0" t="s">
        <v>1592</v>
      </c>
    </row>
    <row r="1743" customFormat="false" ht="13.5" hidden="false" customHeight="false" outlineLevel="0" collapsed="false">
      <c r="A1743" s="0" t="s">
        <v>3922</v>
      </c>
      <c r="B1743" s="0" t="s">
        <v>3923</v>
      </c>
      <c r="C1743" s="0" t="s">
        <v>31</v>
      </c>
      <c r="D1743" s="0" t="s">
        <v>19</v>
      </c>
      <c r="E1743" s="0" t="s">
        <v>348</v>
      </c>
      <c r="F1743" s="0" t="s">
        <v>60</v>
      </c>
    </row>
    <row r="1744" customFormat="false" ht="13.5" hidden="false" customHeight="false" outlineLevel="0" collapsed="false">
      <c r="A1744" s="0" t="s">
        <v>3924</v>
      </c>
      <c r="B1744" s="0" t="s">
        <v>3925</v>
      </c>
      <c r="C1744" s="0" t="s">
        <v>31</v>
      </c>
      <c r="D1744" s="0" t="s">
        <v>3691</v>
      </c>
    </row>
    <row r="1745" customFormat="false" ht="13.5" hidden="false" customHeight="false" outlineLevel="0" collapsed="false">
      <c r="A1745" s="0" t="s">
        <v>3926</v>
      </c>
      <c r="B1745" s="0" t="s">
        <v>3927</v>
      </c>
      <c r="C1745" s="0" t="s">
        <v>31</v>
      </c>
      <c r="D1745" s="0" t="s">
        <v>1737</v>
      </c>
    </row>
    <row r="1746" customFormat="false" ht="13.5" hidden="false" customHeight="false" outlineLevel="0" collapsed="false">
      <c r="A1746" s="0" t="s">
        <v>3928</v>
      </c>
      <c r="B1746" s="0" t="s">
        <v>3929</v>
      </c>
      <c r="C1746" s="0" t="s">
        <v>31</v>
      </c>
      <c r="D1746" s="0" t="s">
        <v>3691</v>
      </c>
    </row>
    <row r="1747" customFormat="false" ht="13.5" hidden="false" customHeight="false" outlineLevel="0" collapsed="false">
      <c r="A1747" s="0" t="s">
        <v>3930</v>
      </c>
      <c r="B1747" s="0" t="s">
        <v>3931</v>
      </c>
      <c r="C1747" s="0" t="s">
        <v>31</v>
      </c>
      <c r="D1747" s="0" t="s">
        <v>1699</v>
      </c>
    </row>
    <row r="1748" customFormat="false" ht="13.5" hidden="false" customHeight="false" outlineLevel="0" collapsed="false">
      <c r="A1748" s="0" t="s">
        <v>3932</v>
      </c>
      <c r="B1748" s="0" t="s">
        <v>3933</v>
      </c>
      <c r="C1748" s="0" t="s">
        <v>31</v>
      </c>
      <c r="D1748" s="0" t="s">
        <v>413</v>
      </c>
      <c r="E1748" s="0" t="s">
        <v>98</v>
      </c>
    </row>
    <row r="1749" customFormat="false" ht="13.5" hidden="false" customHeight="false" outlineLevel="0" collapsed="false">
      <c r="A1749" s="0" t="s">
        <v>3934</v>
      </c>
      <c r="B1749" s="0" t="s">
        <v>3935</v>
      </c>
      <c r="C1749" s="0" t="s">
        <v>31</v>
      </c>
      <c r="D1749" s="0" t="s">
        <v>2072</v>
      </c>
    </row>
    <row r="1750" customFormat="false" ht="13.5" hidden="false" customHeight="false" outlineLevel="0" collapsed="false">
      <c r="A1750" s="0" t="s">
        <v>3936</v>
      </c>
      <c r="B1750" s="0" t="s">
        <v>2394</v>
      </c>
      <c r="C1750" s="0" t="s">
        <v>31</v>
      </c>
      <c r="D1750" s="0" t="s">
        <v>19</v>
      </c>
      <c r="E1750" s="0" t="s">
        <v>3937</v>
      </c>
      <c r="F1750" s="0" t="s">
        <v>1782</v>
      </c>
    </row>
    <row r="1751" customFormat="false" ht="13.5" hidden="false" customHeight="false" outlineLevel="0" collapsed="false">
      <c r="A1751" s="0" t="s">
        <v>3938</v>
      </c>
      <c r="B1751" s="0" t="s">
        <v>3939</v>
      </c>
      <c r="C1751" s="0" t="s">
        <v>31</v>
      </c>
      <c r="D1751" s="0" t="s">
        <v>413</v>
      </c>
      <c r="E1751" s="0" t="s">
        <v>186</v>
      </c>
    </row>
    <row r="1752" customFormat="false" ht="13.5" hidden="false" customHeight="false" outlineLevel="0" collapsed="false">
      <c r="A1752" s="0" t="s">
        <v>3940</v>
      </c>
      <c r="B1752" s="0" t="s">
        <v>3941</v>
      </c>
      <c r="C1752" s="0" t="s">
        <v>31</v>
      </c>
      <c r="D1752" s="0" t="s">
        <v>2878</v>
      </c>
      <c r="E1752" s="0" t="s">
        <v>122</v>
      </c>
    </row>
    <row r="1753" customFormat="false" ht="13.5" hidden="false" customHeight="false" outlineLevel="0" collapsed="false">
      <c r="A1753" s="0" t="s">
        <v>3942</v>
      </c>
      <c r="B1753" s="0" t="s">
        <v>3943</v>
      </c>
      <c r="C1753" s="0" t="s">
        <v>31</v>
      </c>
      <c r="D1753" s="0" t="s">
        <v>1540</v>
      </c>
    </row>
    <row r="1754" customFormat="false" ht="13.5" hidden="false" customHeight="false" outlineLevel="0" collapsed="false">
      <c r="A1754" s="0" t="s">
        <v>3944</v>
      </c>
      <c r="B1754" s="0" t="s">
        <v>3945</v>
      </c>
      <c r="C1754" s="0" t="s">
        <v>31</v>
      </c>
      <c r="D1754" s="0" t="s">
        <v>413</v>
      </c>
      <c r="E1754" s="0" t="s">
        <v>1292</v>
      </c>
    </row>
    <row r="1755" customFormat="false" ht="13.5" hidden="false" customHeight="false" outlineLevel="0" collapsed="false">
      <c r="A1755" s="0" t="s">
        <v>3946</v>
      </c>
      <c r="B1755" s="0" t="s">
        <v>3947</v>
      </c>
      <c r="C1755" s="0" t="s">
        <v>31</v>
      </c>
      <c r="D1755" s="0" t="s">
        <v>1699</v>
      </c>
    </row>
    <row r="1756" customFormat="false" ht="13.5" hidden="false" customHeight="false" outlineLevel="0" collapsed="false">
      <c r="A1756" s="0" t="s">
        <v>3948</v>
      </c>
      <c r="B1756" s="0" t="s">
        <v>3949</v>
      </c>
      <c r="C1756" s="0" t="s">
        <v>31</v>
      </c>
      <c r="D1756" s="3" t="s">
        <v>1924</v>
      </c>
    </row>
    <row r="1757" customFormat="false" ht="13.5" hidden="false" customHeight="false" outlineLevel="0" collapsed="false">
      <c r="A1757" s="0" t="s">
        <v>3950</v>
      </c>
      <c r="B1757" s="0" t="s">
        <v>3951</v>
      </c>
      <c r="C1757" s="0" t="s">
        <v>31</v>
      </c>
      <c r="D1757" s="0" t="s">
        <v>1592</v>
      </c>
    </row>
    <row r="1758" customFormat="false" ht="13.5" hidden="false" customHeight="false" outlineLevel="0" collapsed="false">
      <c r="A1758" s="0" t="s">
        <v>3952</v>
      </c>
      <c r="B1758" s="0" t="s">
        <v>3953</v>
      </c>
      <c r="C1758" s="0" t="s">
        <v>31</v>
      </c>
      <c r="D1758" s="0" t="s">
        <v>19</v>
      </c>
      <c r="E1758" s="0" t="s">
        <v>150</v>
      </c>
      <c r="F1758" s="0" t="s">
        <v>1901</v>
      </c>
    </row>
    <row r="1759" customFormat="false" ht="13.5" hidden="false" customHeight="false" outlineLevel="0" collapsed="false">
      <c r="A1759" s="0" t="s">
        <v>3954</v>
      </c>
      <c r="B1759" s="0" t="s">
        <v>3955</v>
      </c>
      <c r="C1759" s="0" t="s">
        <v>31</v>
      </c>
      <c r="D1759" s="0" t="s">
        <v>1924</v>
      </c>
    </row>
    <row r="1760" customFormat="false" ht="13.5" hidden="false" customHeight="false" outlineLevel="0" collapsed="false">
      <c r="A1760" s="0" t="s">
        <v>3956</v>
      </c>
      <c r="B1760" s="0" t="s">
        <v>3957</v>
      </c>
      <c r="C1760" s="0" t="s">
        <v>31</v>
      </c>
      <c r="D1760" s="0" t="s">
        <v>413</v>
      </c>
      <c r="E1760" s="0" t="s">
        <v>32</v>
      </c>
    </row>
    <row r="1761" customFormat="false" ht="13.5" hidden="false" customHeight="false" outlineLevel="0" collapsed="false">
      <c r="A1761" s="0" t="s">
        <v>3958</v>
      </c>
      <c r="B1761" s="0" t="s">
        <v>3959</v>
      </c>
      <c r="C1761" s="0" t="s">
        <v>31</v>
      </c>
      <c r="D1761" s="0" t="s">
        <v>2492</v>
      </c>
    </row>
    <row r="1762" customFormat="false" ht="13.5" hidden="false" customHeight="false" outlineLevel="0" collapsed="false">
      <c r="A1762" s="0" t="s">
        <v>3960</v>
      </c>
      <c r="B1762" s="0" t="s">
        <v>3961</v>
      </c>
      <c r="C1762" s="0" t="s">
        <v>31</v>
      </c>
      <c r="D1762" s="0" t="s">
        <v>19</v>
      </c>
      <c r="E1762" s="0" t="s">
        <v>3962</v>
      </c>
      <c r="F1762" s="0" t="s">
        <v>60</v>
      </c>
    </row>
    <row r="1763" customFormat="false" ht="13.5" hidden="false" customHeight="false" outlineLevel="0" collapsed="false">
      <c r="A1763" s="0" t="s">
        <v>3963</v>
      </c>
      <c r="B1763" s="0" t="s">
        <v>3964</v>
      </c>
      <c r="C1763" s="0" t="s">
        <v>31</v>
      </c>
      <c r="D1763" s="0" t="s">
        <v>19</v>
      </c>
      <c r="E1763" s="0" t="s">
        <v>3965</v>
      </c>
    </row>
    <row r="1764" customFormat="false" ht="13.5" hidden="false" customHeight="false" outlineLevel="0" collapsed="false">
      <c r="A1764" s="0" t="s">
        <v>3966</v>
      </c>
      <c r="B1764" s="0" t="s">
        <v>3967</v>
      </c>
      <c r="C1764" s="0" t="s">
        <v>31</v>
      </c>
      <c r="D1764" s="0" t="s">
        <v>1592</v>
      </c>
    </row>
    <row r="1765" customFormat="false" ht="13.5" hidden="false" customHeight="false" outlineLevel="0" collapsed="false">
      <c r="A1765" s="0" t="s">
        <v>3968</v>
      </c>
      <c r="B1765" s="0" t="s">
        <v>3969</v>
      </c>
      <c r="C1765" s="0" t="s">
        <v>31</v>
      </c>
      <c r="D1765" s="0" t="s">
        <v>1704</v>
      </c>
      <c r="E1765" s="0" t="s">
        <v>3970</v>
      </c>
    </row>
    <row r="1766" customFormat="false" ht="13.5" hidden="false" customHeight="false" outlineLevel="0" collapsed="false">
      <c r="A1766" s="0" t="s">
        <v>3971</v>
      </c>
      <c r="B1766" s="0" t="s">
        <v>3972</v>
      </c>
      <c r="C1766" s="0" t="s">
        <v>31</v>
      </c>
      <c r="D1766" s="0" t="s">
        <v>413</v>
      </c>
      <c r="E1766" s="0" t="s">
        <v>1289</v>
      </c>
    </row>
    <row r="1767" customFormat="false" ht="13.5" hidden="false" customHeight="false" outlineLevel="0" collapsed="false">
      <c r="A1767" s="0" t="s">
        <v>3973</v>
      </c>
      <c r="B1767" s="0" t="s">
        <v>3974</v>
      </c>
      <c r="C1767" s="0" t="s">
        <v>31</v>
      </c>
      <c r="D1767" s="0" t="s">
        <v>2356</v>
      </c>
    </row>
    <row r="1768" customFormat="false" ht="13.5" hidden="false" customHeight="false" outlineLevel="0" collapsed="false">
      <c r="A1768" s="0" t="s">
        <v>3975</v>
      </c>
      <c r="B1768" s="0" t="s">
        <v>3976</v>
      </c>
      <c r="C1768" s="0" t="s">
        <v>31</v>
      </c>
      <c r="D1768" s="0" t="s">
        <v>1957</v>
      </c>
    </row>
    <row r="1769" customFormat="false" ht="13.5" hidden="false" customHeight="false" outlineLevel="0" collapsed="false">
      <c r="A1769" s="0" t="s">
        <v>3977</v>
      </c>
      <c r="B1769" s="0" t="s">
        <v>3802</v>
      </c>
      <c r="C1769" s="0" t="s">
        <v>31</v>
      </c>
      <c r="D1769" s="0" t="s">
        <v>19</v>
      </c>
      <c r="E1769" s="0" t="s">
        <v>3978</v>
      </c>
      <c r="F1769" s="0" t="s">
        <v>60</v>
      </c>
    </row>
    <row r="1770" customFormat="false" ht="13.5" hidden="false" customHeight="false" outlineLevel="0" collapsed="false">
      <c r="A1770" s="0" t="s">
        <v>3979</v>
      </c>
      <c r="B1770" s="0" t="s">
        <v>3980</v>
      </c>
      <c r="C1770" s="0" t="s">
        <v>31</v>
      </c>
      <c r="D1770" s="0" t="s">
        <v>2072</v>
      </c>
    </row>
    <row r="1771" customFormat="false" ht="13.5" hidden="false" customHeight="false" outlineLevel="0" collapsed="false">
      <c r="A1771" s="0" t="s">
        <v>3981</v>
      </c>
      <c r="B1771" s="0" t="s">
        <v>3982</v>
      </c>
      <c r="C1771" s="0" t="s">
        <v>31</v>
      </c>
      <c r="D1771" s="0" t="s">
        <v>413</v>
      </c>
      <c r="E1771" s="0" t="s">
        <v>1043</v>
      </c>
    </row>
    <row r="1772" customFormat="false" ht="13.5" hidden="false" customHeight="false" outlineLevel="0" collapsed="false">
      <c r="A1772" s="0" t="s">
        <v>3983</v>
      </c>
      <c r="B1772" s="0" t="s">
        <v>3984</v>
      </c>
      <c r="C1772" s="0" t="s">
        <v>31</v>
      </c>
      <c r="D1772" s="0" t="s">
        <v>1957</v>
      </c>
    </row>
    <row r="1773" customFormat="false" ht="13.5" hidden="false" customHeight="false" outlineLevel="0" collapsed="false">
      <c r="A1773" s="0" t="s">
        <v>3985</v>
      </c>
      <c r="B1773" s="0" t="s">
        <v>3986</v>
      </c>
      <c r="C1773" s="0" t="s">
        <v>31</v>
      </c>
      <c r="D1773" s="0" t="s">
        <v>413</v>
      </c>
      <c r="E1773" s="0" t="s">
        <v>150</v>
      </c>
    </row>
    <row r="1774" customFormat="false" ht="13.5" hidden="false" customHeight="false" outlineLevel="0" collapsed="false">
      <c r="A1774" s="0" t="s">
        <v>3987</v>
      </c>
      <c r="B1774" s="0" t="s">
        <v>3988</v>
      </c>
      <c r="C1774" s="0" t="s">
        <v>31</v>
      </c>
      <c r="D1774" s="0" t="s">
        <v>1699</v>
      </c>
      <c r="F1774" s="0" t="s">
        <v>60</v>
      </c>
    </row>
    <row r="1775" customFormat="false" ht="13.5" hidden="false" customHeight="false" outlineLevel="0" collapsed="false">
      <c r="A1775" s="0" t="s">
        <v>3989</v>
      </c>
      <c r="B1775" s="0" t="s">
        <v>3990</v>
      </c>
      <c r="C1775" s="0" t="s">
        <v>31</v>
      </c>
      <c r="D1775" s="0" t="s">
        <v>2072</v>
      </c>
    </row>
    <row r="1776" customFormat="false" ht="13.5" hidden="false" customHeight="false" outlineLevel="0" collapsed="false">
      <c r="A1776" s="0" t="s">
        <v>3991</v>
      </c>
      <c r="B1776" s="0" t="s">
        <v>3992</v>
      </c>
      <c r="C1776" s="0" t="s">
        <v>31</v>
      </c>
      <c r="D1776" s="0" t="s">
        <v>3993</v>
      </c>
    </row>
    <row r="1777" customFormat="false" ht="13.5" hidden="false" customHeight="false" outlineLevel="0" collapsed="false">
      <c r="A1777" s="0" t="s">
        <v>3994</v>
      </c>
      <c r="B1777" s="0" t="s">
        <v>3995</v>
      </c>
      <c r="C1777" s="0" t="s">
        <v>31</v>
      </c>
      <c r="D1777" s="0" t="s">
        <v>19</v>
      </c>
      <c r="E1777" s="0" t="s">
        <v>317</v>
      </c>
      <c r="F1777" s="0" t="s">
        <v>60</v>
      </c>
    </row>
    <row r="1778" customFormat="false" ht="13.5" hidden="false" customHeight="false" outlineLevel="0" collapsed="false">
      <c r="A1778" s="0" t="s">
        <v>3996</v>
      </c>
      <c r="B1778" s="0" t="s">
        <v>3997</v>
      </c>
      <c r="C1778" s="0" t="s">
        <v>31</v>
      </c>
      <c r="D1778" s="0" t="s">
        <v>19</v>
      </c>
      <c r="E1778" s="0" t="s">
        <v>98</v>
      </c>
      <c r="F1778" s="0" t="s">
        <v>1782</v>
      </c>
    </row>
    <row r="1779" customFormat="false" ht="13.5" hidden="false" customHeight="false" outlineLevel="0" collapsed="false">
      <c r="A1779" s="0" t="s">
        <v>3998</v>
      </c>
      <c r="B1779" s="0" t="s">
        <v>3999</v>
      </c>
      <c r="C1779" s="0" t="s">
        <v>31</v>
      </c>
      <c r="D1779" s="0" t="s">
        <v>2054</v>
      </c>
    </row>
    <row r="1780" customFormat="false" ht="13.5" hidden="false" customHeight="false" outlineLevel="0" collapsed="false">
      <c r="A1780" s="0" t="s">
        <v>4000</v>
      </c>
      <c r="B1780" s="0" t="s">
        <v>801</v>
      </c>
      <c r="C1780" s="0" t="s">
        <v>31</v>
      </c>
      <c r="D1780" s="0" t="s">
        <v>19</v>
      </c>
      <c r="E1780" s="0" t="s">
        <v>98</v>
      </c>
      <c r="F1780" s="0" t="s">
        <v>60</v>
      </c>
    </row>
    <row r="1781" customFormat="false" ht="13.5" hidden="false" customHeight="false" outlineLevel="0" collapsed="false">
      <c r="A1781" s="0" t="s">
        <v>4001</v>
      </c>
      <c r="B1781" s="0" t="s">
        <v>4002</v>
      </c>
      <c r="C1781" s="0" t="s">
        <v>31</v>
      </c>
      <c r="D1781" s="0" t="s">
        <v>413</v>
      </c>
      <c r="E1781" s="0" t="s">
        <v>200</v>
      </c>
    </row>
    <row r="1782" customFormat="false" ht="13.5" hidden="false" customHeight="false" outlineLevel="0" collapsed="false">
      <c r="A1782" s="0" t="s">
        <v>4003</v>
      </c>
      <c r="B1782" s="0" t="s">
        <v>4004</v>
      </c>
      <c r="C1782" s="0" t="s">
        <v>31</v>
      </c>
      <c r="D1782" s="0" t="s">
        <v>2386</v>
      </c>
    </row>
    <row r="1783" customFormat="false" ht="13.5" hidden="false" customHeight="false" outlineLevel="0" collapsed="false">
      <c r="A1783" s="0" t="s">
        <v>4005</v>
      </c>
      <c r="B1783" s="0" t="s">
        <v>4006</v>
      </c>
      <c r="C1783" s="0" t="s">
        <v>31</v>
      </c>
      <c r="D1783" s="0" t="s">
        <v>1957</v>
      </c>
    </row>
    <row r="1784" customFormat="false" ht="13.5" hidden="false" customHeight="false" outlineLevel="0" collapsed="false">
      <c r="A1784" s="0" t="s">
        <v>4007</v>
      </c>
      <c r="B1784" s="0" t="s">
        <v>4008</v>
      </c>
      <c r="C1784" s="0" t="s">
        <v>31</v>
      </c>
      <c r="D1784" s="0" t="s">
        <v>3890</v>
      </c>
    </row>
    <row r="1785" customFormat="false" ht="13.5" hidden="false" customHeight="false" outlineLevel="0" collapsed="false">
      <c r="A1785" s="0" t="s">
        <v>4009</v>
      </c>
      <c r="B1785" s="0" t="s">
        <v>4010</v>
      </c>
      <c r="C1785" s="0" t="s">
        <v>31</v>
      </c>
      <c r="D1785" s="0" t="s">
        <v>1704</v>
      </c>
    </row>
    <row r="1786" customFormat="false" ht="13.5" hidden="false" customHeight="false" outlineLevel="0" collapsed="false">
      <c r="A1786" s="0" t="s">
        <v>4011</v>
      </c>
      <c r="B1786" s="0" t="s">
        <v>4012</v>
      </c>
      <c r="C1786" s="0" t="s">
        <v>31</v>
      </c>
      <c r="D1786" s="0" t="s">
        <v>1704</v>
      </c>
    </row>
    <row r="1787" customFormat="false" ht="13.5" hidden="false" customHeight="false" outlineLevel="0" collapsed="false">
      <c r="A1787" s="0" t="s">
        <v>4013</v>
      </c>
      <c r="B1787" s="0" t="s">
        <v>4014</v>
      </c>
      <c r="C1787" s="0" t="s">
        <v>31</v>
      </c>
      <c r="D1787" s="0" t="s">
        <v>16</v>
      </c>
      <c r="E1787" s="0" t="s">
        <v>53</v>
      </c>
      <c r="F1787" s="0" t="s">
        <v>1669</v>
      </c>
    </row>
    <row r="1788" customFormat="false" ht="13.5" hidden="false" customHeight="false" outlineLevel="0" collapsed="false">
      <c r="A1788" s="0" t="s">
        <v>4015</v>
      </c>
      <c r="B1788" s="0" t="s">
        <v>4016</v>
      </c>
      <c r="C1788" s="0" t="s">
        <v>31</v>
      </c>
      <c r="D1788" s="0" t="s">
        <v>3691</v>
      </c>
    </row>
    <row r="1789" customFormat="false" ht="13.5" hidden="false" customHeight="false" outlineLevel="0" collapsed="false">
      <c r="A1789" s="0" t="s">
        <v>4017</v>
      </c>
      <c r="B1789" s="0" t="s">
        <v>4018</v>
      </c>
      <c r="C1789" s="0" t="s">
        <v>31</v>
      </c>
      <c r="D1789" s="0" t="s">
        <v>1699</v>
      </c>
    </row>
    <row r="1790" customFormat="false" ht="13.5" hidden="false" customHeight="false" outlineLevel="0" collapsed="false">
      <c r="A1790" s="0" t="s">
        <v>4019</v>
      </c>
      <c r="B1790" s="0" t="s">
        <v>4020</v>
      </c>
      <c r="C1790" s="0" t="s">
        <v>31</v>
      </c>
      <c r="D1790" s="0" t="s">
        <v>413</v>
      </c>
      <c r="E1790" s="0" t="s">
        <v>200</v>
      </c>
    </row>
    <row r="1791" customFormat="false" ht="13.5" hidden="false" customHeight="false" outlineLevel="0" collapsed="false">
      <c r="A1791" s="0" t="s">
        <v>4021</v>
      </c>
      <c r="B1791" s="0" t="s">
        <v>4022</v>
      </c>
      <c r="C1791" s="0" t="s">
        <v>31</v>
      </c>
      <c r="D1791" s="0" t="s">
        <v>1957</v>
      </c>
    </row>
    <row r="1792" customFormat="false" ht="13.5" hidden="false" customHeight="false" outlineLevel="0" collapsed="false">
      <c r="A1792" s="0" t="s">
        <v>4023</v>
      </c>
      <c r="B1792" s="0" t="s">
        <v>4024</v>
      </c>
      <c r="C1792" s="0" t="s">
        <v>31</v>
      </c>
      <c r="D1792" s="0" t="s">
        <v>2552</v>
      </c>
    </row>
    <row r="1793" customFormat="false" ht="13.5" hidden="false" customHeight="false" outlineLevel="0" collapsed="false">
      <c r="A1793" s="0" t="s">
        <v>4025</v>
      </c>
      <c r="B1793" s="0" t="s">
        <v>4026</v>
      </c>
      <c r="C1793" s="0" t="s">
        <v>31</v>
      </c>
      <c r="D1793" s="0" t="s">
        <v>3261</v>
      </c>
    </row>
    <row r="1794" customFormat="false" ht="13.5" hidden="false" customHeight="false" outlineLevel="0" collapsed="false">
      <c r="A1794" s="0" t="s">
        <v>4027</v>
      </c>
      <c r="B1794" s="0" t="s">
        <v>4028</v>
      </c>
      <c r="C1794" s="0" t="s">
        <v>31</v>
      </c>
      <c r="D1794" s="0" t="s">
        <v>1924</v>
      </c>
    </row>
    <row r="1795" customFormat="false" ht="13.5" hidden="false" customHeight="false" outlineLevel="0" collapsed="false">
      <c r="A1795" s="0" t="s">
        <v>4029</v>
      </c>
      <c r="B1795" s="0" t="s">
        <v>4004</v>
      </c>
      <c r="C1795" s="0" t="s">
        <v>31</v>
      </c>
      <c r="D1795" s="0" t="s">
        <v>2072</v>
      </c>
    </row>
    <row r="1796" customFormat="false" ht="13.5" hidden="false" customHeight="false" outlineLevel="0" collapsed="false">
      <c r="A1796" s="0" t="s">
        <v>4030</v>
      </c>
      <c r="B1796" s="0" t="s">
        <v>4031</v>
      </c>
      <c r="C1796" s="0" t="s">
        <v>31</v>
      </c>
      <c r="D1796" s="0" t="s">
        <v>2701</v>
      </c>
    </row>
    <row r="1797" customFormat="false" ht="13.5" hidden="false" customHeight="false" outlineLevel="0" collapsed="false">
      <c r="A1797" s="0" t="s">
        <v>4032</v>
      </c>
      <c r="B1797" s="0" t="s">
        <v>4033</v>
      </c>
      <c r="C1797" s="0" t="s">
        <v>31</v>
      </c>
      <c r="D1797" s="0" t="s">
        <v>2386</v>
      </c>
    </row>
    <row r="1798" customFormat="false" ht="13.5" hidden="false" customHeight="false" outlineLevel="0" collapsed="false">
      <c r="A1798" s="0" t="s">
        <v>4034</v>
      </c>
      <c r="B1798" s="0" t="s">
        <v>4035</v>
      </c>
      <c r="C1798" s="0" t="s">
        <v>31</v>
      </c>
      <c r="D1798" s="0" t="s">
        <v>1957</v>
      </c>
    </row>
    <row r="1799" customFormat="false" ht="13.5" hidden="false" customHeight="false" outlineLevel="0" collapsed="false">
      <c r="A1799" s="0" t="s">
        <v>4036</v>
      </c>
      <c r="B1799" s="0" t="s">
        <v>4037</v>
      </c>
      <c r="C1799" s="0" t="s">
        <v>31</v>
      </c>
      <c r="D1799" s="0" t="s">
        <v>2492</v>
      </c>
    </row>
    <row r="1800" customFormat="false" ht="13.5" hidden="false" customHeight="false" outlineLevel="0" collapsed="false">
      <c r="A1800" s="0" t="s">
        <v>4038</v>
      </c>
      <c r="B1800" s="0" t="s">
        <v>4039</v>
      </c>
      <c r="C1800" s="0" t="s">
        <v>31</v>
      </c>
      <c r="D1800" s="0" t="s">
        <v>4040</v>
      </c>
    </row>
    <row r="1801" customFormat="false" ht="13.5" hidden="false" customHeight="false" outlineLevel="0" collapsed="false">
      <c r="A1801" s="0" t="s">
        <v>4041</v>
      </c>
      <c r="B1801" s="0" t="s">
        <v>4042</v>
      </c>
      <c r="C1801" s="0" t="s">
        <v>31</v>
      </c>
      <c r="D1801" s="0" t="s">
        <v>1592</v>
      </c>
    </row>
    <row r="1802" customFormat="false" ht="13.5" hidden="false" customHeight="false" outlineLevel="0" collapsed="false">
      <c r="A1802" s="0" t="s">
        <v>4043</v>
      </c>
      <c r="B1802" s="0" t="s">
        <v>4044</v>
      </c>
      <c r="C1802" s="0" t="s">
        <v>31</v>
      </c>
      <c r="D1802" s="0" t="s">
        <v>19</v>
      </c>
      <c r="E1802" s="0" t="s">
        <v>12</v>
      </c>
      <c r="F1802" s="0" t="s">
        <v>60</v>
      </c>
    </row>
    <row r="1803" customFormat="false" ht="13.5" hidden="false" customHeight="false" outlineLevel="0" collapsed="false">
      <c r="A1803" s="0" t="s">
        <v>4045</v>
      </c>
      <c r="B1803" s="0" t="s">
        <v>4046</v>
      </c>
      <c r="C1803" s="0" t="s">
        <v>31</v>
      </c>
      <c r="D1803" s="0" t="s">
        <v>1704</v>
      </c>
    </row>
    <row r="1804" customFormat="false" ht="13.5" hidden="false" customHeight="false" outlineLevel="0" collapsed="false">
      <c r="A1804" s="0" t="s">
        <v>4047</v>
      </c>
      <c r="B1804" s="0" t="s">
        <v>4048</v>
      </c>
      <c r="C1804" s="0" t="s">
        <v>31</v>
      </c>
      <c r="D1804" s="0" t="s">
        <v>4049</v>
      </c>
    </row>
    <row r="1805" customFormat="false" ht="13.5" hidden="false" customHeight="false" outlineLevel="0" collapsed="false">
      <c r="A1805" s="0" t="s">
        <v>4050</v>
      </c>
      <c r="B1805" s="0" t="s">
        <v>4051</v>
      </c>
      <c r="C1805" s="0" t="s">
        <v>31</v>
      </c>
      <c r="D1805" s="0" t="s">
        <v>2072</v>
      </c>
    </row>
    <row r="1806" customFormat="false" ht="13.5" hidden="false" customHeight="false" outlineLevel="0" collapsed="false">
      <c r="A1806" s="0" t="s">
        <v>4052</v>
      </c>
      <c r="B1806" s="0" t="s">
        <v>4053</v>
      </c>
      <c r="C1806" s="0" t="s">
        <v>31</v>
      </c>
      <c r="D1806" s="0" t="s">
        <v>69</v>
      </c>
    </row>
    <row r="1807" customFormat="false" ht="13.5" hidden="false" customHeight="false" outlineLevel="0" collapsed="false">
      <c r="A1807" s="0" t="s">
        <v>4054</v>
      </c>
      <c r="B1807" s="0" t="s">
        <v>4055</v>
      </c>
      <c r="C1807" s="0" t="s">
        <v>31</v>
      </c>
      <c r="D1807" s="0" t="s">
        <v>19</v>
      </c>
      <c r="E1807" s="0" t="s">
        <v>1151</v>
      </c>
      <c r="F1807" s="0" t="s">
        <v>60</v>
      </c>
    </row>
    <row r="1808" customFormat="false" ht="13.5" hidden="false" customHeight="false" outlineLevel="0" collapsed="false">
      <c r="A1808" s="0" t="s">
        <v>4056</v>
      </c>
      <c r="B1808" s="0" t="s">
        <v>4057</v>
      </c>
      <c r="C1808" s="0" t="s">
        <v>31</v>
      </c>
      <c r="D1808" s="0" t="s">
        <v>2386</v>
      </c>
    </row>
    <row r="1809" customFormat="false" ht="13.5" hidden="false" customHeight="false" outlineLevel="0" collapsed="false">
      <c r="A1809" s="0" t="s">
        <v>4058</v>
      </c>
      <c r="B1809" s="0" t="s">
        <v>4059</v>
      </c>
      <c r="C1809" s="0" t="s">
        <v>31</v>
      </c>
      <c r="D1809" s="0" t="s">
        <v>413</v>
      </c>
      <c r="E1809" s="0" t="s">
        <v>98</v>
      </c>
    </row>
    <row r="1810" customFormat="false" ht="13.5" hidden="false" customHeight="false" outlineLevel="0" collapsed="false">
      <c r="A1810" s="0" t="s">
        <v>4060</v>
      </c>
      <c r="B1810" s="0" t="s">
        <v>4061</v>
      </c>
      <c r="C1810" s="0" t="s">
        <v>31</v>
      </c>
      <c r="D1810" s="0" t="s">
        <v>1957</v>
      </c>
    </row>
    <row r="1811" customFormat="false" ht="13.5" hidden="false" customHeight="false" outlineLevel="0" collapsed="false">
      <c r="A1811" s="0" t="s">
        <v>4062</v>
      </c>
      <c r="B1811" s="0" t="s">
        <v>4063</v>
      </c>
      <c r="C1811" s="0" t="s">
        <v>31</v>
      </c>
      <c r="D1811" s="0" t="s">
        <v>1704</v>
      </c>
    </row>
    <row r="1812" customFormat="false" ht="13.5" hidden="false" customHeight="false" outlineLevel="0" collapsed="false">
      <c r="A1812" s="0" t="s">
        <v>4064</v>
      </c>
      <c r="B1812" s="0" t="s">
        <v>4065</v>
      </c>
      <c r="C1812" s="0" t="s">
        <v>31</v>
      </c>
      <c r="D1812" s="0" t="s">
        <v>69</v>
      </c>
    </row>
    <row r="1813" customFormat="false" ht="13.5" hidden="false" customHeight="false" outlineLevel="0" collapsed="false">
      <c r="A1813" s="0" t="s">
        <v>4066</v>
      </c>
      <c r="B1813" s="0" t="s">
        <v>4067</v>
      </c>
      <c r="C1813" s="0" t="s">
        <v>31</v>
      </c>
      <c r="D1813" s="0" t="s">
        <v>1592</v>
      </c>
    </row>
    <row r="1814" customFormat="false" ht="13.5" hidden="false" customHeight="false" outlineLevel="0" collapsed="false">
      <c r="A1814" s="0" t="s">
        <v>4068</v>
      </c>
      <c r="B1814" s="0" t="s">
        <v>4069</v>
      </c>
      <c r="C1814" s="0" t="s">
        <v>31</v>
      </c>
      <c r="D1814" s="0" t="s">
        <v>2678</v>
      </c>
    </row>
    <row r="1815" customFormat="false" ht="13.5" hidden="false" customHeight="false" outlineLevel="0" collapsed="false">
      <c r="A1815" s="0" t="s">
        <v>4070</v>
      </c>
      <c r="B1815" s="0" t="s">
        <v>4071</v>
      </c>
      <c r="C1815" s="0" t="s">
        <v>31</v>
      </c>
      <c r="D1815" s="0" t="s">
        <v>413</v>
      </c>
      <c r="E1815" s="0" t="s">
        <v>695</v>
      </c>
    </row>
    <row r="1816" customFormat="false" ht="13.5" hidden="false" customHeight="false" outlineLevel="0" collapsed="false">
      <c r="A1816" s="0" t="s">
        <v>4072</v>
      </c>
      <c r="B1816" s="0" t="s">
        <v>4073</v>
      </c>
      <c r="C1816" s="0" t="s">
        <v>31</v>
      </c>
      <c r="D1816" s="0" t="s">
        <v>19</v>
      </c>
      <c r="E1816" s="0" t="s">
        <v>410</v>
      </c>
      <c r="F1816" s="0" t="s">
        <v>60</v>
      </c>
    </row>
    <row r="1817" customFormat="false" ht="13.5" hidden="false" customHeight="false" outlineLevel="0" collapsed="false">
      <c r="A1817" s="0" t="s">
        <v>4074</v>
      </c>
      <c r="B1817" s="0" t="s">
        <v>4075</v>
      </c>
      <c r="C1817" s="0" t="s">
        <v>31</v>
      </c>
      <c r="D1817" s="0" t="s">
        <v>2871</v>
      </c>
    </row>
    <row r="1818" customFormat="false" ht="13.5" hidden="false" customHeight="false" outlineLevel="0" collapsed="false">
      <c r="A1818" s="0" t="s">
        <v>4076</v>
      </c>
      <c r="B1818" s="0" t="s">
        <v>4077</v>
      </c>
      <c r="C1818" s="0" t="s">
        <v>31</v>
      </c>
      <c r="D1818" s="0" t="s">
        <v>2364</v>
      </c>
    </row>
    <row r="1819" customFormat="false" ht="13.5" hidden="false" customHeight="false" outlineLevel="0" collapsed="false">
      <c r="A1819" s="0" t="s">
        <v>4078</v>
      </c>
      <c r="B1819" s="0" t="s">
        <v>4079</v>
      </c>
      <c r="C1819" s="0" t="s">
        <v>31</v>
      </c>
      <c r="D1819" s="0" t="s">
        <v>2552</v>
      </c>
    </row>
    <row r="1820" customFormat="false" ht="13.5" hidden="false" customHeight="false" outlineLevel="0" collapsed="false">
      <c r="A1820" s="0" t="s">
        <v>4080</v>
      </c>
      <c r="B1820" s="0" t="s">
        <v>4081</v>
      </c>
      <c r="C1820" s="0" t="s">
        <v>31</v>
      </c>
      <c r="D1820" s="0" t="s">
        <v>1592</v>
      </c>
    </row>
    <row r="1821" customFormat="false" ht="13.5" hidden="false" customHeight="false" outlineLevel="0" collapsed="false">
      <c r="A1821" s="0" t="s">
        <v>4082</v>
      </c>
      <c r="B1821" s="0" t="s">
        <v>4083</v>
      </c>
      <c r="C1821" s="0" t="s">
        <v>31</v>
      </c>
      <c r="D1821" s="0" t="s">
        <v>413</v>
      </c>
      <c r="E1821" s="0" t="s">
        <v>98</v>
      </c>
    </row>
    <row r="1822" customFormat="false" ht="13.5" hidden="false" customHeight="false" outlineLevel="0" collapsed="false">
      <c r="A1822" s="0" t="s">
        <v>4084</v>
      </c>
      <c r="B1822" s="0" t="s">
        <v>4085</v>
      </c>
      <c r="C1822" s="0" t="s">
        <v>31</v>
      </c>
      <c r="D1822" s="0" t="s">
        <v>19</v>
      </c>
      <c r="E1822" s="0" t="s">
        <v>1151</v>
      </c>
      <c r="F1822" s="0" t="s">
        <v>60</v>
      </c>
    </row>
    <row r="1823" customFormat="false" ht="13.5" hidden="false" customHeight="false" outlineLevel="0" collapsed="false">
      <c r="A1823" s="0" t="s">
        <v>4086</v>
      </c>
      <c r="B1823" s="0" t="s">
        <v>3232</v>
      </c>
      <c r="C1823" s="0" t="s">
        <v>31</v>
      </c>
      <c r="D1823" s="0" t="s">
        <v>1704</v>
      </c>
    </row>
    <row r="1824" customFormat="false" ht="13.5" hidden="false" customHeight="false" outlineLevel="0" collapsed="false">
      <c r="A1824" s="0" t="s">
        <v>4087</v>
      </c>
      <c r="B1824" s="0" t="s">
        <v>4088</v>
      </c>
      <c r="C1824" s="0" t="s">
        <v>31</v>
      </c>
      <c r="D1824" s="0" t="s">
        <v>2871</v>
      </c>
    </row>
    <row r="1825" customFormat="false" ht="13.5" hidden="false" customHeight="false" outlineLevel="0" collapsed="false">
      <c r="A1825" s="0" t="s">
        <v>4089</v>
      </c>
      <c r="B1825" s="0" t="s">
        <v>4090</v>
      </c>
      <c r="C1825" s="0" t="s">
        <v>31</v>
      </c>
      <c r="D1825" s="0" t="s">
        <v>1592</v>
      </c>
    </row>
    <row r="1826" customFormat="false" ht="13.5" hidden="false" customHeight="false" outlineLevel="0" collapsed="false">
      <c r="A1826" s="0" t="s">
        <v>4091</v>
      </c>
      <c r="B1826" s="0" t="s">
        <v>4092</v>
      </c>
      <c r="C1826" s="0" t="s">
        <v>31</v>
      </c>
      <c r="D1826" s="0" t="s">
        <v>3276</v>
      </c>
    </row>
    <row r="1827" customFormat="false" ht="13.5" hidden="false" customHeight="false" outlineLevel="0" collapsed="false">
      <c r="A1827" s="0" t="s">
        <v>4093</v>
      </c>
      <c r="B1827" s="0" t="s">
        <v>4094</v>
      </c>
      <c r="C1827" s="0" t="s">
        <v>31</v>
      </c>
      <c r="D1827" s="0" t="s">
        <v>1540</v>
      </c>
    </row>
    <row r="1828" customFormat="false" ht="13.5" hidden="false" customHeight="false" outlineLevel="0" collapsed="false">
      <c r="A1828" s="0" t="s">
        <v>4095</v>
      </c>
      <c r="B1828" s="0" t="s">
        <v>4096</v>
      </c>
      <c r="C1828" s="0" t="s">
        <v>31</v>
      </c>
      <c r="D1828" s="0" t="s">
        <v>413</v>
      </c>
      <c r="E1828" s="0" t="s">
        <v>287</v>
      </c>
    </row>
    <row r="1829" customFormat="false" ht="13.5" hidden="false" customHeight="false" outlineLevel="0" collapsed="false">
      <c r="A1829" s="0" t="s">
        <v>4097</v>
      </c>
      <c r="B1829" s="0" t="s">
        <v>4098</v>
      </c>
      <c r="C1829" s="0" t="s">
        <v>31</v>
      </c>
      <c r="D1829" s="0" t="s">
        <v>16</v>
      </c>
      <c r="E1829" s="0" t="s">
        <v>36</v>
      </c>
      <c r="F1829" s="0" t="s">
        <v>1669</v>
      </c>
    </row>
    <row r="1830" customFormat="false" ht="13.5" hidden="false" customHeight="false" outlineLevel="0" collapsed="false">
      <c r="A1830" s="0" t="s">
        <v>4099</v>
      </c>
      <c r="B1830" s="0" t="s">
        <v>4100</v>
      </c>
      <c r="C1830" s="0" t="s">
        <v>31</v>
      </c>
      <c r="D1830" s="0" t="s">
        <v>1704</v>
      </c>
    </row>
    <row r="1831" customFormat="false" ht="13.5" hidden="false" customHeight="false" outlineLevel="0" collapsed="false">
      <c r="A1831" s="0" t="s">
        <v>4101</v>
      </c>
      <c r="B1831" s="0" t="s">
        <v>4102</v>
      </c>
      <c r="C1831" s="0" t="s">
        <v>31</v>
      </c>
      <c r="D1831" s="0" t="s">
        <v>413</v>
      </c>
      <c r="E1831" s="0" t="s">
        <v>150</v>
      </c>
    </row>
    <row r="1832" customFormat="false" ht="13.5" hidden="false" customHeight="false" outlineLevel="0" collapsed="false">
      <c r="A1832" s="0" t="s">
        <v>4103</v>
      </c>
      <c r="B1832" s="0" t="s">
        <v>4104</v>
      </c>
      <c r="C1832" s="0" t="s">
        <v>31</v>
      </c>
      <c r="D1832" s="0" t="s">
        <v>1704</v>
      </c>
    </row>
    <row r="1833" customFormat="false" ht="13.5" hidden="false" customHeight="false" outlineLevel="0" collapsed="false">
      <c r="A1833" s="0" t="s">
        <v>4105</v>
      </c>
      <c r="B1833" s="0" t="s">
        <v>4106</v>
      </c>
      <c r="C1833" s="0" t="s">
        <v>31</v>
      </c>
      <c r="D1833" s="0" t="s">
        <v>1924</v>
      </c>
    </row>
    <row r="1834" customFormat="false" ht="13.5" hidden="false" customHeight="false" outlineLevel="0" collapsed="false">
      <c r="A1834" s="0" t="s">
        <v>4107</v>
      </c>
      <c r="B1834" s="0" t="s">
        <v>3757</v>
      </c>
      <c r="C1834" s="0" t="s">
        <v>31</v>
      </c>
      <c r="D1834" s="0" t="s">
        <v>2871</v>
      </c>
    </row>
    <row r="1835" customFormat="false" ht="13.5" hidden="false" customHeight="false" outlineLevel="0" collapsed="false">
      <c r="A1835" s="0" t="s">
        <v>4108</v>
      </c>
      <c r="B1835" s="0" t="s">
        <v>4109</v>
      </c>
      <c r="C1835" s="0" t="s">
        <v>31</v>
      </c>
      <c r="D1835" s="0" t="s">
        <v>2356</v>
      </c>
    </row>
    <row r="1836" customFormat="false" ht="13.5" hidden="false" customHeight="false" outlineLevel="0" collapsed="false">
      <c r="A1836" s="0" t="s">
        <v>4110</v>
      </c>
      <c r="B1836" s="0" t="s">
        <v>4111</v>
      </c>
      <c r="C1836" s="0" t="s">
        <v>31</v>
      </c>
      <c r="D1836" s="0" t="s">
        <v>69</v>
      </c>
    </row>
    <row r="1837" customFormat="false" ht="13.5" hidden="false" customHeight="false" outlineLevel="0" collapsed="false">
      <c r="A1837" s="0" t="s">
        <v>4112</v>
      </c>
      <c r="B1837" s="0" t="s">
        <v>4113</v>
      </c>
      <c r="C1837" s="0" t="s">
        <v>31</v>
      </c>
      <c r="D1837" s="0" t="s">
        <v>1704</v>
      </c>
    </row>
    <row r="1838" customFormat="false" ht="13.5" hidden="false" customHeight="false" outlineLevel="0" collapsed="false">
      <c r="A1838" s="0" t="s">
        <v>4114</v>
      </c>
      <c r="B1838" s="0" t="s">
        <v>4115</v>
      </c>
      <c r="C1838" s="0" t="s">
        <v>31</v>
      </c>
      <c r="D1838" s="0" t="s">
        <v>1924</v>
      </c>
    </row>
    <row r="1839" customFormat="false" ht="13.5" hidden="false" customHeight="false" outlineLevel="0" collapsed="false">
      <c r="A1839" s="0" t="s">
        <v>4116</v>
      </c>
      <c r="B1839" s="0" t="s">
        <v>4117</v>
      </c>
      <c r="C1839" s="0" t="s">
        <v>31</v>
      </c>
      <c r="D1839" s="0" t="s">
        <v>1704</v>
      </c>
    </row>
    <row r="1840" customFormat="false" ht="13.5" hidden="false" customHeight="false" outlineLevel="0" collapsed="false">
      <c r="A1840" s="0" t="s">
        <v>4118</v>
      </c>
      <c r="B1840" s="0" t="s">
        <v>4119</v>
      </c>
      <c r="C1840" s="0" t="s">
        <v>31</v>
      </c>
      <c r="D1840" s="0" t="s">
        <v>413</v>
      </c>
      <c r="F1840" s="0" t="s">
        <v>3037</v>
      </c>
    </row>
    <row r="1841" customFormat="false" ht="13.5" hidden="false" customHeight="false" outlineLevel="0" collapsed="false">
      <c r="A1841" s="0" t="s">
        <v>4120</v>
      </c>
      <c r="B1841" s="0" t="s">
        <v>4121</v>
      </c>
      <c r="C1841" s="0" t="s">
        <v>31</v>
      </c>
      <c r="D1841" s="0" t="s">
        <v>1508</v>
      </c>
    </row>
    <row r="1842" customFormat="false" ht="13.5" hidden="false" customHeight="false" outlineLevel="0" collapsed="false">
      <c r="A1842" s="0" t="s">
        <v>4122</v>
      </c>
      <c r="B1842" s="0" t="s">
        <v>3947</v>
      </c>
      <c r="C1842" s="0" t="s">
        <v>31</v>
      </c>
      <c r="D1842" s="0" t="s">
        <v>1704</v>
      </c>
    </row>
    <row r="1843" customFormat="false" ht="13.5" hidden="false" customHeight="false" outlineLevel="0" collapsed="false">
      <c r="A1843" s="0" t="s">
        <v>4123</v>
      </c>
      <c r="B1843" s="0" t="s">
        <v>4124</v>
      </c>
      <c r="C1843" s="0" t="s">
        <v>31</v>
      </c>
      <c r="D1843" s="0" t="s">
        <v>413</v>
      </c>
      <c r="E1843" s="0" t="s">
        <v>3764</v>
      </c>
    </row>
    <row r="1844" customFormat="false" ht="13.5" hidden="false" customHeight="false" outlineLevel="0" collapsed="false">
      <c r="A1844" s="0" t="s">
        <v>4125</v>
      </c>
      <c r="B1844" s="0" t="s">
        <v>4126</v>
      </c>
      <c r="C1844" s="0" t="s">
        <v>31</v>
      </c>
      <c r="D1844" s="0" t="s">
        <v>2356</v>
      </c>
    </row>
    <row r="1845" customFormat="false" ht="13.5" hidden="false" customHeight="false" outlineLevel="0" collapsed="false">
      <c r="A1845" s="0" t="s">
        <v>4127</v>
      </c>
      <c r="B1845" s="0" t="s">
        <v>4128</v>
      </c>
      <c r="C1845" s="0" t="s">
        <v>31</v>
      </c>
      <c r="D1845" s="0" t="s">
        <v>19</v>
      </c>
      <c r="E1845" s="0" t="s">
        <v>4129</v>
      </c>
      <c r="F1845" s="0" t="s">
        <v>4130</v>
      </c>
    </row>
    <row r="1846" customFormat="false" ht="13.5" hidden="false" customHeight="false" outlineLevel="0" collapsed="false">
      <c r="A1846" s="0" t="s">
        <v>4131</v>
      </c>
      <c r="B1846" s="0" t="s">
        <v>4132</v>
      </c>
      <c r="C1846" s="0" t="s">
        <v>31</v>
      </c>
      <c r="D1846" s="0" t="s">
        <v>1527</v>
      </c>
    </row>
    <row r="1847" customFormat="false" ht="13.5" hidden="false" customHeight="false" outlineLevel="0" collapsed="false">
      <c r="A1847" s="0" t="s">
        <v>4133</v>
      </c>
      <c r="B1847" s="0" t="s">
        <v>4134</v>
      </c>
      <c r="C1847" s="0" t="s">
        <v>31</v>
      </c>
      <c r="D1847" s="0" t="s">
        <v>1924</v>
      </c>
    </row>
    <row r="1848" customFormat="false" ht="13.5" hidden="false" customHeight="false" outlineLevel="0" collapsed="false">
      <c r="A1848" s="0" t="s">
        <v>4135</v>
      </c>
      <c r="B1848" s="0" t="s">
        <v>4136</v>
      </c>
      <c r="C1848" s="0" t="s">
        <v>31</v>
      </c>
      <c r="D1848" s="0" t="s">
        <v>2871</v>
      </c>
    </row>
    <row r="1849" customFormat="false" ht="13.5" hidden="false" customHeight="false" outlineLevel="0" collapsed="false">
      <c r="A1849" s="0" t="s">
        <v>4137</v>
      </c>
      <c r="B1849" s="0" t="s">
        <v>4138</v>
      </c>
      <c r="C1849" s="0" t="s">
        <v>31</v>
      </c>
      <c r="D1849" s="0" t="s">
        <v>413</v>
      </c>
      <c r="E1849" s="0" t="s">
        <v>4139</v>
      </c>
    </row>
    <row r="1850" customFormat="false" ht="13.5" hidden="false" customHeight="false" outlineLevel="0" collapsed="false">
      <c r="A1850" s="0" t="s">
        <v>4140</v>
      </c>
      <c r="B1850" s="0" t="s">
        <v>4141</v>
      </c>
      <c r="C1850" s="0" t="s">
        <v>31</v>
      </c>
      <c r="D1850" s="0" t="s">
        <v>2678</v>
      </c>
    </row>
    <row r="1851" customFormat="false" ht="13.5" hidden="false" customHeight="false" outlineLevel="0" collapsed="false">
      <c r="A1851" s="0" t="s">
        <v>4142</v>
      </c>
      <c r="B1851" s="0" t="s">
        <v>4143</v>
      </c>
      <c r="C1851" s="0" t="s">
        <v>31</v>
      </c>
      <c r="D1851" s="0" t="s">
        <v>3628</v>
      </c>
    </row>
    <row r="1852" customFormat="false" ht="13.5" hidden="false" customHeight="false" outlineLevel="0" collapsed="false">
      <c r="A1852" s="0" t="s">
        <v>4144</v>
      </c>
      <c r="B1852" s="0" t="s">
        <v>4145</v>
      </c>
      <c r="C1852" s="0" t="s">
        <v>31</v>
      </c>
      <c r="D1852" s="0" t="s">
        <v>1957</v>
      </c>
    </row>
    <row r="1853" customFormat="false" ht="13.5" hidden="false" customHeight="false" outlineLevel="0" collapsed="false">
      <c r="A1853" s="0" t="s">
        <v>4146</v>
      </c>
      <c r="B1853" s="0" t="s">
        <v>4147</v>
      </c>
      <c r="C1853" s="0" t="s">
        <v>31</v>
      </c>
      <c r="D1853" s="0" t="s">
        <v>2492</v>
      </c>
    </row>
    <row r="1854" customFormat="false" ht="13.5" hidden="false" customHeight="false" outlineLevel="0" collapsed="false">
      <c r="A1854" s="0" t="s">
        <v>4148</v>
      </c>
      <c r="B1854" s="0" t="s">
        <v>4149</v>
      </c>
      <c r="C1854" s="0" t="s">
        <v>31</v>
      </c>
      <c r="D1854" s="0" t="s">
        <v>16</v>
      </c>
      <c r="E1854" s="0" t="s">
        <v>36</v>
      </c>
      <c r="F1854" s="0" t="s">
        <v>1669</v>
      </c>
    </row>
    <row r="1855" customFormat="false" ht="13.5" hidden="false" customHeight="false" outlineLevel="0" collapsed="false">
      <c r="A1855" s="0" t="s">
        <v>4150</v>
      </c>
      <c r="B1855" s="0" t="s">
        <v>4151</v>
      </c>
      <c r="C1855" s="0" t="s">
        <v>31</v>
      </c>
      <c r="D1855" s="0" t="s">
        <v>1699</v>
      </c>
    </row>
    <row r="1856" customFormat="false" ht="13.5" hidden="false" customHeight="false" outlineLevel="0" collapsed="false">
      <c r="A1856" s="0" t="s">
        <v>4152</v>
      </c>
      <c r="B1856" s="0" t="s">
        <v>4153</v>
      </c>
      <c r="C1856" s="0" t="s">
        <v>31</v>
      </c>
      <c r="D1856" s="0" t="s">
        <v>3276</v>
      </c>
    </row>
    <row r="1857" customFormat="false" ht="13.5" hidden="false" customHeight="false" outlineLevel="0" collapsed="false">
      <c r="A1857" s="0" t="s">
        <v>4154</v>
      </c>
      <c r="B1857" s="0" t="s">
        <v>4155</v>
      </c>
      <c r="C1857" s="0" t="s">
        <v>31</v>
      </c>
      <c r="D1857" s="0" t="s">
        <v>2878</v>
      </c>
    </row>
    <row r="1858" customFormat="false" ht="13.5" hidden="false" customHeight="false" outlineLevel="0" collapsed="false">
      <c r="A1858" s="0" t="s">
        <v>4156</v>
      </c>
      <c r="B1858" s="0" t="s">
        <v>4157</v>
      </c>
      <c r="C1858" s="0" t="s">
        <v>31</v>
      </c>
      <c r="D1858" s="0" t="s">
        <v>2871</v>
      </c>
    </row>
    <row r="1859" customFormat="false" ht="13.5" hidden="false" customHeight="false" outlineLevel="0" collapsed="false">
      <c r="A1859" s="0" t="s">
        <v>4158</v>
      </c>
      <c r="B1859" s="0" t="s">
        <v>4159</v>
      </c>
      <c r="C1859" s="0" t="s">
        <v>31</v>
      </c>
      <c r="D1859" s="0" t="s">
        <v>19</v>
      </c>
      <c r="E1859" s="0" t="s">
        <v>317</v>
      </c>
      <c r="F1859" s="0" t="s">
        <v>1782</v>
      </c>
    </row>
    <row r="1860" customFormat="false" ht="13.5" hidden="false" customHeight="false" outlineLevel="0" collapsed="false">
      <c r="A1860" s="0" t="s">
        <v>4160</v>
      </c>
      <c r="B1860" s="0" t="s">
        <v>4161</v>
      </c>
      <c r="C1860" s="0" t="s">
        <v>31</v>
      </c>
      <c r="D1860" s="0" t="s">
        <v>3628</v>
      </c>
    </row>
    <row r="1861" customFormat="false" ht="13.5" hidden="false" customHeight="false" outlineLevel="0" collapsed="false">
      <c r="A1861" s="0" t="s">
        <v>4162</v>
      </c>
      <c r="B1861" s="0" t="s">
        <v>4163</v>
      </c>
      <c r="C1861" s="0" t="s">
        <v>31</v>
      </c>
      <c r="D1861" s="0" t="s">
        <v>1704</v>
      </c>
    </row>
    <row r="1862" customFormat="false" ht="13.5" hidden="false" customHeight="false" outlineLevel="0" collapsed="false">
      <c r="A1862" s="0" t="s">
        <v>4164</v>
      </c>
      <c r="B1862" s="0" t="s">
        <v>3931</v>
      </c>
      <c r="C1862" s="0" t="s">
        <v>31</v>
      </c>
      <c r="D1862" s="0" t="s">
        <v>1699</v>
      </c>
    </row>
    <row r="1863" customFormat="false" ht="13.5" hidden="false" customHeight="false" outlineLevel="0" collapsed="false">
      <c r="A1863" s="0" t="s">
        <v>4165</v>
      </c>
      <c r="B1863" s="0" t="s">
        <v>4166</v>
      </c>
      <c r="C1863" s="0" t="s">
        <v>31</v>
      </c>
      <c r="D1863" s="0" t="s">
        <v>1592</v>
      </c>
    </row>
    <row r="1864" customFormat="false" ht="13.5" hidden="false" customHeight="false" outlineLevel="0" collapsed="false">
      <c r="A1864" s="0" t="s">
        <v>4167</v>
      </c>
      <c r="B1864" s="0" t="s">
        <v>4168</v>
      </c>
      <c r="C1864" s="0" t="s">
        <v>31</v>
      </c>
      <c r="D1864" s="0" t="s">
        <v>2386</v>
      </c>
    </row>
    <row r="1865" customFormat="false" ht="13.5" hidden="false" customHeight="false" outlineLevel="0" collapsed="false">
      <c r="A1865" s="0" t="s">
        <v>4169</v>
      </c>
      <c r="B1865" s="0" t="s">
        <v>4170</v>
      </c>
      <c r="C1865" s="0" t="s">
        <v>31</v>
      </c>
      <c r="D1865" s="0" t="s">
        <v>19</v>
      </c>
      <c r="E1865" s="0" t="s">
        <v>679</v>
      </c>
      <c r="F1865" s="0" t="s">
        <v>60</v>
      </c>
    </row>
    <row r="1866" customFormat="false" ht="13.5" hidden="false" customHeight="false" outlineLevel="0" collapsed="false">
      <c r="A1866" s="0" t="s">
        <v>4171</v>
      </c>
      <c r="B1866" s="0" t="s">
        <v>4172</v>
      </c>
      <c r="C1866" s="0" t="s">
        <v>31</v>
      </c>
      <c r="D1866" s="0" t="s">
        <v>1651</v>
      </c>
    </row>
    <row r="1867" customFormat="false" ht="13.5" hidden="false" customHeight="false" outlineLevel="0" collapsed="false">
      <c r="A1867" s="0" t="s">
        <v>4173</v>
      </c>
      <c r="B1867" s="0" t="s">
        <v>4174</v>
      </c>
      <c r="C1867" s="0" t="s">
        <v>31</v>
      </c>
      <c r="D1867" s="0" t="s">
        <v>2552</v>
      </c>
    </row>
    <row r="1868" customFormat="false" ht="13.5" hidden="false" customHeight="false" outlineLevel="0" collapsed="false">
      <c r="A1868" s="0" t="s">
        <v>4175</v>
      </c>
      <c r="B1868" s="0" t="s">
        <v>4176</v>
      </c>
      <c r="C1868" s="0" t="s">
        <v>31</v>
      </c>
      <c r="D1868" s="0" t="s">
        <v>4177</v>
      </c>
    </row>
    <row r="1869" customFormat="false" ht="13.5" hidden="false" customHeight="false" outlineLevel="0" collapsed="false">
      <c r="A1869" s="0" t="s">
        <v>4178</v>
      </c>
      <c r="B1869" s="0" t="s">
        <v>4179</v>
      </c>
      <c r="C1869" s="0" t="s">
        <v>31</v>
      </c>
      <c r="D1869" s="0" t="s">
        <v>1540</v>
      </c>
    </row>
    <row r="1870" customFormat="false" ht="13.5" hidden="false" customHeight="false" outlineLevel="0" collapsed="false">
      <c r="A1870" s="0" t="s">
        <v>4180</v>
      </c>
      <c r="B1870" s="0" t="s">
        <v>4181</v>
      </c>
      <c r="C1870" s="0" t="s">
        <v>31</v>
      </c>
      <c r="D1870" s="0" t="s">
        <v>19</v>
      </c>
      <c r="E1870" s="0" t="s">
        <v>1151</v>
      </c>
      <c r="F1870" s="0" t="s">
        <v>60</v>
      </c>
    </row>
    <row r="1871" customFormat="false" ht="13.5" hidden="false" customHeight="false" outlineLevel="0" collapsed="false">
      <c r="A1871" s="0" t="s">
        <v>4182</v>
      </c>
      <c r="B1871" s="0" t="s">
        <v>4183</v>
      </c>
      <c r="C1871" s="0" t="s">
        <v>31</v>
      </c>
      <c r="D1871" s="0" t="s">
        <v>1957</v>
      </c>
    </row>
    <row r="1872" customFormat="false" ht="13.5" hidden="false" customHeight="false" outlineLevel="0" collapsed="false">
      <c r="A1872" s="0" t="s">
        <v>4184</v>
      </c>
      <c r="B1872" s="0" t="s">
        <v>4185</v>
      </c>
      <c r="C1872" s="0" t="s">
        <v>31</v>
      </c>
      <c r="D1872" s="0" t="s">
        <v>2072</v>
      </c>
    </row>
    <row r="1873" customFormat="false" ht="13.5" hidden="false" customHeight="false" outlineLevel="0" collapsed="false">
      <c r="A1873" s="0" t="s">
        <v>4186</v>
      </c>
      <c r="B1873" s="0" t="s">
        <v>4187</v>
      </c>
      <c r="C1873" s="0" t="s">
        <v>31</v>
      </c>
      <c r="D1873" s="0" t="s">
        <v>69</v>
      </c>
    </row>
    <row r="1874" customFormat="false" ht="13.5" hidden="false" customHeight="false" outlineLevel="0" collapsed="false">
      <c r="A1874" s="0" t="s">
        <v>4188</v>
      </c>
      <c r="B1874" s="0" t="s">
        <v>4189</v>
      </c>
      <c r="C1874" s="0" t="s">
        <v>31</v>
      </c>
      <c r="D1874" s="0" t="s">
        <v>1704</v>
      </c>
    </row>
    <row r="1875" customFormat="false" ht="13.5" hidden="false" customHeight="false" outlineLevel="0" collapsed="false">
      <c r="A1875" s="0" t="s">
        <v>4190</v>
      </c>
      <c r="B1875" s="0" t="s">
        <v>4191</v>
      </c>
      <c r="C1875" s="0" t="s">
        <v>31</v>
      </c>
      <c r="D1875" s="0" t="s">
        <v>413</v>
      </c>
      <c r="E1875" s="0" t="s">
        <v>4192</v>
      </c>
      <c r="F1875" s="0" t="s">
        <v>1669</v>
      </c>
    </row>
    <row r="1876" customFormat="false" ht="13.5" hidden="false" customHeight="false" outlineLevel="0" collapsed="false">
      <c r="A1876" s="0" t="s">
        <v>4193</v>
      </c>
      <c r="B1876" s="0" t="s">
        <v>4194</v>
      </c>
      <c r="C1876" s="0" t="s">
        <v>31</v>
      </c>
      <c r="D1876" s="0" t="s">
        <v>3469</v>
      </c>
    </row>
    <row r="1877" customFormat="false" ht="13.5" hidden="false" customHeight="false" outlineLevel="0" collapsed="false">
      <c r="A1877" s="0" t="s">
        <v>4195</v>
      </c>
      <c r="B1877" s="0" t="s">
        <v>4196</v>
      </c>
      <c r="C1877" s="0" t="s">
        <v>31</v>
      </c>
      <c r="D1877" s="0" t="s">
        <v>1704</v>
      </c>
    </row>
    <row r="1878" customFormat="false" ht="13.5" hidden="false" customHeight="false" outlineLevel="0" collapsed="false">
      <c r="A1878" s="0" t="s">
        <v>4197</v>
      </c>
      <c r="B1878" s="0" t="s">
        <v>4198</v>
      </c>
      <c r="C1878" s="0" t="s">
        <v>31</v>
      </c>
      <c r="D1878" s="0" t="s">
        <v>2871</v>
      </c>
    </row>
    <row r="1879" customFormat="false" ht="13.5" hidden="false" customHeight="false" outlineLevel="0" collapsed="false">
      <c r="A1879" s="0" t="s">
        <v>4199</v>
      </c>
      <c r="B1879" s="0" t="s">
        <v>4200</v>
      </c>
      <c r="C1879" s="0" t="s">
        <v>31</v>
      </c>
      <c r="D1879" s="0" t="s">
        <v>413</v>
      </c>
      <c r="E1879" s="0" t="s">
        <v>4201</v>
      </c>
    </row>
    <row r="1880" customFormat="false" ht="13.5" hidden="false" customHeight="false" outlineLevel="0" collapsed="false">
      <c r="A1880" s="0" t="s">
        <v>4202</v>
      </c>
      <c r="B1880" s="0" t="s">
        <v>4203</v>
      </c>
      <c r="C1880" s="0" t="s">
        <v>31</v>
      </c>
      <c r="D1880" s="0" t="s">
        <v>2878</v>
      </c>
    </row>
    <row r="1881" customFormat="false" ht="13.5" hidden="false" customHeight="false" outlineLevel="0" collapsed="false">
      <c r="A1881" s="0" t="s">
        <v>4204</v>
      </c>
      <c r="B1881" s="0" t="s">
        <v>4205</v>
      </c>
      <c r="C1881" s="0" t="s">
        <v>31</v>
      </c>
      <c r="D1881" s="0" t="s">
        <v>413</v>
      </c>
      <c r="E1881" s="0" t="s">
        <v>12</v>
      </c>
    </row>
    <row r="1882" customFormat="false" ht="13.5" hidden="false" customHeight="false" outlineLevel="0" collapsed="false">
      <c r="A1882" s="0" t="s">
        <v>4206</v>
      </c>
      <c r="B1882" s="0" t="s">
        <v>4207</v>
      </c>
      <c r="C1882" s="0" t="s">
        <v>31</v>
      </c>
      <c r="D1882" s="0" t="s">
        <v>3523</v>
      </c>
    </row>
    <row r="1883" customFormat="false" ht="13.5" hidden="false" customHeight="false" outlineLevel="0" collapsed="false">
      <c r="A1883" s="0" t="s">
        <v>4208</v>
      </c>
      <c r="B1883" s="0" t="s">
        <v>4209</v>
      </c>
      <c r="C1883" s="0" t="s">
        <v>31</v>
      </c>
      <c r="D1883" s="0" t="s">
        <v>413</v>
      </c>
      <c r="E1883" s="0" t="s">
        <v>98</v>
      </c>
    </row>
    <row r="1884" customFormat="false" ht="13.5" hidden="false" customHeight="false" outlineLevel="0" collapsed="false">
      <c r="A1884" s="0" t="s">
        <v>4210</v>
      </c>
      <c r="B1884" s="0" t="s">
        <v>4211</v>
      </c>
      <c r="C1884" s="0" t="s">
        <v>31</v>
      </c>
      <c r="D1884" s="0" t="s">
        <v>2598</v>
      </c>
    </row>
    <row r="1885" customFormat="false" ht="13.5" hidden="false" customHeight="false" outlineLevel="0" collapsed="false">
      <c r="A1885" s="0" t="s">
        <v>4212</v>
      </c>
      <c r="B1885" s="0" t="s">
        <v>4213</v>
      </c>
      <c r="C1885" s="0" t="s">
        <v>31</v>
      </c>
      <c r="D1885" s="0" t="s">
        <v>2072</v>
      </c>
    </row>
    <row r="1886" customFormat="false" ht="13.5" hidden="false" customHeight="false" outlineLevel="0" collapsed="false">
      <c r="A1886" s="0" t="s">
        <v>4214</v>
      </c>
      <c r="B1886" s="0" t="s">
        <v>4215</v>
      </c>
      <c r="C1886" s="0" t="s">
        <v>31</v>
      </c>
      <c r="D1886" s="0" t="s">
        <v>19</v>
      </c>
      <c r="E1886" s="0" t="s">
        <v>150</v>
      </c>
      <c r="F1886" s="0" t="s">
        <v>60</v>
      </c>
    </row>
    <row r="1887" customFormat="false" ht="13.5" hidden="false" customHeight="false" outlineLevel="0" collapsed="false">
      <c r="A1887" s="0" t="s">
        <v>4216</v>
      </c>
      <c r="B1887" s="0" t="s">
        <v>4217</v>
      </c>
      <c r="C1887" s="0" t="s">
        <v>31</v>
      </c>
      <c r="D1887" s="0" t="s">
        <v>3711</v>
      </c>
    </row>
    <row r="1888" customFormat="false" ht="13.5" hidden="false" customHeight="false" outlineLevel="0" collapsed="false">
      <c r="A1888" s="0" t="s">
        <v>4218</v>
      </c>
      <c r="B1888" s="0" t="s">
        <v>4219</v>
      </c>
      <c r="C1888" s="0" t="s">
        <v>31</v>
      </c>
      <c r="D1888" s="0" t="s">
        <v>3276</v>
      </c>
    </row>
    <row r="1889" customFormat="false" ht="13.5" hidden="false" customHeight="false" outlineLevel="0" collapsed="false">
      <c r="A1889" s="0" t="s">
        <v>4220</v>
      </c>
      <c r="B1889" s="0" t="s">
        <v>4061</v>
      </c>
      <c r="C1889" s="0" t="s">
        <v>31</v>
      </c>
      <c r="D1889" s="0" t="s">
        <v>1699</v>
      </c>
    </row>
    <row r="1890" customFormat="false" ht="13.5" hidden="false" customHeight="false" outlineLevel="0" collapsed="false">
      <c r="A1890" s="0" t="s">
        <v>4221</v>
      </c>
      <c r="B1890" s="0" t="s">
        <v>4222</v>
      </c>
      <c r="C1890" s="0" t="s">
        <v>31</v>
      </c>
      <c r="D1890" s="0" t="s">
        <v>413</v>
      </c>
      <c r="E1890" s="0" t="s">
        <v>1151</v>
      </c>
    </row>
    <row r="1891" customFormat="false" ht="13.5" hidden="false" customHeight="false" outlineLevel="0" collapsed="false">
      <c r="A1891" s="0" t="s">
        <v>4223</v>
      </c>
      <c r="B1891" s="0" t="s">
        <v>4224</v>
      </c>
      <c r="C1891" s="0" t="s">
        <v>31</v>
      </c>
      <c r="D1891" s="0" t="s">
        <v>1572</v>
      </c>
    </row>
    <row r="1892" customFormat="false" ht="13.5" hidden="false" customHeight="false" outlineLevel="0" collapsed="false">
      <c r="A1892" s="0" t="s">
        <v>4225</v>
      </c>
      <c r="B1892" s="0" t="s">
        <v>4226</v>
      </c>
      <c r="C1892" s="0" t="s">
        <v>31</v>
      </c>
      <c r="D1892" s="0" t="s">
        <v>413</v>
      </c>
      <c r="E1892" s="0" t="s">
        <v>348</v>
      </c>
    </row>
    <row r="1893" customFormat="false" ht="13.5" hidden="false" customHeight="false" outlineLevel="0" collapsed="false">
      <c r="A1893" s="0" t="s">
        <v>4227</v>
      </c>
      <c r="B1893" s="0" t="s">
        <v>4228</v>
      </c>
      <c r="C1893" s="0" t="s">
        <v>31</v>
      </c>
      <c r="D1893" s="0" t="s">
        <v>1508</v>
      </c>
    </row>
    <row r="1894" customFormat="false" ht="13.5" hidden="false" customHeight="false" outlineLevel="0" collapsed="false">
      <c r="A1894" s="0" t="s">
        <v>4229</v>
      </c>
      <c r="B1894" s="0" t="s">
        <v>4230</v>
      </c>
      <c r="C1894" s="0" t="s">
        <v>31</v>
      </c>
      <c r="D1894" s="0" t="s">
        <v>4231</v>
      </c>
    </row>
    <row r="1895" customFormat="false" ht="13.5" hidden="false" customHeight="false" outlineLevel="0" collapsed="false">
      <c r="A1895" s="0" t="s">
        <v>4232</v>
      </c>
      <c r="B1895" s="0" t="s">
        <v>4233</v>
      </c>
      <c r="C1895" s="0" t="s">
        <v>31</v>
      </c>
      <c r="D1895" s="0" t="s">
        <v>69</v>
      </c>
    </row>
    <row r="1896" customFormat="false" ht="13.5" hidden="false" customHeight="false" outlineLevel="0" collapsed="false">
      <c r="A1896" s="0" t="s">
        <v>4234</v>
      </c>
      <c r="B1896" s="0" t="s">
        <v>4235</v>
      </c>
      <c r="C1896" s="0" t="s">
        <v>31</v>
      </c>
      <c r="D1896" s="0" t="s">
        <v>2552</v>
      </c>
    </row>
    <row r="1897" customFormat="false" ht="13.5" hidden="false" customHeight="false" outlineLevel="0" collapsed="false">
      <c r="A1897" s="0" t="s">
        <v>4236</v>
      </c>
      <c r="B1897" s="0" t="s">
        <v>4237</v>
      </c>
      <c r="C1897" s="0" t="s">
        <v>31</v>
      </c>
      <c r="D1897" s="0" t="s">
        <v>4238</v>
      </c>
    </row>
    <row r="1898" customFormat="false" ht="13.5" hidden="false" customHeight="false" outlineLevel="0" collapsed="false">
      <c r="A1898" s="0" t="s">
        <v>4239</v>
      </c>
      <c r="B1898" s="0" t="s">
        <v>4240</v>
      </c>
      <c r="C1898" s="0" t="s">
        <v>31</v>
      </c>
      <c r="D1898" s="0" t="s">
        <v>3711</v>
      </c>
    </row>
    <row r="1899" customFormat="false" ht="13.5" hidden="false" customHeight="false" outlineLevel="0" collapsed="false">
      <c r="A1899" s="0" t="s">
        <v>4241</v>
      </c>
      <c r="B1899" s="0" t="s">
        <v>4242</v>
      </c>
      <c r="C1899" s="0" t="s">
        <v>31</v>
      </c>
      <c r="D1899" s="0" t="s">
        <v>2678</v>
      </c>
    </row>
    <row r="1900" customFormat="false" ht="13.5" hidden="false" customHeight="false" outlineLevel="0" collapsed="false">
      <c r="A1900" s="0" t="s">
        <v>4243</v>
      </c>
      <c r="B1900" s="0" t="s">
        <v>4244</v>
      </c>
      <c r="C1900" s="0" t="s">
        <v>31</v>
      </c>
      <c r="D1900" s="0" t="s">
        <v>2871</v>
      </c>
    </row>
    <row r="1901" customFormat="false" ht="13.5" hidden="false" customHeight="false" outlineLevel="0" collapsed="false">
      <c r="A1901" s="0" t="s">
        <v>4245</v>
      </c>
      <c r="B1901" s="0" t="s">
        <v>4246</v>
      </c>
      <c r="C1901" s="0" t="s">
        <v>31</v>
      </c>
      <c r="D1901" s="0" t="s">
        <v>413</v>
      </c>
      <c r="E1901" s="0" t="s">
        <v>98</v>
      </c>
    </row>
    <row r="1902" customFormat="false" ht="13.5" hidden="false" customHeight="false" outlineLevel="0" collapsed="false">
      <c r="A1902" s="0" t="s">
        <v>4247</v>
      </c>
      <c r="B1902" s="0" t="s">
        <v>4248</v>
      </c>
      <c r="C1902" s="0" t="s">
        <v>31</v>
      </c>
      <c r="D1902" s="0" t="s">
        <v>3711</v>
      </c>
    </row>
    <row r="1903" customFormat="false" ht="13.5" hidden="false" customHeight="false" outlineLevel="0" collapsed="false">
      <c r="A1903" s="0" t="s">
        <v>4249</v>
      </c>
      <c r="B1903" s="0" t="s">
        <v>4250</v>
      </c>
      <c r="C1903" s="0" t="s">
        <v>31</v>
      </c>
      <c r="D1903" s="0" t="s">
        <v>2871</v>
      </c>
    </row>
    <row r="1904" customFormat="false" ht="13.5" hidden="false" customHeight="false" outlineLevel="0" collapsed="false">
      <c r="A1904" s="0" t="s">
        <v>4251</v>
      </c>
      <c r="B1904" s="0" t="s">
        <v>4252</v>
      </c>
      <c r="C1904" s="0" t="s">
        <v>31</v>
      </c>
      <c r="D1904" s="0" t="s">
        <v>413</v>
      </c>
      <c r="E1904" s="0" t="s">
        <v>59</v>
      </c>
    </row>
    <row r="1905" customFormat="false" ht="13.5" hidden="false" customHeight="false" outlineLevel="0" collapsed="false">
      <c r="A1905" s="0" t="s">
        <v>4253</v>
      </c>
      <c r="B1905" s="0" t="s">
        <v>4254</v>
      </c>
      <c r="C1905" s="0" t="s">
        <v>31</v>
      </c>
      <c r="D1905" s="0" t="s">
        <v>2072</v>
      </c>
    </row>
    <row r="1906" customFormat="false" ht="13.5" hidden="false" customHeight="false" outlineLevel="0" collapsed="false">
      <c r="A1906" s="0" t="s">
        <v>4255</v>
      </c>
      <c r="B1906" s="0" t="s">
        <v>4256</v>
      </c>
      <c r="C1906" s="0" t="s">
        <v>31</v>
      </c>
      <c r="D1906" s="0" t="s">
        <v>413</v>
      </c>
      <c r="E1906" s="0" t="s">
        <v>186</v>
      </c>
    </row>
    <row r="1907" customFormat="false" ht="13.5" hidden="false" customHeight="false" outlineLevel="0" collapsed="false">
      <c r="A1907" s="0" t="s">
        <v>4257</v>
      </c>
      <c r="B1907" s="0" t="s">
        <v>4258</v>
      </c>
      <c r="C1907" s="0" t="s">
        <v>31</v>
      </c>
      <c r="D1907" s="0" t="s">
        <v>1704</v>
      </c>
    </row>
    <row r="1908" customFormat="false" ht="13.5" hidden="false" customHeight="false" outlineLevel="0" collapsed="false">
      <c r="A1908" s="0" t="s">
        <v>4259</v>
      </c>
      <c r="B1908" s="0" t="s">
        <v>4260</v>
      </c>
      <c r="C1908" s="0" t="s">
        <v>31</v>
      </c>
      <c r="D1908" s="0" t="s">
        <v>1527</v>
      </c>
    </row>
    <row r="1909" customFormat="false" ht="13.5" hidden="false" customHeight="false" outlineLevel="0" collapsed="false">
      <c r="A1909" s="0" t="s">
        <v>4261</v>
      </c>
      <c r="B1909" s="0" t="s">
        <v>4262</v>
      </c>
      <c r="C1909" s="0" t="s">
        <v>31</v>
      </c>
      <c r="D1909" s="0" t="s">
        <v>2701</v>
      </c>
    </row>
    <row r="1910" customFormat="false" ht="13.5" hidden="false" customHeight="false" outlineLevel="0" collapsed="false">
      <c r="A1910" s="0" t="s">
        <v>4263</v>
      </c>
      <c r="B1910" s="0" t="s">
        <v>4264</v>
      </c>
      <c r="C1910" s="0" t="s">
        <v>31</v>
      </c>
      <c r="D1910" s="0" t="s">
        <v>2552</v>
      </c>
    </row>
    <row r="1911" customFormat="false" ht="13.5" hidden="false" customHeight="false" outlineLevel="0" collapsed="false">
      <c r="A1911" s="0" t="s">
        <v>4265</v>
      </c>
      <c r="B1911" s="0" t="s">
        <v>4266</v>
      </c>
      <c r="C1911" s="0" t="s">
        <v>31</v>
      </c>
      <c r="D1911" s="0" t="s">
        <v>2878</v>
      </c>
    </row>
    <row r="1912" customFormat="false" ht="13.5" hidden="false" customHeight="false" outlineLevel="0" collapsed="false">
      <c r="A1912" s="0" t="s">
        <v>4267</v>
      </c>
      <c r="B1912" s="0" t="s">
        <v>4268</v>
      </c>
      <c r="C1912" s="0" t="s">
        <v>31</v>
      </c>
      <c r="D1912" s="0" t="s">
        <v>3276</v>
      </c>
    </row>
    <row r="1913" customFormat="false" ht="13.5" hidden="false" customHeight="false" outlineLevel="0" collapsed="false">
      <c r="A1913" s="0" t="s">
        <v>4269</v>
      </c>
      <c r="B1913" s="0" t="s">
        <v>4270</v>
      </c>
      <c r="C1913" s="0" t="s">
        <v>31</v>
      </c>
      <c r="D1913" s="0" t="s">
        <v>1657</v>
      </c>
    </row>
    <row r="1914" customFormat="false" ht="13.5" hidden="false" customHeight="false" outlineLevel="0" collapsed="false">
      <c r="A1914" s="0" t="s">
        <v>4271</v>
      </c>
      <c r="B1914" s="0" t="s">
        <v>4272</v>
      </c>
      <c r="C1914" s="0" t="s">
        <v>31</v>
      </c>
      <c r="D1914" s="0" t="s">
        <v>3628</v>
      </c>
    </row>
    <row r="1915" customFormat="false" ht="13.5" hidden="false" customHeight="false" outlineLevel="0" collapsed="false">
      <c r="A1915" s="0" t="s">
        <v>4273</v>
      </c>
      <c r="B1915" s="0" t="s">
        <v>4274</v>
      </c>
      <c r="C1915" s="0" t="s">
        <v>31</v>
      </c>
      <c r="D1915" s="0" t="s">
        <v>413</v>
      </c>
      <c r="E1915" s="0" t="s">
        <v>63</v>
      </c>
    </row>
    <row r="1916" customFormat="false" ht="13.5" hidden="false" customHeight="false" outlineLevel="0" collapsed="false">
      <c r="A1916" s="0" t="s">
        <v>4275</v>
      </c>
      <c r="B1916" s="0" t="s">
        <v>4276</v>
      </c>
      <c r="C1916" s="0" t="s">
        <v>31</v>
      </c>
      <c r="D1916" s="0" t="s">
        <v>19</v>
      </c>
      <c r="E1916" s="0" t="s">
        <v>695</v>
      </c>
      <c r="F1916" s="0" t="s">
        <v>60</v>
      </c>
    </row>
    <row r="1917" customFormat="false" ht="13.5" hidden="false" customHeight="false" outlineLevel="0" collapsed="false">
      <c r="A1917" s="0" t="s">
        <v>4277</v>
      </c>
      <c r="B1917" s="0" t="s">
        <v>4278</v>
      </c>
      <c r="C1917" s="0" t="s">
        <v>31</v>
      </c>
      <c r="D1917" s="0" t="s">
        <v>1651</v>
      </c>
    </row>
    <row r="1918" customFormat="false" ht="13.5" hidden="false" customHeight="false" outlineLevel="0" collapsed="false">
      <c r="A1918" s="0" t="s">
        <v>4279</v>
      </c>
      <c r="B1918" s="0" t="s">
        <v>4280</v>
      </c>
      <c r="C1918" s="0" t="s">
        <v>31</v>
      </c>
      <c r="D1918" s="0" t="s">
        <v>2678</v>
      </c>
    </row>
    <row r="1919" customFormat="false" ht="13.5" hidden="false" customHeight="false" outlineLevel="0" collapsed="false">
      <c r="A1919" s="0" t="s">
        <v>4281</v>
      </c>
      <c r="B1919" s="0" t="s">
        <v>4282</v>
      </c>
      <c r="C1919" s="0" t="s">
        <v>31</v>
      </c>
      <c r="D1919" s="0" t="s">
        <v>1592</v>
      </c>
    </row>
    <row r="1920" customFormat="false" ht="13.5" hidden="false" customHeight="false" outlineLevel="0" collapsed="false">
      <c r="A1920" s="0" t="s">
        <v>4283</v>
      </c>
      <c r="B1920" s="0" t="s">
        <v>4284</v>
      </c>
      <c r="C1920" s="0" t="s">
        <v>31</v>
      </c>
      <c r="D1920" s="0" t="s">
        <v>69</v>
      </c>
    </row>
    <row r="1921" customFormat="false" ht="13.5" hidden="false" customHeight="false" outlineLevel="0" collapsed="false">
      <c r="A1921" s="0" t="s">
        <v>4285</v>
      </c>
      <c r="B1921" s="0" t="s">
        <v>4286</v>
      </c>
      <c r="C1921" s="0" t="s">
        <v>31</v>
      </c>
      <c r="D1921" s="0" t="s">
        <v>69</v>
      </c>
    </row>
    <row r="1922" customFormat="false" ht="13.5" hidden="false" customHeight="false" outlineLevel="0" collapsed="false">
      <c r="A1922" s="0" t="s">
        <v>4287</v>
      </c>
      <c r="B1922" s="0" t="s">
        <v>4288</v>
      </c>
      <c r="C1922" s="0" t="s">
        <v>31</v>
      </c>
      <c r="D1922" s="0" t="s">
        <v>3276</v>
      </c>
    </row>
    <row r="1923" customFormat="false" ht="13.5" hidden="false" customHeight="false" outlineLevel="0" collapsed="false">
      <c r="A1923" s="0" t="s">
        <v>4289</v>
      </c>
      <c r="B1923" s="0" t="s">
        <v>4290</v>
      </c>
      <c r="C1923" s="0" t="s">
        <v>31</v>
      </c>
      <c r="D1923" s="0" t="s">
        <v>1704</v>
      </c>
    </row>
    <row r="1924" customFormat="false" ht="13.5" hidden="false" customHeight="false" outlineLevel="0" collapsed="false">
      <c r="A1924" s="0" t="s">
        <v>4291</v>
      </c>
      <c r="B1924" s="0" t="s">
        <v>4292</v>
      </c>
      <c r="C1924" s="0" t="s">
        <v>31</v>
      </c>
      <c r="D1924" s="0" t="s">
        <v>19</v>
      </c>
      <c r="E1924" s="0" t="s">
        <v>1151</v>
      </c>
      <c r="F1924" s="0" t="s">
        <v>43</v>
      </c>
    </row>
    <row r="1925" customFormat="false" ht="13.5" hidden="false" customHeight="false" outlineLevel="0" collapsed="false">
      <c r="A1925" s="0" t="s">
        <v>4293</v>
      </c>
      <c r="B1925" s="0" t="s">
        <v>4294</v>
      </c>
      <c r="C1925" s="0" t="s">
        <v>31</v>
      </c>
      <c r="D1925" s="0" t="s">
        <v>413</v>
      </c>
      <c r="E1925" s="0" t="s">
        <v>98</v>
      </c>
    </row>
    <row r="1926" customFormat="false" ht="13.5" hidden="false" customHeight="false" outlineLevel="0" collapsed="false">
      <c r="A1926" s="0" t="s">
        <v>4295</v>
      </c>
      <c r="B1926" s="0" t="s">
        <v>4296</v>
      </c>
      <c r="C1926" s="0" t="s">
        <v>31</v>
      </c>
      <c r="D1926" s="0" t="s">
        <v>1540</v>
      </c>
    </row>
    <row r="1927" customFormat="false" ht="13.5" hidden="false" customHeight="false" outlineLevel="0" collapsed="false">
      <c r="A1927" s="0" t="s">
        <v>4297</v>
      </c>
      <c r="B1927" s="0" t="s">
        <v>4298</v>
      </c>
      <c r="C1927" s="0" t="s">
        <v>31</v>
      </c>
      <c r="D1927" s="0" t="s">
        <v>19</v>
      </c>
      <c r="E1927" s="0" t="s">
        <v>1151</v>
      </c>
      <c r="F1927" s="0" t="s">
        <v>60</v>
      </c>
    </row>
    <row r="1928" customFormat="false" ht="13.5" hidden="false" customHeight="false" outlineLevel="0" collapsed="false">
      <c r="A1928" s="0" t="s">
        <v>4299</v>
      </c>
      <c r="B1928" s="0" t="s">
        <v>4300</v>
      </c>
      <c r="C1928" s="0" t="s">
        <v>31</v>
      </c>
      <c r="D1928" s="0" t="s">
        <v>413</v>
      </c>
      <c r="E1928" s="0" t="s">
        <v>317</v>
      </c>
    </row>
    <row r="1929" customFormat="false" ht="13.5" hidden="false" customHeight="false" outlineLevel="0" collapsed="false">
      <c r="A1929" s="0" t="s">
        <v>4301</v>
      </c>
      <c r="B1929" s="0" t="s">
        <v>4302</v>
      </c>
      <c r="C1929" s="0" t="s">
        <v>31</v>
      </c>
      <c r="D1929" s="0" t="s">
        <v>3711</v>
      </c>
    </row>
    <row r="1930" customFormat="false" ht="13.5" hidden="false" customHeight="false" outlineLevel="0" collapsed="false">
      <c r="A1930" s="0" t="s">
        <v>4303</v>
      </c>
      <c r="B1930" s="0" t="s">
        <v>4304</v>
      </c>
      <c r="C1930" s="0" t="s">
        <v>31</v>
      </c>
      <c r="D1930" s="0" t="s">
        <v>2364</v>
      </c>
    </row>
    <row r="1931" customFormat="false" ht="13.5" hidden="false" customHeight="false" outlineLevel="0" collapsed="false">
      <c r="A1931" s="0" t="s">
        <v>4305</v>
      </c>
      <c r="B1931" s="0" t="s">
        <v>4306</v>
      </c>
      <c r="C1931" s="0" t="s">
        <v>31</v>
      </c>
      <c r="D1931" s="0" t="s">
        <v>413</v>
      </c>
      <c r="E1931" s="0" t="s">
        <v>59</v>
      </c>
    </row>
    <row r="1932" customFormat="false" ht="13.5" hidden="false" customHeight="false" outlineLevel="0" collapsed="false">
      <c r="A1932" s="0" t="s">
        <v>4307</v>
      </c>
      <c r="B1932" s="0" t="s">
        <v>4308</v>
      </c>
      <c r="C1932" s="0" t="s">
        <v>31</v>
      </c>
      <c r="D1932" s="0" t="s">
        <v>413</v>
      </c>
      <c r="E1932" s="0" t="s">
        <v>695</v>
      </c>
    </row>
    <row r="1933" customFormat="false" ht="13.5" hidden="false" customHeight="false" outlineLevel="0" collapsed="false">
      <c r="A1933" s="0" t="s">
        <v>4309</v>
      </c>
      <c r="B1933" s="0" t="s">
        <v>4310</v>
      </c>
      <c r="C1933" s="0" t="s">
        <v>31</v>
      </c>
      <c r="D1933" s="0" t="s">
        <v>1651</v>
      </c>
    </row>
    <row r="1934" customFormat="false" ht="13.5" hidden="false" customHeight="false" outlineLevel="0" collapsed="false">
      <c r="A1934" s="0" t="s">
        <v>4311</v>
      </c>
      <c r="B1934" s="0" t="s">
        <v>4312</v>
      </c>
      <c r="C1934" s="0" t="s">
        <v>31</v>
      </c>
      <c r="D1934" s="0" t="s">
        <v>2871</v>
      </c>
    </row>
    <row r="1935" customFormat="false" ht="13.5" hidden="false" customHeight="false" outlineLevel="0" collapsed="false">
      <c r="A1935" s="0" t="s">
        <v>4313</v>
      </c>
      <c r="B1935" s="0" t="s">
        <v>4314</v>
      </c>
      <c r="C1935" s="0" t="s">
        <v>31</v>
      </c>
      <c r="D1935" s="0" t="s">
        <v>69</v>
      </c>
    </row>
    <row r="1936" customFormat="false" ht="13.5" hidden="false" customHeight="false" outlineLevel="0" collapsed="false">
      <c r="A1936" s="0" t="s">
        <v>4315</v>
      </c>
      <c r="B1936" s="0" t="s">
        <v>4316</v>
      </c>
      <c r="C1936" s="0" t="s">
        <v>31</v>
      </c>
      <c r="D1936" s="0" t="s">
        <v>1657</v>
      </c>
    </row>
    <row r="1937" customFormat="false" ht="13.5" hidden="false" customHeight="false" outlineLevel="0" collapsed="false">
      <c r="A1937" s="0" t="s">
        <v>4317</v>
      </c>
      <c r="B1937" s="0" t="s">
        <v>4318</v>
      </c>
      <c r="C1937" s="0" t="s">
        <v>31</v>
      </c>
      <c r="D1937" s="0" t="s">
        <v>2871</v>
      </c>
    </row>
    <row r="1938" customFormat="false" ht="13.5" hidden="false" customHeight="false" outlineLevel="0" collapsed="false">
      <c r="A1938" s="0" t="s">
        <v>4319</v>
      </c>
      <c r="B1938" s="0" t="s">
        <v>4320</v>
      </c>
      <c r="C1938" s="0" t="s">
        <v>31</v>
      </c>
      <c r="D1938" s="0" t="s">
        <v>2356</v>
      </c>
    </row>
    <row r="1939" customFormat="false" ht="13.5" hidden="false" customHeight="false" outlineLevel="0" collapsed="false">
      <c r="A1939" s="0" t="s">
        <v>4321</v>
      </c>
      <c r="B1939" s="0" t="s">
        <v>4322</v>
      </c>
      <c r="C1939" s="0" t="s">
        <v>31</v>
      </c>
      <c r="D1939" s="0" t="s">
        <v>1527</v>
      </c>
    </row>
    <row r="1940" customFormat="false" ht="13.5" hidden="false" customHeight="false" outlineLevel="0" collapsed="false">
      <c r="A1940" s="0" t="s">
        <v>4323</v>
      </c>
      <c r="B1940" s="0" t="s">
        <v>4324</v>
      </c>
      <c r="C1940" s="0" t="s">
        <v>31</v>
      </c>
      <c r="D1940" s="0" t="s">
        <v>19</v>
      </c>
      <c r="E1940" s="0" t="s">
        <v>98</v>
      </c>
      <c r="F1940" s="0" t="s">
        <v>60</v>
      </c>
    </row>
    <row r="1941" customFormat="false" ht="13.5" hidden="false" customHeight="false" outlineLevel="0" collapsed="false">
      <c r="A1941" s="0" t="s">
        <v>4325</v>
      </c>
      <c r="B1941" s="0" t="s">
        <v>4326</v>
      </c>
      <c r="C1941" s="0" t="s">
        <v>31</v>
      </c>
      <c r="D1941" s="0" t="s">
        <v>2072</v>
      </c>
    </row>
    <row r="1942" customFormat="false" ht="13.5" hidden="false" customHeight="false" outlineLevel="0" collapsed="false">
      <c r="A1942" s="0" t="s">
        <v>4327</v>
      </c>
      <c r="B1942" s="0" t="s">
        <v>4328</v>
      </c>
      <c r="C1942" s="0" t="s">
        <v>31</v>
      </c>
      <c r="D1942" s="0" t="s">
        <v>1651</v>
      </c>
    </row>
    <row r="1943" customFormat="false" ht="13.5" hidden="false" customHeight="false" outlineLevel="0" collapsed="false">
      <c r="A1943" s="0" t="s">
        <v>4329</v>
      </c>
      <c r="B1943" s="0" t="s">
        <v>4330</v>
      </c>
      <c r="C1943" s="0" t="s">
        <v>31</v>
      </c>
      <c r="D1943" s="0" t="s">
        <v>3674</v>
      </c>
    </row>
    <row r="1944" customFormat="false" ht="13.5" hidden="false" customHeight="false" outlineLevel="0" collapsed="false">
      <c r="A1944" s="0" t="s">
        <v>4331</v>
      </c>
      <c r="B1944" s="0" t="s">
        <v>4332</v>
      </c>
      <c r="C1944" s="0" t="s">
        <v>31</v>
      </c>
      <c r="D1944" s="0" t="s">
        <v>4333</v>
      </c>
      <c r="E1944" s="0" t="s">
        <v>98</v>
      </c>
    </row>
    <row r="1945" customFormat="false" ht="13.5" hidden="false" customHeight="false" outlineLevel="0" collapsed="false">
      <c r="A1945" s="0" t="s">
        <v>4334</v>
      </c>
      <c r="B1945" s="0" t="s">
        <v>4335</v>
      </c>
      <c r="C1945" s="0" t="s">
        <v>31</v>
      </c>
      <c r="D1945" s="0" t="s">
        <v>1924</v>
      </c>
    </row>
    <row r="1946" customFormat="false" ht="13.5" hidden="false" customHeight="false" outlineLevel="0" collapsed="false">
      <c r="A1946" s="0" t="s">
        <v>4336</v>
      </c>
      <c r="B1946" s="0" t="s">
        <v>4337</v>
      </c>
      <c r="C1946" s="0" t="s">
        <v>31</v>
      </c>
      <c r="D1946" s="0" t="s">
        <v>1540</v>
      </c>
    </row>
    <row r="1947" customFormat="false" ht="13.5" hidden="false" customHeight="false" outlineLevel="0" collapsed="false">
      <c r="A1947" s="0" t="s">
        <v>4338</v>
      </c>
      <c r="B1947" s="0" t="s">
        <v>4339</v>
      </c>
      <c r="C1947" s="0" t="s">
        <v>31</v>
      </c>
      <c r="D1947" s="0" t="s">
        <v>1737</v>
      </c>
    </row>
    <row r="1948" customFormat="false" ht="13.5" hidden="false" customHeight="false" outlineLevel="0" collapsed="false">
      <c r="A1948" s="0" t="s">
        <v>4340</v>
      </c>
      <c r="B1948" s="0" t="s">
        <v>595</v>
      </c>
      <c r="C1948" s="0" t="s">
        <v>31</v>
      </c>
      <c r="D1948" s="0" t="s">
        <v>413</v>
      </c>
      <c r="E1948" s="0" t="s">
        <v>713</v>
      </c>
    </row>
    <row r="1949" customFormat="false" ht="13.5" hidden="false" customHeight="false" outlineLevel="0" collapsed="false">
      <c r="A1949" s="0" t="s">
        <v>4341</v>
      </c>
      <c r="B1949" s="0" t="s">
        <v>4342</v>
      </c>
      <c r="C1949" s="0" t="s">
        <v>31</v>
      </c>
      <c r="D1949" s="0" t="s">
        <v>19</v>
      </c>
      <c r="E1949" s="0" t="s">
        <v>695</v>
      </c>
      <c r="F1949" s="0" t="s">
        <v>60</v>
      </c>
    </row>
    <row r="1950" customFormat="false" ht="13.5" hidden="false" customHeight="false" outlineLevel="0" collapsed="false">
      <c r="A1950" s="0" t="s">
        <v>4343</v>
      </c>
      <c r="B1950" s="0" t="s">
        <v>4344</v>
      </c>
      <c r="C1950" s="0" t="s">
        <v>31</v>
      </c>
      <c r="D1950" s="0" t="s">
        <v>1651</v>
      </c>
    </row>
    <row r="1951" customFormat="false" ht="13.5" hidden="false" customHeight="false" outlineLevel="0" collapsed="false">
      <c r="A1951" s="0" t="s">
        <v>4345</v>
      </c>
      <c r="B1951" s="0" t="s">
        <v>4346</v>
      </c>
      <c r="C1951" s="0" t="s">
        <v>31</v>
      </c>
      <c r="D1951" s="0" t="s">
        <v>413</v>
      </c>
      <c r="E1951" s="0" t="s">
        <v>12</v>
      </c>
    </row>
    <row r="1952" customFormat="false" ht="13.5" hidden="false" customHeight="false" outlineLevel="0" collapsed="false">
      <c r="A1952" s="0" t="s">
        <v>4347</v>
      </c>
      <c r="B1952" s="0" t="s">
        <v>4348</v>
      </c>
      <c r="C1952" s="0" t="s">
        <v>31</v>
      </c>
      <c r="D1952" s="0" t="s">
        <v>1704</v>
      </c>
    </row>
    <row r="1953" customFormat="false" ht="13.5" hidden="false" customHeight="false" outlineLevel="0" collapsed="false">
      <c r="A1953" s="0" t="s">
        <v>4349</v>
      </c>
      <c r="B1953" s="0" t="s">
        <v>4350</v>
      </c>
      <c r="C1953" s="0" t="s">
        <v>31</v>
      </c>
      <c r="D1953" s="0" t="s">
        <v>1704</v>
      </c>
    </row>
    <row r="1954" customFormat="false" ht="13.5" hidden="false" customHeight="false" outlineLevel="0" collapsed="false">
      <c r="A1954" s="0" t="s">
        <v>4351</v>
      </c>
      <c r="B1954" s="0" t="s">
        <v>4352</v>
      </c>
      <c r="C1954" s="0" t="s">
        <v>31</v>
      </c>
      <c r="D1954" s="0" t="s">
        <v>1651</v>
      </c>
    </row>
    <row r="1955" customFormat="false" ht="13.5" hidden="false" customHeight="false" outlineLevel="0" collapsed="false">
      <c r="A1955" s="0" t="s">
        <v>4353</v>
      </c>
      <c r="B1955" s="0" t="s">
        <v>4354</v>
      </c>
      <c r="C1955" s="0" t="s">
        <v>31</v>
      </c>
      <c r="D1955" s="0" t="s">
        <v>2871</v>
      </c>
    </row>
    <row r="1956" customFormat="false" ht="13.5" hidden="false" customHeight="false" outlineLevel="0" collapsed="false">
      <c r="A1956" s="0" t="s">
        <v>4355</v>
      </c>
      <c r="B1956" s="0" t="s">
        <v>4356</v>
      </c>
      <c r="C1956" s="0" t="s">
        <v>31</v>
      </c>
      <c r="D1956" s="0" t="s">
        <v>413</v>
      </c>
      <c r="E1956" s="0" t="s">
        <v>186</v>
      </c>
    </row>
    <row r="1957" customFormat="false" ht="13.5" hidden="false" customHeight="false" outlineLevel="0" collapsed="false">
      <c r="A1957" s="0" t="s">
        <v>4357</v>
      </c>
      <c r="B1957" s="0" t="s">
        <v>4358</v>
      </c>
      <c r="C1957" s="0" t="s">
        <v>31</v>
      </c>
      <c r="D1957" s="0" t="s">
        <v>3020</v>
      </c>
    </row>
    <row r="1958" customFormat="false" ht="13.5" hidden="false" customHeight="false" outlineLevel="0" collapsed="false">
      <c r="A1958" s="0" t="s">
        <v>4359</v>
      </c>
      <c r="B1958" s="0" t="s">
        <v>4360</v>
      </c>
      <c r="C1958" s="0" t="s">
        <v>31</v>
      </c>
      <c r="D1958" s="0" t="s">
        <v>1592</v>
      </c>
    </row>
    <row r="1959" customFormat="false" ht="13.5" hidden="false" customHeight="false" outlineLevel="0" collapsed="false">
      <c r="A1959" s="0" t="s">
        <v>4361</v>
      </c>
      <c r="B1959" s="0" t="s">
        <v>4362</v>
      </c>
      <c r="C1959" s="0" t="s">
        <v>31</v>
      </c>
      <c r="D1959" s="0" t="s">
        <v>69</v>
      </c>
    </row>
    <row r="1960" customFormat="false" ht="13.5" hidden="false" customHeight="false" outlineLevel="0" collapsed="false">
      <c r="A1960" s="0" t="s">
        <v>4363</v>
      </c>
      <c r="B1960" s="0" t="s">
        <v>4364</v>
      </c>
      <c r="C1960" s="0" t="s">
        <v>31</v>
      </c>
      <c r="D1960" s="0" t="s">
        <v>19</v>
      </c>
      <c r="E1960" s="0" t="s">
        <v>200</v>
      </c>
      <c r="F1960" s="0" t="s">
        <v>60</v>
      </c>
    </row>
    <row r="1961" customFormat="false" ht="13.5" hidden="false" customHeight="false" outlineLevel="0" collapsed="false">
      <c r="A1961" s="0" t="s">
        <v>4365</v>
      </c>
      <c r="B1961" s="0" t="s">
        <v>4366</v>
      </c>
      <c r="C1961" s="0" t="s">
        <v>31</v>
      </c>
      <c r="D1961" s="0" t="s">
        <v>2072</v>
      </c>
    </row>
    <row r="1962" customFormat="false" ht="13.5" hidden="false" customHeight="false" outlineLevel="0" collapsed="false">
      <c r="A1962" s="0" t="s">
        <v>4367</v>
      </c>
      <c r="B1962" s="0" t="s">
        <v>4368</v>
      </c>
      <c r="C1962" s="0" t="s">
        <v>31</v>
      </c>
      <c r="D1962" s="0" t="s">
        <v>2072</v>
      </c>
    </row>
    <row r="1963" customFormat="false" ht="13.5" hidden="false" customHeight="false" outlineLevel="0" collapsed="false">
      <c r="A1963" s="0" t="s">
        <v>4369</v>
      </c>
      <c r="B1963" s="0" t="s">
        <v>4370</v>
      </c>
      <c r="C1963" s="0" t="s">
        <v>31</v>
      </c>
      <c r="D1963" s="0" t="s">
        <v>3523</v>
      </c>
    </row>
    <row r="1964" customFormat="false" ht="13.5" hidden="false" customHeight="false" outlineLevel="0" collapsed="false">
      <c r="A1964" s="0" t="s">
        <v>4371</v>
      </c>
      <c r="B1964" s="0" t="s">
        <v>4372</v>
      </c>
      <c r="C1964" s="0" t="s">
        <v>31</v>
      </c>
      <c r="D1964" s="0" t="s">
        <v>1957</v>
      </c>
    </row>
    <row r="1965" customFormat="false" ht="13.5" hidden="false" customHeight="false" outlineLevel="0" collapsed="false">
      <c r="A1965" s="0" t="s">
        <v>4373</v>
      </c>
      <c r="B1965" s="0" t="s">
        <v>4374</v>
      </c>
      <c r="C1965" s="0" t="s">
        <v>31</v>
      </c>
      <c r="D1965" s="0" t="s">
        <v>19</v>
      </c>
      <c r="E1965" s="0" t="s">
        <v>4375</v>
      </c>
      <c r="F1965" s="0" t="s">
        <v>43</v>
      </c>
    </row>
    <row r="1966" customFormat="false" ht="13.5" hidden="false" customHeight="false" outlineLevel="0" collapsed="false">
      <c r="A1966" s="0" t="s">
        <v>4376</v>
      </c>
      <c r="B1966" s="0" t="s">
        <v>4377</v>
      </c>
      <c r="C1966" s="0" t="s">
        <v>31</v>
      </c>
      <c r="D1966" s="0" t="s">
        <v>2492</v>
      </c>
    </row>
    <row r="1967" customFormat="false" ht="13.5" hidden="false" customHeight="false" outlineLevel="0" collapsed="false">
      <c r="A1967" s="0" t="s">
        <v>4378</v>
      </c>
      <c r="B1967" s="0" t="s">
        <v>4379</v>
      </c>
      <c r="C1967" s="0" t="s">
        <v>31</v>
      </c>
      <c r="D1967" s="0" t="s">
        <v>1540</v>
      </c>
    </row>
    <row r="1968" customFormat="false" ht="13.5" hidden="false" customHeight="false" outlineLevel="0" collapsed="false">
      <c r="A1968" s="0" t="s">
        <v>4380</v>
      </c>
      <c r="B1968" s="0" t="s">
        <v>4381</v>
      </c>
      <c r="C1968" s="0" t="s">
        <v>31</v>
      </c>
      <c r="D1968" s="0" t="s">
        <v>413</v>
      </c>
      <c r="E1968" s="0" t="s">
        <v>3965</v>
      </c>
    </row>
    <row r="1969" customFormat="false" ht="13.5" hidden="false" customHeight="false" outlineLevel="0" collapsed="false">
      <c r="A1969" s="0" t="s">
        <v>4382</v>
      </c>
      <c r="B1969" s="0" t="s">
        <v>4383</v>
      </c>
      <c r="C1969" s="0" t="s">
        <v>31</v>
      </c>
      <c r="D1969" s="0" t="s">
        <v>2701</v>
      </c>
    </row>
    <row r="1970" customFormat="false" ht="13.5" hidden="false" customHeight="false" outlineLevel="0" collapsed="false">
      <c r="A1970" s="0" t="s">
        <v>4384</v>
      </c>
      <c r="B1970" s="0" t="s">
        <v>4385</v>
      </c>
      <c r="C1970" s="0" t="s">
        <v>31</v>
      </c>
      <c r="D1970" s="0" t="s">
        <v>1704</v>
      </c>
    </row>
    <row r="1971" customFormat="false" ht="13.5" hidden="false" customHeight="false" outlineLevel="0" collapsed="false">
      <c r="A1971" s="0" t="s">
        <v>4386</v>
      </c>
      <c r="B1971" s="0" t="s">
        <v>4387</v>
      </c>
      <c r="C1971" s="0" t="s">
        <v>31</v>
      </c>
      <c r="D1971" s="0" t="s">
        <v>2871</v>
      </c>
    </row>
    <row r="1972" customFormat="false" ht="13.5" hidden="false" customHeight="false" outlineLevel="0" collapsed="false">
      <c r="A1972" s="0" t="s">
        <v>4388</v>
      </c>
      <c r="B1972" s="0" t="s">
        <v>4389</v>
      </c>
      <c r="C1972" s="0" t="s">
        <v>31</v>
      </c>
      <c r="D1972" s="0" t="s">
        <v>1957</v>
      </c>
    </row>
    <row r="1973" customFormat="false" ht="13.5" hidden="false" customHeight="false" outlineLevel="0" collapsed="false">
      <c r="A1973" s="0" t="s">
        <v>4390</v>
      </c>
      <c r="B1973" s="0" t="s">
        <v>4391</v>
      </c>
      <c r="C1973" s="0" t="s">
        <v>31</v>
      </c>
      <c r="D1973" s="0" t="s">
        <v>2878</v>
      </c>
      <c r="E1973" s="0" t="s">
        <v>150</v>
      </c>
    </row>
    <row r="1974" customFormat="false" ht="13.5" hidden="false" customHeight="false" outlineLevel="0" collapsed="false">
      <c r="A1974" s="0" t="s">
        <v>4392</v>
      </c>
      <c r="B1974" s="0" t="s">
        <v>4393</v>
      </c>
      <c r="C1974" s="0" t="s">
        <v>31</v>
      </c>
      <c r="D1974" s="0" t="s">
        <v>3711</v>
      </c>
    </row>
    <row r="1975" customFormat="false" ht="13.5" hidden="false" customHeight="false" outlineLevel="0" collapsed="false">
      <c r="A1975" s="0" t="s">
        <v>4394</v>
      </c>
      <c r="B1975" s="0" t="s">
        <v>4395</v>
      </c>
      <c r="C1975" s="0" t="s">
        <v>31</v>
      </c>
      <c r="D1975" s="0" t="s">
        <v>1957</v>
      </c>
    </row>
    <row r="1976" customFormat="false" ht="13.5" hidden="false" customHeight="false" outlineLevel="0" collapsed="false">
      <c r="A1976" s="0" t="s">
        <v>4396</v>
      </c>
      <c r="B1976" s="0" t="s">
        <v>4397</v>
      </c>
      <c r="C1976" s="0" t="s">
        <v>31</v>
      </c>
      <c r="D1976" s="0" t="s">
        <v>413</v>
      </c>
      <c r="E1976" s="0" t="s">
        <v>150</v>
      </c>
    </row>
    <row r="1977" customFormat="false" ht="13.5" hidden="false" customHeight="false" outlineLevel="0" collapsed="false">
      <c r="A1977" s="0" t="s">
        <v>4398</v>
      </c>
      <c r="B1977" s="0" t="s">
        <v>4399</v>
      </c>
      <c r="C1977" s="0" t="s">
        <v>31</v>
      </c>
      <c r="D1977" s="0" t="s">
        <v>19</v>
      </c>
      <c r="E1977" s="0" t="s">
        <v>695</v>
      </c>
      <c r="F1977" s="0" t="s">
        <v>60</v>
      </c>
    </row>
    <row r="1978" customFormat="false" ht="13.5" hidden="false" customHeight="false" outlineLevel="0" collapsed="false">
      <c r="A1978" s="0" t="s">
        <v>4400</v>
      </c>
      <c r="B1978" s="0" t="s">
        <v>4401</v>
      </c>
      <c r="C1978" s="0" t="s">
        <v>31</v>
      </c>
      <c r="D1978" s="0" t="s">
        <v>19</v>
      </c>
      <c r="E1978" s="0" t="s">
        <v>1292</v>
      </c>
      <c r="F1978" s="0" t="s">
        <v>60</v>
      </c>
    </row>
    <row r="1979" customFormat="false" ht="13.5" hidden="false" customHeight="false" outlineLevel="0" collapsed="false">
      <c r="A1979" s="0" t="s">
        <v>4402</v>
      </c>
      <c r="B1979" s="0" t="s">
        <v>4403</v>
      </c>
      <c r="C1979" s="0" t="s">
        <v>31</v>
      </c>
      <c r="D1979" s="0" t="s">
        <v>1957</v>
      </c>
    </row>
    <row r="1980" customFormat="false" ht="13.5" hidden="false" customHeight="false" outlineLevel="0" collapsed="false">
      <c r="A1980" s="0" t="s">
        <v>4404</v>
      </c>
      <c r="B1980" s="0" t="s">
        <v>4405</v>
      </c>
      <c r="C1980" s="0" t="s">
        <v>31</v>
      </c>
      <c r="D1980" s="0" t="s">
        <v>3469</v>
      </c>
    </row>
    <row r="1981" customFormat="false" ht="13.5" hidden="false" customHeight="false" outlineLevel="0" collapsed="false">
      <c r="A1981" s="0" t="s">
        <v>4406</v>
      </c>
      <c r="B1981" s="0" t="s">
        <v>4407</v>
      </c>
      <c r="C1981" s="0" t="s">
        <v>31</v>
      </c>
      <c r="D1981" s="0" t="s">
        <v>3711</v>
      </c>
    </row>
    <row r="1982" customFormat="false" ht="13.5" hidden="false" customHeight="false" outlineLevel="0" collapsed="false">
      <c r="A1982" s="0" t="s">
        <v>4408</v>
      </c>
      <c r="B1982" s="0" t="s">
        <v>4409</v>
      </c>
      <c r="C1982" s="0" t="s">
        <v>31</v>
      </c>
      <c r="D1982" s="0" t="s">
        <v>413</v>
      </c>
      <c r="E1982" s="0" t="s">
        <v>12</v>
      </c>
    </row>
    <row r="1983" customFormat="false" ht="13.5" hidden="false" customHeight="false" outlineLevel="0" collapsed="false">
      <c r="A1983" s="0" t="s">
        <v>4410</v>
      </c>
      <c r="B1983" s="0" t="s">
        <v>4411</v>
      </c>
      <c r="C1983" s="0" t="s">
        <v>31</v>
      </c>
      <c r="D1983" s="0" t="s">
        <v>2072</v>
      </c>
    </row>
    <row r="1984" customFormat="false" ht="13.5" hidden="false" customHeight="false" outlineLevel="0" collapsed="false">
      <c r="A1984" s="0" t="s">
        <v>4412</v>
      </c>
      <c r="B1984" s="0" t="s">
        <v>4413</v>
      </c>
      <c r="C1984" s="0" t="s">
        <v>31</v>
      </c>
      <c r="D1984" s="0" t="s">
        <v>1508</v>
      </c>
    </row>
    <row r="1985" customFormat="false" ht="13.5" hidden="false" customHeight="false" outlineLevel="0" collapsed="false">
      <c r="A1985" s="0" t="s">
        <v>4414</v>
      </c>
      <c r="B1985" s="0" t="s">
        <v>4415</v>
      </c>
      <c r="C1985" s="0" t="s">
        <v>31</v>
      </c>
      <c r="D1985" s="0" t="s">
        <v>2356</v>
      </c>
    </row>
    <row r="1986" customFormat="false" ht="13.5" hidden="false" customHeight="false" outlineLevel="0" collapsed="false">
      <c r="A1986" s="0" t="s">
        <v>4416</v>
      </c>
      <c r="B1986" s="0" t="s">
        <v>4417</v>
      </c>
      <c r="C1986" s="0" t="s">
        <v>31</v>
      </c>
      <c r="D1986" s="0" t="s">
        <v>16</v>
      </c>
      <c r="E1986" s="0" t="s">
        <v>36</v>
      </c>
      <c r="F1986" s="0" t="s">
        <v>1782</v>
      </c>
    </row>
    <row r="1987" customFormat="false" ht="13.5" hidden="false" customHeight="false" outlineLevel="0" collapsed="false">
      <c r="A1987" s="0" t="s">
        <v>4418</v>
      </c>
      <c r="B1987" s="0" t="s">
        <v>2318</v>
      </c>
      <c r="C1987" s="0" t="s">
        <v>31</v>
      </c>
      <c r="D1987" s="0" t="s">
        <v>19</v>
      </c>
      <c r="E1987" s="0" t="s">
        <v>1151</v>
      </c>
      <c r="F1987" s="0" t="s">
        <v>43</v>
      </c>
    </row>
    <row r="1988" customFormat="false" ht="13.5" hidden="false" customHeight="false" outlineLevel="0" collapsed="false">
      <c r="A1988" s="0" t="s">
        <v>4419</v>
      </c>
      <c r="B1988" s="0" t="s">
        <v>4420</v>
      </c>
      <c r="C1988" s="0" t="s">
        <v>31</v>
      </c>
      <c r="D1988" s="0" t="s">
        <v>413</v>
      </c>
      <c r="E1988" s="0" t="s">
        <v>150</v>
      </c>
    </row>
    <row r="1989" customFormat="false" ht="13.5" hidden="false" customHeight="false" outlineLevel="0" collapsed="false">
      <c r="A1989" s="0" t="s">
        <v>4421</v>
      </c>
      <c r="B1989" s="0" t="s">
        <v>4422</v>
      </c>
      <c r="C1989" s="0" t="s">
        <v>31</v>
      </c>
      <c r="D1989" s="0" t="s">
        <v>2739</v>
      </c>
    </row>
    <row r="1990" customFormat="false" ht="13.5" hidden="false" customHeight="false" outlineLevel="0" collapsed="false">
      <c r="A1990" s="0" t="s">
        <v>4423</v>
      </c>
      <c r="B1990" s="0" t="s">
        <v>4424</v>
      </c>
      <c r="C1990" s="0" t="s">
        <v>31</v>
      </c>
      <c r="D1990" s="0" t="s">
        <v>2871</v>
      </c>
    </row>
    <row r="1991" customFormat="false" ht="13.5" hidden="false" customHeight="false" outlineLevel="0" collapsed="false">
      <c r="A1991" s="0" t="s">
        <v>4425</v>
      </c>
      <c r="B1991" s="0" t="s">
        <v>4426</v>
      </c>
      <c r="C1991" s="0" t="s">
        <v>31</v>
      </c>
      <c r="D1991" s="0" t="s">
        <v>1699</v>
      </c>
    </row>
    <row r="1992" customFormat="false" ht="13.5" hidden="false" customHeight="false" outlineLevel="0" collapsed="false">
      <c r="A1992" s="0" t="s">
        <v>4427</v>
      </c>
      <c r="B1992" s="0" t="s">
        <v>4428</v>
      </c>
      <c r="C1992" s="0" t="s">
        <v>31</v>
      </c>
      <c r="D1992" s="0" t="s">
        <v>1957</v>
      </c>
    </row>
    <row r="1993" customFormat="false" ht="13.5" hidden="false" customHeight="false" outlineLevel="0" collapsed="false">
      <c r="A1993" s="0" t="s">
        <v>4429</v>
      </c>
      <c r="B1993" s="0" t="s">
        <v>4430</v>
      </c>
      <c r="C1993" s="0" t="s">
        <v>31</v>
      </c>
      <c r="D1993" s="0" t="s">
        <v>3711</v>
      </c>
    </row>
    <row r="1994" customFormat="false" ht="13.5" hidden="false" customHeight="false" outlineLevel="0" collapsed="false">
      <c r="A1994" s="0" t="s">
        <v>4431</v>
      </c>
      <c r="B1994" s="0" t="s">
        <v>4432</v>
      </c>
      <c r="C1994" s="0" t="s">
        <v>31</v>
      </c>
      <c r="D1994" s="0" t="s">
        <v>2356</v>
      </c>
    </row>
    <row r="1995" customFormat="false" ht="13.5" hidden="false" customHeight="false" outlineLevel="0" collapsed="false">
      <c r="A1995" s="0" t="s">
        <v>4433</v>
      </c>
      <c r="B1995" s="0" t="s">
        <v>4434</v>
      </c>
      <c r="C1995" s="0" t="s">
        <v>31</v>
      </c>
      <c r="D1995" s="0" t="s">
        <v>3711</v>
      </c>
    </row>
    <row r="1996" customFormat="false" ht="13.5" hidden="false" customHeight="false" outlineLevel="0" collapsed="false">
      <c r="A1996" s="0" t="s">
        <v>4435</v>
      </c>
      <c r="B1996" s="0" t="s">
        <v>4420</v>
      </c>
      <c r="C1996" s="0" t="s">
        <v>31</v>
      </c>
      <c r="D1996" s="0" t="s">
        <v>413</v>
      </c>
      <c r="E1996" s="0" t="s">
        <v>150</v>
      </c>
    </row>
    <row r="1997" customFormat="false" ht="13.5" hidden="false" customHeight="false" outlineLevel="0" collapsed="false">
      <c r="A1997" s="0" t="s">
        <v>4436</v>
      </c>
      <c r="B1997" s="0" t="s">
        <v>4437</v>
      </c>
      <c r="C1997" s="0" t="s">
        <v>31</v>
      </c>
      <c r="D1997" s="0" t="s">
        <v>19</v>
      </c>
      <c r="E1997" s="0" t="s">
        <v>410</v>
      </c>
      <c r="F1997" s="0" t="s">
        <v>60</v>
      </c>
    </row>
    <row r="1998" customFormat="false" ht="13.5" hidden="false" customHeight="false" outlineLevel="0" collapsed="false">
      <c r="A1998" s="0" t="s">
        <v>4438</v>
      </c>
      <c r="B1998" s="0" t="s">
        <v>4439</v>
      </c>
      <c r="C1998" s="0" t="s">
        <v>31</v>
      </c>
      <c r="D1998" s="0" t="s">
        <v>1704</v>
      </c>
    </row>
    <row r="1999" customFormat="false" ht="13.5" hidden="false" customHeight="false" outlineLevel="0" collapsed="false">
      <c r="A1999" s="0" t="s">
        <v>4440</v>
      </c>
      <c r="B1999" s="0" t="s">
        <v>4441</v>
      </c>
      <c r="C1999" s="0" t="s">
        <v>31</v>
      </c>
      <c r="D1999" s="0" t="s">
        <v>1704</v>
      </c>
    </row>
    <row r="2000" customFormat="false" ht="13.5" hidden="false" customHeight="false" outlineLevel="0" collapsed="false">
      <c r="A2000" s="0" t="s">
        <v>4442</v>
      </c>
      <c r="B2000" s="0" t="s">
        <v>4443</v>
      </c>
      <c r="C2000" s="0" t="s">
        <v>31</v>
      </c>
      <c r="D2000" s="0" t="s">
        <v>1572</v>
      </c>
    </row>
    <row r="2001" customFormat="false" ht="13.5" hidden="false" customHeight="false" outlineLevel="0" collapsed="false">
      <c r="A2001" s="0" t="s">
        <v>4444</v>
      </c>
      <c r="B2001" s="0" t="s">
        <v>4445</v>
      </c>
      <c r="C2001" s="0" t="s">
        <v>31</v>
      </c>
      <c r="D2001" s="0" t="s">
        <v>2072</v>
      </c>
    </row>
    <row r="2002" customFormat="false" ht="13.5" hidden="false" customHeight="false" outlineLevel="0" collapsed="false">
      <c r="A2002" s="0" t="s">
        <v>4446</v>
      </c>
      <c r="B2002" s="0" t="s">
        <v>4447</v>
      </c>
      <c r="C2002" s="0" t="s">
        <v>31</v>
      </c>
      <c r="D2002" s="0" t="s">
        <v>413</v>
      </c>
      <c r="E2002" s="0" t="s">
        <v>200</v>
      </c>
    </row>
    <row r="2003" customFormat="false" ht="13.5" hidden="false" customHeight="false" outlineLevel="0" collapsed="false">
      <c r="A2003" s="0" t="s">
        <v>4448</v>
      </c>
      <c r="B2003" s="0" t="s">
        <v>4449</v>
      </c>
      <c r="C2003" s="0" t="s">
        <v>31</v>
      </c>
      <c r="D2003" s="0" t="s">
        <v>1508</v>
      </c>
    </row>
    <row r="2004" customFormat="false" ht="13.5" hidden="false" customHeight="false" outlineLevel="0" collapsed="false">
      <c r="A2004" s="0" t="s">
        <v>4450</v>
      </c>
      <c r="B2004" s="0" t="s">
        <v>4451</v>
      </c>
      <c r="C2004" s="0" t="s">
        <v>31</v>
      </c>
      <c r="D2004" s="0" t="s">
        <v>1957</v>
      </c>
    </row>
    <row r="2005" customFormat="false" ht="13.5" hidden="false" customHeight="false" outlineLevel="0" collapsed="false">
      <c r="A2005" s="0" t="s">
        <v>4452</v>
      </c>
      <c r="B2005" s="0" t="s">
        <v>4453</v>
      </c>
      <c r="C2005" s="0" t="s">
        <v>31</v>
      </c>
      <c r="D2005" s="0" t="s">
        <v>1704</v>
      </c>
    </row>
    <row r="2006" customFormat="false" ht="13.5" hidden="false" customHeight="false" outlineLevel="0" collapsed="false">
      <c r="A2006" s="0" t="s">
        <v>4454</v>
      </c>
      <c r="B2006" s="0" t="s">
        <v>4455</v>
      </c>
      <c r="C2006" s="0" t="s">
        <v>31</v>
      </c>
      <c r="D2006" s="0" t="s">
        <v>69</v>
      </c>
    </row>
    <row r="2007" customFormat="false" ht="13.5" hidden="false" customHeight="false" outlineLevel="0" collapsed="false">
      <c r="A2007" s="0" t="s">
        <v>4456</v>
      </c>
      <c r="B2007" s="0" t="s">
        <v>4457</v>
      </c>
      <c r="C2007" s="0" t="s">
        <v>31</v>
      </c>
      <c r="D2007" s="0" t="s">
        <v>1704</v>
      </c>
    </row>
    <row r="2008" customFormat="false" ht="13.5" hidden="false" customHeight="false" outlineLevel="0" collapsed="false">
      <c r="A2008" s="0" t="s">
        <v>4458</v>
      </c>
      <c r="B2008" s="0" t="s">
        <v>4459</v>
      </c>
      <c r="C2008" s="0" t="s">
        <v>31</v>
      </c>
      <c r="D2008" s="0" t="s">
        <v>1924</v>
      </c>
    </row>
    <row r="2009" customFormat="false" ht="13.5" hidden="false" customHeight="false" outlineLevel="0" collapsed="false">
      <c r="A2009" s="0" t="s">
        <v>4460</v>
      </c>
      <c r="B2009" s="0" t="s">
        <v>4461</v>
      </c>
      <c r="C2009" s="0" t="s">
        <v>31</v>
      </c>
      <c r="D2009" s="0" t="s">
        <v>413</v>
      </c>
      <c r="E2009" s="0" t="s">
        <v>186</v>
      </c>
    </row>
    <row r="2010" customFormat="false" ht="13.5" hidden="false" customHeight="false" outlineLevel="0" collapsed="false">
      <c r="A2010" s="0" t="s">
        <v>4462</v>
      </c>
      <c r="B2010" s="0" t="s">
        <v>4463</v>
      </c>
      <c r="C2010" s="0" t="s">
        <v>31</v>
      </c>
      <c r="D2010" s="0" t="s">
        <v>1957</v>
      </c>
    </row>
    <row r="2011" customFormat="false" ht="13.5" hidden="false" customHeight="false" outlineLevel="0" collapsed="false">
      <c r="A2011" s="0" t="s">
        <v>4464</v>
      </c>
      <c r="B2011" s="0" t="s">
        <v>4465</v>
      </c>
      <c r="C2011" s="0" t="s">
        <v>31</v>
      </c>
      <c r="D2011" s="0" t="s">
        <v>3691</v>
      </c>
    </row>
    <row r="2012" customFormat="false" ht="13.5" hidden="false" customHeight="false" outlineLevel="0" collapsed="false">
      <c r="A2012" s="0" t="s">
        <v>4466</v>
      </c>
      <c r="B2012" s="0" t="s">
        <v>4467</v>
      </c>
      <c r="C2012" s="0" t="s">
        <v>31</v>
      </c>
      <c r="D2012" s="0" t="s">
        <v>2552</v>
      </c>
    </row>
    <row r="2013" customFormat="false" ht="13.5" hidden="false" customHeight="false" outlineLevel="0" collapsed="false">
      <c r="A2013" s="0" t="s">
        <v>4468</v>
      </c>
      <c r="B2013" s="0" t="s">
        <v>2864</v>
      </c>
      <c r="C2013" s="0" t="s">
        <v>31</v>
      </c>
      <c r="D2013" s="0" t="s">
        <v>2905</v>
      </c>
    </row>
    <row r="2014" customFormat="false" ht="13.5" hidden="false" customHeight="false" outlineLevel="0" collapsed="false">
      <c r="A2014" s="0" t="s">
        <v>4469</v>
      </c>
      <c r="B2014" s="0" t="s">
        <v>4470</v>
      </c>
      <c r="C2014" s="0" t="s">
        <v>31</v>
      </c>
      <c r="D2014" s="0" t="s">
        <v>2356</v>
      </c>
    </row>
    <row r="2015" customFormat="false" ht="13.5" hidden="false" customHeight="false" outlineLevel="0" collapsed="false">
      <c r="A2015" s="0" t="s">
        <v>4471</v>
      </c>
      <c r="B2015" s="0" t="s">
        <v>4472</v>
      </c>
      <c r="C2015" s="0" t="s">
        <v>31</v>
      </c>
      <c r="D2015" s="0" t="s">
        <v>1592</v>
      </c>
    </row>
    <row r="2016" customFormat="false" ht="13.5" hidden="false" customHeight="false" outlineLevel="0" collapsed="false">
      <c r="A2016" s="0" t="s">
        <v>4473</v>
      </c>
      <c r="B2016" s="0" t="s">
        <v>4474</v>
      </c>
      <c r="C2016" s="0" t="s">
        <v>31</v>
      </c>
      <c r="D2016" s="0" t="s">
        <v>1651</v>
      </c>
    </row>
    <row r="2017" customFormat="false" ht="13.5" hidden="false" customHeight="false" outlineLevel="0" collapsed="false">
      <c r="A2017" s="0" t="s">
        <v>4475</v>
      </c>
      <c r="B2017" s="0" t="s">
        <v>4476</v>
      </c>
      <c r="C2017" s="0" t="s">
        <v>31</v>
      </c>
      <c r="D2017" s="0" t="s">
        <v>413</v>
      </c>
      <c r="E2017" s="0" t="s">
        <v>98</v>
      </c>
    </row>
    <row r="2018" customFormat="false" ht="13.5" hidden="false" customHeight="false" outlineLevel="0" collapsed="false">
      <c r="A2018" s="0" t="s">
        <v>4477</v>
      </c>
      <c r="B2018" s="0" t="s">
        <v>4478</v>
      </c>
      <c r="C2018" s="0" t="s">
        <v>31</v>
      </c>
      <c r="D2018" s="0" t="s">
        <v>3711</v>
      </c>
    </row>
    <row r="2019" customFormat="false" ht="13.5" hidden="false" customHeight="false" outlineLevel="0" collapsed="false">
      <c r="A2019" s="0" t="s">
        <v>4479</v>
      </c>
      <c r="B2019" s="0" t="s">
        <v>4480</v>
      </c>
      <c r="C2019" s="0" t="s">
        <v>31</v>
      </c>
      <c r="D2019" s="0" t="s">
        <v>2072</v>
      </c>
    </row>
    <row r="2020" customFormat="false" ht="13.5" hidden="false" customHeight="false" outlineLevel="0" collapsed="false">
      <c r="A2020" s="0" t="s">
        <v>4481</v>
      </c>
      <c r="B2020" s="0" t="s">
        <v>4482</v>
      </c>
      <c r="C2020" s="0" t="s">
        <v>31</v>
      </c>
      <c r="D2020" s="0" t="s">
        <v>2492</v>
      </c>
    </row>
    <row r="2021" customFormat="false" ht="13.5" hidden="false" customHeight="false" outlineLevel="0" collapsed="false">
      <c r="A2021" s="0" t="s">
        <v>4483</v>
      </c>
      <c r="B2021" s="0" t="s">
        <v>4484</v>
      </c>
      <c r="C2021" s="0" t="s">
        <v>31</v>
      </c>
      <c r="D2021" s="0" t="s">
        <v>413</v>
      </c>
      <c r="E2021" s="0" t="s">
        <v>98</v>
      </c>
      <c r="F2021" s="0" t="s">
        <v>43</v>
      </c>
    </row>
    <row r="2022" customFormat="false" ht="13.5" hidden="false" customHeight="false" outlineLevel="0" collapsed="false">
      <c r="A2022" s="0" t="s">
        <v>4485</v>
      </c>
      <c r="B2022" s="0" t="s">
        <v>4486</v>
      </c>
      <c r="C2022" s="0" t="s">
        <v>31</v>
      </c>
      <c r="D2022" s="0" t="s">
        <v>1508</v>
      </c>
    </row>
    <row r="2023" customFormat="false" ht="13.5" hidden="false" customHeight="false" outlineLevel="0" collapsed="false">
      <c r="A2023" s="0" t="s">
        <v>4487</v>
      </c>
      <c r="B2023" s="0" t="s">
        <v>4488</v>
      </c>
      <c r="C2023" s="0" t="s">
        <v>31</v>
      </c>
      <c r="D2023" s="0" t="s">
        <v>3711</v>
      </c>
    </row>
    <row r="2024" customFormat="false" ht="13.5" hidden="false" customHeight="false" outlineLevel="0" collapsed="false">
      <c r="A2024" s="0" t="s">
        <v>4489</v>
      </c>
      <c r="B2024" s="0" t="s">
        <v>4490</v>
      </c>
      <c r="C2024" s="0" t="s">
        <v>31</v>
      </c>
      <c r="D2024" s="0" t="s">
        <v>19</v>
      </c>
      <c r="E2024" s="0" t="s">
        <v>1151</v>
      </c>
      <c r="F2024" s="0" t="s">
        <v>60</v>
      </c>
    </row>
    <row r="2025" customFormat="false" ht="13.5" hidden="false" customHeight="false" outlineLevel="0" collapsed="false">
      <c r="A2025" s="0" t="s">
        <v>4491</v>
      </c>
      <c r="B2025" s="0" t="s">
        <v>4492</v>
      </c>
      <c r="C2025" s="0" t="s">
        <v>31</v>
      </c>
      <c r="D2025" s="0" t="s">
        <v>2072</v>
      </c>
    </row>
    <row r="2026" customFormat="false" ht="13.5" hidden="false" customHeight="false" outlineLevel="0" collapsed="false">
      <c r="A2026" s="0" t="s">
        <v>4493</v>
      </c>
      <c r="B2026" s="0" t="s">
        <v>4372</v>
      </c>
      <c r="C2026" s="0" t="s">
        <v>31</v>
      </c>
      <c r="D2026" s="0" t="s">
        <v>3711</v>
      </c>
    </row>
    <row r="2027" customFormat="false" ht="13.5" hidden="false" customHeight="false" outlineLevel="0" collapsed="false">
      <c r="A2027" s="0" t="s">
        <v>4494</v>
      </c>
      <c r="B2027" s="0" t="s">
        <v>4495</v>
      </c>
      <c r="C2027" s="0" t="s">
        <v>31</v>
      </c>
      <c r="D2027" s="0" t="s">
        <v>1957</v>
      </c>
    </row>
    <row r="2028" customFormat="false" ht="13.5" hidden="false" customHeight="false" outlineLevel="0" collapsed="false">
      <c r="A2028" s="0" t="s">
        <v>4496</v>
      </c>
      <c r="B2028" s="0" t="s">
        <v>4497</v>
      </c>
      <c r="C2028" s="0" t="s">
        <v>31</v>
      </c>
      <c r="D2028" s="0" t="s">
        <v>1592</v>
      </c>
    </row>
    <row r="2029" customFormat="false" ht="13.5" hidden="false" customHeight="false" outlineLevel="0" collapsed="false">
      <c r="A2029" s="0" t="s">
        <v>4498</v>
      </c>
      <c r="B2029" s="0" t="s">
        <v>4499</v>
      </c>
      <c r="C2029" s="0" t="s">
        <v>31</v>
      </c>
      <c r="D2029" s="0" t="s">
        <v>1957</v>
      </c>
    </row>
    <row r="2030" customFormat="false" ht="13.5" hidden="false" customHeight="false" outlineLevel="0" collapsed="false">
      <c r="A2030" s="0" t="s">
        <v>4500</v>
      </c>
      <c r="B2030" s="0" t="s">
        <v>4501</v>
      </c>
      <c r="C2030" s="0" t="s">
        <v>31</v>
      </c>
      <c r="D2030" s="0" t="s">
        <v>2072</v>
      </c>
    </row>
    <row r="2031" customFormat="false" ht="13.5" hidden="false" customHeight="false" outlineLevel="0" collapsed="false">
      <c r="A2031" s="0" t="s">
        <v>4502</v>
      </c>
      <c r="B2031" s="0" t="s">
        <v>4503</v>
      </c>
      <c r="C2031" s="0" t="s">
        <v>31</v>
      </c>
      <c r="D2031" s="0" t="s">
        <v>19</v>
      </c>
      <c r="E2031" s="0" t="s">
        <v>317</v>
      </c>
      <c r="F2031" s="0" t="s">
        <v>60</v>
      </c>
    </row>
    <row r="2032" customFormat="false" ht="13.5" hidden="false" customHeight="false" outlineLevel="0" collapsed="false">
      <c r="A2032" s="0" t="s">
        <v>4504</v>
      </c>
      <c r="B2032" s="0" t="s">
        <v>4505</v>
      </c>
      <c r="C2032" s="0" t="s">
        <v>31</v>
      </c>
      <c r="D2032" s="0" t="s">
        <v>1651</v>
      </c>
    </row>
    <row r="2033" customFormat="false" ht="13.5" hidden="false" customHeight="false" outlineLevel="0" collapsed="false">
      <c r="A2033" s="0" t="s">
        <v>4506</v>
      </c>
      <c r="B2033" s="0" t="s">
        <v>4507</v>
      </c>
      <c r="C2033" s="0" t="s">
        <v>31</v>
      </c>
      <c r="D2033" s="0" t="s">
        <v>1957</v>
      </c>
    </row>
    <row r="2034" customFormat="false" ht="13.5" hidden="false" customHeight="false" outlineLevel="0" collapsed="false">
      <c r="A2034" s="0" t="s">
        <v>4508</v>
      </c>
      <c r="B2034" s="0" t="s">
        <v>4509</v>
      </c>
      <c r="C2034" s="0" t="s">
        <v>31</v>
      </c>
      <c r="D2034" s="0" t="s">
        <v>413</v>
      </c>
      <c r="E2034" s="0" t="s">
        <v>98</v>
      </c>
    </row>
    <row r="2035" customFormat="false" ht="13.5" hidden="false" customHeight="false" outlineLevel="0" collapsed="false">
      <c r="A2035" s="0" t="s">
        <v>4510</v>
      </c>
      <c r="B2035" s="0" t="s">
        <v>4511</v>
      </c>
      <c r="C2035" s="0" t="s">
        <v>31</v>
      </c>
      <c r="D2035" s="0" t="s">
        <v>19</v>
      </c>
      <c r="E2035" s="0" t="s">
        <v>200</v>
      </c>
      <c r="F2035" s="0" t="s">
        <v>43</v>
      </c>
    </row>
    <row r="2036" customFormat="false" ht="13.5" hidden="false" customHeight="false" outlineLevel="0" collapsed="false">
      <c r="A2036" s="0" t="s">
        <v>4512</v>
      </c>
      <c r="B2036" s="0" t="s">
        <v>4513</v>
      </c>
      <c r="C2036" s="0" t="s">
        <v>31</v>
      </c>
      <c r="D2036" s="0" t="s">
        <v>2072</v>
      </c>
    </row>
    <row r="2037" customFormat="false" ht="13.5" hidden="false" customHeight="false" outlineLevel="0" collapsed="false">
      <c r="A2037" s="0" t="s">
        <v>4514</v>
      </c>
      <c r="B2037" s="0" t="s">
        <v>1282</v>
      </c>
      <c r="C2037" s="0" t="s">
        <v>31</v>
      </c>
      <c r="D2037" s="0" t="s">
        <v>2386</v>
      </c>
    </row>
    <row r="2038" customFormat="false" ht="13.5" hidden="false" customHeight="false" outlineLevel="0" collapsed="false">
      <c r="A2038" s="0" t="s">
        <v>4515</v>
      </c>
      <c r="B2038" s="0" t="s">
        <v>4516</v>
      </c>
      <c r="C2038" s="0" t="s">
        <v>31</v>
      </c>
      <c r="D2038" s="0" t="s">
        <v>1704</v>
      </c>
    </row>
    <row r="2039" customFormat="false" ht="13.5" hidden="false" customHeight="false" outlineLevel="0" collapsed="false">
      <c r="A2039" s="0" t="s">
        <v>4517</v>
      </c>
      <c r="B2039" s="0" t="s">
        <v>4518</v>
      </c>
      <c r="C2039" s="0" t="s">
        <v>31</v>
      </c>
      <c r="D2039" s="0" t="s">
        <v>2871</v>
      </c>
    </row>
    <row r="2040" customFormat="false" ht="13.5" hidden="false" customHeight="false" outlineLevel="0" collapsed="false">
      <c r="A2040" s="0" t="s">
        <v>4519</v>
      </c>
      <c r="B2040" s="0" t="s">
        <v>4520</v>
      </c>
      <c r="C2040" s="0" t="s">
        <v>31</v>
      </c>
      <c r="D2040" s="0" t="s">
        <v>1592</v>
      </c>
    </row>
    <row r="2041" customFormat="false" ht="13.5" hidden="false" customHeight="false" outlineLevel="0" collapsed="false">
      <c r="A2041" s="0" t="s">
        <v>4521</v>
      </c>
      <c r="B2041" s="0" t="s">
        <v>4522</v>
      </c>
      <c r="C2041" s="0" t="s">
        <v>31</v>
      </c>
      <c r="D2041" s="0" t="s">
        <v>413</v>
      </c>
      <c r="E2041" s="0" t="s">
        <v>1289</v>
      </c>
    </row>
    <row r="2042" customFormat="false" ht="13.5" hidden="false" customHeight="false" outlineLevel="0" collapsed="false">
      <c r="A2042" s="0" t="s">
        <v>4523</v>
      </c>
      <c r="B2042" s="0" t="s">
        <v>4524</v>
      </c>
      <c r="C2042" s="0" t="s">
        <v>31</v>
      </c>
      <c r="D2042" s="0" t="s">
        <v>1704</v>
      </c>
    </row>
    <row r="2043" customFormat="false" ht="13.5" hidden="false" customHeight="false" outlineLevel="0" collapsed="false">
      <c r="A2043" s="0" t="s">
        <v>4525</v>
      </c>
      <c r="B2043" s="0" t="s">
        <v>4441</v>
      </c>
      <c r="C2043" s="0" t="s">
        <v>31</v>
      </c>
      <c r="D2043" s="0" t="s">
        <v>1704</v>
      </c>
    </row>
    <row r="2044" customFormat="false" ht="13.5" hidden="false" customHeight="false" outlineLevel="0" collapsed="false">
      <c r="A2044" s="0" t="s">
        <v>4526</v>
      </c>
      <c r="B2044" s="0" t="s">
        <v>4527</v>
      </c>
      <c r="C2044" s="0" t="s">
        <v>31</v>
      </c>
      <c r="D2044" s="0" t="s">
        <v>69</v>
      </c>
    </row>
    <row r="2045" customFormat="false" ht="13.5" hidden="false" customHeight="false" outlineLevel="0" collapsed="false">
      <c r="A2045" s="0" t="s">
        <v>4528</v>
      </c>
      <c r="B2045" s="0" t="s">
        <v>4529</v>
      </c>
      <c r="C2045" s="0" t="s">
        <v>31</v>
      </c>
      <c r="D2045" s="0" t="s">
        <v>4530</v>
      </c>
    </row>
    <row r="2046" customFormat="false" ht="13.5" hidden="false" customHeight="false" outlineLevel="0" collapsed="false">
      <c r="A2046" s="0" t="s">
        <v>4531</v>
      </c>
      <c r="B2046" s="0" t="s">
        <v>4532</v>
      </c>
      <c r="C2046" s="0" t="s">
        <v>31</v>
      </c>
      <c r="D2046" s="0" t="s">
        <v>1540</v>
      </c>
    </row>
    <row r="2047" customFormat="false" ht="13.5" hidden="false" customHeight="false" outlineLevel="0" collapsed="false">
      <c r="A2047" s="0" t="s">
        <v>4533</v>
      </c>
      <c r="B2047" s="0" t="s">
        <v>4534</v>
      </c>
      <c r="C2047" s="0" t="s">
        <v>31</v>
      </c>
      <c r="D2047" s="0" t="s">
        <v>69</v>
      </c>
    </row>
    <row r="2048" customFormat="false" ht="13.5" hidden="false" customHeight="false" outlineLevel="0" collapsed="false">
      <c r="A2048" s="0" t="s">
        <v>4535</v>
      </c>
      <c r="B2048" s="0" t="s">
        <v>4536</v>
      </c>
      <c r="C2048" s="0" t="s">
        <v>31</v>
      </c>
      <c r="D2048" s="0" t="s">
        <v>413</v>
      </c>
      <c r="E2048" s="0" t="s">
        <v>98</v>
      </c>
      <c r="F2048" s="0" t="s">
        <v>43</v>
      </c>
    </row>
    <row r="2049" customFormat="false" ht="13.5" hidden="false" customHeight="false" outlineLevel="0" collapsed="false">
      <c r="A2049" s="0" t="s">
        <v>4537</v>
      </c>
      <c r="B2049" s="0" t="s">
        <v>4538</v>
      </c>
      <c r="C2049" s="0" t="s">
        <v>31</v>
      </c>
      <c r="D2049" s="0" t="s">
        <v>2871</v>
      </c>
    </row>
    <row r="2050" customFormat="false" ht="13.5" hidden="false" customHeight="false" outlineLevel="0" collapsed="false">
      <c r="A2050" s="0" t="s">
        <v>4539</v>
      </c>
      <c r="B2050" s="0" t="s">
        <v>4540</v>
      </c>
      <c r="C2050" s="0" t="s">
        <v>31</v>
      </c>
      <c r="D2050" s="0" t="s">
        <v>1699</v>
      </c>
    </row>
    <row r="2051" customFormat="false" ht="13.5" hidden="false" customHeight="false" outlineLevel="0" collapsed="false">
      <c r="A2051" s="0" t="s">
        <v>4541</v>
      </c>
      <c r="B2051" s="0" t="s">
        <v>4542</v>
      </c>
      <c r="C2051" s="0" t="s">
        <v>31</v>
      </c>
      <c r="D2051" s="0" t="s">
        <v>2678</v>
      </c>
    </row>
    <row r="2052" customFormat="false" ht="13.5" hidden="false" customHeight="false" outlineLevel="0" collapsed="false">
      <c r="A2052" s="0" t="s">
        <v>4543</v>
      </c>
      <c r="B2052" s="0" t="s">
        <v>4544</v>
      </c>
      <c r="C2052" s="0" t="s">
        <v>31</v>
      </c>
      <c r="D2052" s="0" t="s">
        <v>413</v>
      </c>
      <c r="E2052" s="0" t="s">
        <v>4201</v>
      </c>
    </row>
    <row r="2053" customFormat="false" ht="13.5" hidden="false" customHeight="false" outlineLevel="0" collapsed="false">
      <c r="A2053" s="0" t="s">
        <v>4545</v>
      </c>
      <c r="B2053" s="0" t="s">
        <v>4546</v>
      </c>
      <c r="C2053" s="0" t="s">
        <v>31</v>
      </c>
      <c r="D2053" s="0" t="s">
        <v>2356</v>
      </c>
    </row>
    <row r="2054" customFormat="false" ht="13.5" hidden="false" customHeight="false" outlineLevel="0" collapsed="false">
      <c r="A2054" s="0" t="s">
        <v>4547</v>
      </c>
      <c r="B2054" s="0" t="s">
        <v>4548</v>
      </c>
      <c r="C2054" s="0" t="s">
        <v>31</v>
      </c>
      <c r="D2054" s="0" t="s">
        <v>2072</v>
      </c>
    </row>
    <row r="2055" customFormat="false" ht="13.5" hidden="false" customHeight="false" outlineLevel="0" collapsed="false">
      <c r="A2055" s="0" t="s">
        <v>4549</v>
      </c>
      <c r="B2055" s="0" t="s">
        <v>4550</v>
      </c>
      <c r="C2055" s="0" t="s">
        <v>31</v>
      </c>
      <c r="D2055" s="0" t="s">
        <v>2072</v>
      </c>
    </row>
    <row r="2056" customFormat="false" ht="13.5" hidden="false" customHeight="false" outlineLevel="0" collapsed="false">
      <c r="A2056" s="0" t="s">
        <v>4551</v>
      </c>
      <c r="B2056" s="0" t="s">
        <v>4552</v>
      </c>
      <c r="C2056" s="0" t="s">
        <v>31</v>
      </c>
      <c r="D2056" s="0" t="s">
        <v>413</v>
      </c>
      <c r="E2056" s="0" t="s">
        <v>882</v>
      </c>
    </row>
    <row r="2057" customFormat="false" ht="13.5" hidden="false" customHeight="false" outlineLevel="0" collapsed="false">
      <c r="A2057" s="0" t="s">
        <v>4553</v>
      </c>
      <c r="B2057" s="0" t="s">
        <v>4554</v>
      </c>
      <c r="C2057" s="0" t="s">
        <v>31</v>
      </c>
      <c r="D2057" s="0" t="s">
        <v>171</v>
      </c>
    </row>
    <row r="2058" customFormat="false" ht="13.5" hidden="false" customHeight="false" outlineLevel="0" collapsed="false">
      <c r="A2058" s="0" t="s">
        <v>4555</v>
      </c>
      <c r="B2058" s="0" t="s">
        <v>4556</v>
      </c>
      <c r="C2058" s="0" t="s">
        <v>31</v>
      </c>
      <c r="D2058" s="0" t="s">
        <v>4557</v>
      </c>
    </row>
    <row r="2059" customFormat="false" ht="13.5" hidden="false" customHeight="false" outlineLevel="0" collapsed="false">
      <c r="A2059" s="0" t="s">
        <v>4558</v>
      </c>
      <c r="B2059" s="0" t="s">
        <v>4559</v>
      </c>
      <c r="C2059" s="0" t="s">
        <v>31</v>
      </c>
      <c r="D2059" s="0" t="s">
        <v>4560</v>
      </c>
    </row>
    <row r="2060" customFormat="false" ht="13.5" hidden="false" customHeight="false" outlineLevel="0" collapsed="false">
      <c r="A2060" s="0" t="s">
        <v>4561</v>
      </c>
      <c r="B2060" s="0" t="s">
        <v>4562</v>
      </c>
      <c r="C2060" s="0" t="s">
        <v>31</v>
      </c>
      <c r="D2060" s="0" t="s">
        <v>19</v>
      </c>
      <c r="E2060" s="0" t="s">
        <v>695</v>
      </c>
      <c r="F2060" s="0" t="s">
        <v>60</v>
      </c>
    </row>
    <row r="2061" customFormat="false" ht="13.5" hidden="false" customHeight="false" outlineLevel="0" collapsed="false">
      <c r="A2061" s="0" t="s">
        <v>4563</v>
      </c>
      <c r="B2061" s="0" t="s">
        <v>4564</v>
      </c>
      <c r="C2061" s="0" t="s">
        <v>31</v>
      </c>
      <c r="D2061" s="0" t="s">
        <v>413</v>
      </c>
      <c r="E2061" s="0" t="s">
        <v>4565</v>
      </c>
    </row>
    <row r="2062" customFormat="false" ht="13.5" hidden="false" customHeight="false" outlineLevel="0" collapsed="false">
      <c r="A2062" s="0" t="s">
        <v>4566</v>
      </c>
      <c r="B2062" s="0" t="s">
        <v>4567</v>
      </c>
      <c r="C2062" s="0" t="s">
        <v>31</v>
      </c>
      <c r="D2062" s="0" t="s">
        <v>2072</v>
      </c>
    </row>
    <row r="2063" customFormat="false" ht="13.5" hidden="false" customHeight="false" outlineLevel="0" collapsed="false">
      <c r="A2063" s="0" t="s">
        <v>4568</v>
      </c>
      <c r="B2063" s="0" t="s">
        <v>4569</v>
      </c>
      <c r="C2063" s="0" t="s">
        <v>31</v>
      </c>
      <c r="D2063" s="0" t="s">
        <v>413</v>
      </c>
      <c r="E2063" s="0" t="s">
        <v>4570</v>
      </c>
    </row>
    <row r="2064" customFormat="false" ht="13.5" hidden="false" customHeight="false" outlineLevel="0" collapsed="false">
      <c r="A2064" s="0" t="s">
        <v>4571</v>
      </c>
      <c r="B2064" s="0" t="s">
        <v>4572</v>
      </c>
      <c r="C2064" s="0" t="s">
        <v>31</v>
      </c>
      <c r="D2064" s="0" t="s">
        <v>2072</v>
      </c>
    </row>
    <row r="2065" customFormat="false" ht="13.5" hidden="false" customHeight="false" outlineLevel="0" collapsed="false">
      <c r="A2065" s="0" t="s">
        <v>4573</v>
      </c>
      <c r="B2065" s="0" t="s">
        <v>4574</v>
      </c>
      <c r="C2065" s="0" t="s">
        <v>31</v>
      </c>
      <c r="D2065" s="0" t="s">
        <v>2871</v>
      </c>
    </row>
    <row r="2066" customFormat="false" ht="13.5" hidden="false" customHeight="false" outlineLevel="0" collapsed="false">
      <c r="A2066" s="0" t="s">
        <v>4575</v>
      </c>
      <c r="B2066" s="0" t="s">
        <v>4576</v>
      </c>
      <c r="C2066" s="0" t="s">
        <v>31</v>
      </c>
      <c r="D2066" s="0" t="s">
        <v>3691</v>
      </c>
    </row>
    <row r="2067" customFormat="false" ht="13.5" hidden="false" customHeight="false" outlineLevel="0" collapsed="false">
      <c r="A2067" s="0" t="s">
        <v>4577</v>
      </c>
      <c r="B2067" s="0" t="s">
        <v>4578</v>
      </c>
      <c r="C2067" s="0" t="s">
        <v>31</v>
      </c>
      <c r="D2067" s="0" t="s">
        <v>413</v>
      </c>
      <c r="E2067" s="0" t="s">
        <v>200</v>
      </c>
    </row>
    <row r="2068" customFormat="false" ht="13.5" hidden="false" customHeight="false" outlineLevel="0" collapsed="false">
      <c r="A2068" s="0" t="s">
        <v>4579</v>
      </c>
      <c r="B2068" s="0" t="s">
        <v>4580</v>
      </c>
      <c r="C2068" s="0" t="s">
        <v>31</v>
      </c>
      <c r="D2068" s="0" t="s">
        <v>4581</v>
      </c>
    </row>
    <row r="2069" customFormat="false" ht="13.5" hidden="false" customHeight="false" outlineLevel="0" collapsed="false">
      <c r="A2069" s="0" t="s">
        <v>4582</v>
      </c>
      <c r="B2069" s="0" t="s">
        <v>4583</v>
      </c>
      <c r="C2069" s="0" t="s">
        <v>31</v>
      </c>
      <c r="D2069" s="0" t="s">
        <v>2552</v>
      </c>
    </row>
    <row r="2070" customFormat="false" ht="13.5" hidden="false" customHeight="false" outlineLevel="0" collapsed="false">
      <c r="A2070" s="0" t="s">
        <v>4584</v>
      </c>
      <c r="B2070" s="0" t="s">
        <v>4585</v>
      </c>
      <c r="C2070" s="0" t="s">
        <v>31</v>
      </c>
      <c r="D2070" s="0" t="s">
        <v>1651</v>
      </c>
    </row>
    <row r="2071" customFormat="false" ht="13.5" hidden="false" customHeight="false" outlineLevel="0" collapsed="false">
      <c r="A2071" s="0" t="s">
        <v>4586</v>
      </c>
      <c r="B2071" s="0" t="s">
        <v>4587</v>
      </c>
      <c r="C2071" s="0" t="s">
        <v>31</v>
      </c>
      <c r="D2071" s="0" t="s">
        <v>69</v>
      </c>
    </row>
    <row r="2072" customFormat="false" ht="13.5" hidden="false" customHeight="false" outlineLevel="0" collapsed="false">
      <c r="A2072" s="0" t="s">
        <v>4588</v>
      </c>
      <c r="B2072" s="0" t="s">
        <v>4589</v>
      </c>
      <c r="C2072" s="0" t="s">
        <v>31</v>
      </c>
      <c r="D2072" s="0" t="s">
        <v>1924</v>
      </c>
    </row>
    <row r="2073" customFormat="false" ht="13.5" hidden="false" customHeight="false" outlineLevel="0" collapsed="false">
      <c r="A2073" s="0" t="s">
        <v>4590</v>
      </c>
      <c r="B2073" s="0" t="s">
        <v>4591</v>
      </c>
      <c r="C2073" s="0" t="s">
        <v>31</v>
      </c>
      <c r="D2073" s="0" t="s">
        <v>3711</v>
      </c>
    </row>
    <row r="2074" customFormat="false" ht="13.5" hidden="false" customHeight="false" outlineLevel="0" collapsed="false">
      <c r="A2074" s="0" t="s">
        <v>4592</v>
      </c>
      <c r="B2074" s="0" t="s">
        <v>4593</v>
      </c>
      <c r="C2074" s="0" t="s">
        <v>31</v>
      </c>
      <c r="D2074" s="0" t="s">
        <v>2701</v>
      </c>
    </row>
    <row r="2075" customFormat="false" ht="13.5" hidden="false" customHeight="false" outlineLevel="0" collapsed="false">
      <c r="A2075" s="0" t="s">
        <v>4594</v>
      </c>
      <c r="B2075" s="0" t="s">
        <v>4595</v>
      </c>
      <c r="C2075" s="0" t="s">
        <v>31</v>
      </c>
      <c r="D2075" s="0" t="s">
        <v>1527</v>
      </c>
    </row>
    <row r="2076" customFormat="false" ht="13.5" hidden="false" customHeight="false" outlineLevel="0" collapsed="false">
      <c r="A2076" s="0" t="s">
        <v>4596</v>
      </c>
      <c r="B2076" s="0" t="s">
        <v>4597</v>
      </c>
      <c r="C2076" s="0" t="s">
        <v>31</v>
      </c>
      <c r="D2076" s="0" t="s">
        <v>413</v>
      </c>
      <c r="E2076" s="0" t="s">
        <v>4598</v>
      </c>
    </row>
    <row r="2077" customFormat="false" ht="13.5" hidden="false" customHeight="false" outlineLevel="0" collapsed="false">
      <c r="A2077" s="0" t="s">
        <v>4599</v>
      </c>
      <c r="B2077" s="0" t="s">
        <v>4600</v>
      </c>
      <c r="C2077" s="0" t="s">
        <v>31</v>
      </c>
      <c r="D2077" s="0" t="s">
        <v>1651</v>
      </c>
    </row>
    <row r="2078" customFormat="false" ht="13.5" hidden="false" customHeight="false" outlineLevel="0" collapsed="false">
      <c r="A2078" s="0" t="s">
        <v>4601</v>
      </c>
      <c r="B2078" s="0" t="s">
        <v>4602</v>
      </c>
      <c r="C2078" s="0" t="s">
        <v>31</v>
      </c>
      <c r="D2078" s="0" t="s">
        <v>1957</v>
      </c>
    </row>
    <row r="2079" customFormat="false" ht="13.5" hidden="false" customHeight="false" outlineLevel="0" collapsed="false">
      <c r="A2079" s="0" t="s">
        <v>4603</v>
      </c>
      <c r="B2079" s="0" t="s">
        <v>4604</v>
      </c>
      <c r="C2079" s="0" t="s">
        <v>31</v>
      </c>
      <c r="D2079" s="0" t="s">
        <v>24</v>
      </c>
      <c r="E2079" s="0" t="s">
        <v>98</v>
      </c>
      <c r="F2079" s="0" t="s">
        <v>60</v>
      </c>
    </row>
    <row r="2080" customFormat="false" ht="13.5" hidden="false" customHeight="false" outlineLevel="0" collapsed="false">
      <c r="A2080" s="0" t="s">
        <v>4605</v>
      </c>
      <c r="B2080" s="0" t="s">
        <v>4572</v>
      </c>
      <c r="C2080" s="0" t="s">
        <v>31</v>
      </c>
      <c r="D2080" s="0" t="s">
        <v>2072</v>
      </c>
    </row>
    <row r="2081" customFormat="false" ht="13.5" hidden="false" customHeight="false" outlineLevel="0" collapsed="false">
      <c r="A2081" s="0" t="s">
        <v>4606</v>
      </c>
      <c r="B2081" s="0" t="s">
        <v>4607</v>
      </c>
      <c r="C2081" s="0" t="s">
        <v>31</v>
      </c>
      <c r="D2081" s="0" t="s">
        <v>1704</v>
      </c>
    </row>
    <row r="2082" customFormat="false" ht="13.5" hidden="false" customHeight="false" outlineLevel="0" collapsed="false">
      <c r="A2082" s="0" t="s">
        <v>4608</v>
      </c>
      <c r="B2082" s="0" t="s">
        <v>4609</v>
      </c>
      <c r="C2082" s="0" t="s">
        <v>31</v>
      </c>
      <c r="D2082" s="0" t="s">
        <v>1592</v>
      </c>
    </row>
    <row r="2083" customFormat="false" ht="13.5" hidden="false" customHeight="false" outlineLevel="0" collapsed="false">
      <c r="A2083" s="0" t="s">
        <v>4610</v>
      </c>
      <c r="B2083" s="0" t="s">
        <v>4611</v>
      </c>
      <c r="C2083" s="0" t="s">
        <v>31</v>
      </c>
      <c r="D2083" s="0" t="s">
        <v>3628</v>
      </c>
    </row>
    <row r="2084" customFormat="false" ht="13.5" hidden="false" customHeight="false" outlineLevel="0" collapsed="false">
      <c r="A2084" s="0" t="s">
        <v>4612</v>
      </c>
      <c r="B2084" s="0" t="s">
        <v>4613</v>
      </c>
      <c r="C2084" s="0" t="s">
        <v>31</v>
      </c>
      <c r="D2084" s="0" t="s">
        <v>69</v>
      </c>
    </row>
    <row r="2085" customFormat="false" ht="13.5" hidden="false" customHeight="false" outlineLevel="0" collapsed="false">
      <c r="A2085" s="0" t="s">
        <v>4614</v>
      </c>
      <c r="B2085" s="0" t="s">
        <v>4615</v>
      </c>
      <c r="C2085" s="0" t="s">
        <v>31</v>
      </c>
      <c r="D2085" s="0" t="s">
        <v>1540</v>
      </c>
    </row>
    <row r="2086" customFormat="false" ht="13.5" hidden="false" customHeight="false" outlineLevel="0" collapsed="false">
      <c r="A2086" s="0" t="s">
        <v>4616</v>
      </c>
      <c r="B2086" s="0" t="s">
        <v>4617</v>
      </c>
      <c r="C2086" s="3" t="s">
        <v>31</v>
      </c>
      <c r="D2086" s="0" t="s">
        <v>1737</v>
      </c>
    </row>
    <row r="2087" customFormat="false" ht="13.5" hidden="false" customHeight="false" outlineLevel="0" collapsed="false">
      <c r="A2087" s="0" t="s">
        <v>4618</v>
      </c>
      <c r="B2087" s="0" t="s">
        <v>4619</v>
      </c>
      <c r="C2087" s="3" t="s">
        <v>31</v>
      </c>
      <c r="D2087" s="0" t="s">
        <v>1527</v>
      </c>
    </row>
    <row r="2088" customFormat="false" ht="13.5" hidden="false" customHeight="false" outlineLevel="0" collapsed="false">
      <c r="A2088" s="0" t="s">
        <v>4620</v>
      </c>
      <c r="B2088" s="0" t="s">
        <v>4621</v>
      </c>
      <c r="C2088" s="0" t="s">
        <v>31</v>
      </c>
      <c r="D2088" s="0" t="s">
        <v>2072</v>
      </c>
    </row>
    <row r="2089" customFormat="false" ht="13.5" hidden="false" customHeight="false" outlineLevel="0" collapsed="false">
      <c r="A2089" s="0" t="s">
        <v>4622</v>
      </c>
      <c r="B2089" s="0" t="s">
        <v>4623</v>
      </c>
      <c r="C2089" s="3" t="s">
        <v>31</v>
      </c>
      <c r="D2089" s="0" t="s">
        <v>19</v>
      </c>
      <c r="E2089" s="0" t="s">
        <v>4624</v>
      </c>
      <c r="F2089" s="0" t="s">
        <v>1782</v>
      </c>
    </row>
    <row r="2090" customFormat="false" ht="13.5" hidden="false" customHeight="false" outlineLevel="0" collapsed="false">
      <c r="A2090" s="0" t="s">
        <v>4625</v>
      </c>
      <c r="B2090" s="0" t="s">
        <v>4626</v>
      </c>
      <c r="C2090" s="0" t="s">
        <v>31</v>
      </c>
      <c r="D2090" s="0" t="s">
        <v>413</v>
      </c>
      <c r="E2090" s="0" t="s">
        <v>710</v>
      </c>
    </row>
    <row r="2091" customFormat="false" ht="13.5" hidden="false" customHeight="false" outlineLevel="0" collapsed="false">
      <c r="A2091" s="0" t="s">
        <v>4627</v>
      </c>
      <c r="B2091" s="0" t="s">
        <v>4628</v>
      </c>
      <c r="C2091" s="3" t="s">
        <v>31</v>
      </c>
      <c r="D2091" s="0" t="s">
        <v>3711</v>
      </c>
    </row>
    <row r="2092" customFormat="false" ht="13.5" hidden="false" customHeight="false" outlineLevel="0" collapsed="false">
      <c r="A2092" s="0" t="s">
        <v>4629</v>
      </c>
      <c r="B2092" s="0" t="s">
        <v>4630</v>
      </c>
      <c r="C2092" s="0" t="s">
        <v>31</v>
      </c>
      <c r="D2092" s="0" t="s">
        <v>2072</v>
      </c>
    </row>
    <row r="2093" customFormat="false" ht="13.5" hidden="false" customHeight="false" outlineLevel="0" collapsed="false">
      <c r="A2093" s="0" t="s">
        <v>4631</v>
      </c>
      <c r="B2093" s="0" t="s">
        <v>4562</v>
      </c>
      <c r="C2093" s="3" t="s">
        <v>31</v>
      </c>
      <c r="D2093" s="0" t="s">
        <v>1704</v>
      </c>
    </row>
    <row r="2094" customFormat="false" ht="13.5" hidden="false" customHeight="false" outlineLevel="0" collapsed="false">
      <c r="A2094" s="0" t="s">
        <v>4632</v>
      </c>
      <c r="B2094" s="0" t="s">
        <v>4633</v>
      </c>
      <c r="C2094" s="0" t="s">
        <v>31</v>
      </c>
      <c r="D2094" s="0" t="s">
        <v>1651</v>
      </c>
    </row>
    <row r="2095" customFormat="false" ht="13.5" hidden="false" customHeight="false" outlineLevel="0" collapsed="false">
      <c r="A2095" s="0" t="s">
        <v>4634</v>
      </c>
      <c r="B2095" s="0" t="s">
        <v>4635</v>
      </c>
      <c r="C2095" s="0" t="s">
        <v>31</v>
      </c>
      <c r="D2095" s="0" t="s">
        <v>413</v>
      </c>
      <c r="E2095" s="0" t="s">
        <v>56</v>
      </c>
    </row>
    <row r="2096" customFormat="false" ht="13.5" hidden="false" customHeight="false" outlineLevel="0" collapsed="false">
      <c r="A2096" s="0" t="s">
        <v>4636</v>
      </c>
      <c r="B2096" s="0" t="s">
        <v>4637</v>
      </c>
      <c r="C2096" s="3" t="s">
        <v>31</v>
      </c>
      <c r="D2096" s="0" t="s">
        <v>1957</v>
      </c>
    </row>
    <row r="2097" customFormat="false" ht="13.5" hidden="false" customHeight="false" outlineLevel="0" collapsed="false">
      <c r="A2097" s="0" t="s">
        <v>4638</v>
      </c>
      <c r="B2097" s="0" t="s">
        <v>4639</v>
      </c>
      <c r="C2097" s="0" t="s">
        <v>31</v>
      </c>
      <c r="D2097" s="0" t="s">
        <v>19</v>
      </c>
      <c r="E2097" s="0" t="s">
        <v>200</v>
      </c>
      <c r="F2097" s="0" t="s">
        <v>43</v>
      </c>
    </row>
    <row r="2098" customFormat="false" ht="13.5" hidden="false" customHeight="false" outlineLevel="0" collapsed="false">
      <c r="A2098" s="0" t="s">
        <v>4640</v>
      </c>
      <c r="B2098" s="0" t="s">
        <v>4641</v>
      </c>
      <c r="C2098" s="3" t="s">
        <v>31</v>
      </c>
      <c r="D2098" s="0" t="s">
        <v>1704</v>
      </c>
    </row>
    <row r="2099" customFormat="false" ht="13.5" hidden="false" customHeight="false" outlineLevel="0" collapsed="false">
      <c r="A2099" s="0" t="s">
        <v>4642</v>
      </c>
      <c r="B2099" s="0" t="s">
        <v>4643</v>
      </c>
      <c r="C2099" s="0" t="s">
        <v>31</v>
      </c>
      <c r="D2099" s="0" t="s">
        <v>1704</v>
      </c>
    </row>
    <row r="2100" customFormat="false" ht="13.5" hidden="false" customHeight="false" outlineLevel="0" collapsed="false">
      <c r="A2100" s="0" t="s">
        <v>4644</v>
      </c>
      <c r="B2100" s="0" t="s">
        <v>4645</v>
      </c>
      <c r="C2100" s="3" t="s">
        <v>31</v>
      </c>
      <c r="D2100" s="0" t="s">
        <v>413</v>
      </c>
      <c r="E2100" s="0" t="s">
        <v>2234</v>
      </c>
    </row>
    <row r="2101" customFormat="false" ht="13.5" hidden="false" customHeight="false" outlineLevel="0" collapsed="false">
      <c r="A2101" s="0" t="s">
        <v>4646</v>
      </c>
      <c r="B2101" s="0" t="s">
        <v>4181</v>
      </c>
      <c r="C2101" s="0" t="s">
        <v>31</v>
      </c>
      <c r="D2101" s="0" t="s">
        <v>413</v>
      </c>
      <c r="E2101" s="0" t="s">
        <v>1151</v>
      </c>
    </row>
    <row r="2102" customFormat="false" ht="13.5" hidden="false" customHeight="false" outlineLevel="0" collapsed="false">
      <c r="A2102" s="0" t="s">
        <v>4647</v>
      </c>
      <c r="B2102" s="0" t="s">
        <v>4648</v>
      </c>
      <c r="C2102" s="3" t="s">
        <v>31</v>
      </c>
      <c r="D2102" s="0" t="s">
        <v>413</v>
      </c>
      <c r="E2102" s="0" t="s">
        <v>766</v>
      </c>
    </row>
    <row r="2103" customFormat="false" ht="13.5" hidden="false" customHeight="false" outlineLevel="0" collapsed="false">
      <c r="A2103" s="0" t="s">
        <v>4649</v>
      </c>
      <c r="B2103" s="0" t="s">
        <v>4650</v>
      </c>
      <c r="C2103" s="0" t="s">
        <v>31</v>
      </c>
      <c r="D2103" s="0" t="s">
        <v>2871</v>
      </c>
    </row>
    <row r="2104" customFormat="false" ht="13.5" hidden="false" customHeight="false" outlineLevel="0" collapsed="false">
      <c r="A2104" s="0" t="s">
        <v>4651</v>
      </c>
      <c r="B2104" s="0" t="s">
        <v>4652</v>
      </c>
      <c r="C2104" s="3" t="s">
        <v>31</v>
      </c>
      <c r="D2104" s="0" t="s">
        <v>413</v>
      </c>
      <c r="E2104" s="0" t="s">
        <v>63</v>
      </c>
    </row>
    <row r="2105" customFormat="false" ht="13.5" hidden="false" customHeight="false" outlineLevel="0" collapsed="false">
      <c r="A2105" s="0" t="s">
        <v>4653</v>
      </c>
      <c r="B2105" s="0" t="s">
        <v>4654</v>
      </c>
      <c r="C2105" s="0" t="s">
        <v>31</v>
      </c>
      <c r="D2105" s="0" t="s">
        <v>2072</v>
      </c>
    </row>
    <row r="2106" customFormat="false" ht="13.5" hidden="false" customHeight="false" outlineLevel="0" collapsed="false">
      <c r="A2106" s="0" t="s">
        <v>4655</v>
      </c>
      <c r="B2106" s="0" t="s">
        <v>4656</v>
      </c>
      <c r="C2106" s="3" t="s">
        <v>31</v>
      </c>
      <c r="D2106" s="0" t="s">
        <v>3691</v>
      </c>
    </row>
    <row r="2107" customFormat="false" ht="13.5" hidden="false" customHeight="false" outlineLevel="0" collapsed="false">
      <c r="A2107" s="0" t="s">
        <v>4657</v>
      </c>
      <c r="B2107" s="0" t="s">
        <v>4276</v>
      </c>
      <c r="C2107" s="3" t="s">
        <v>31</v>
      </c>
      <c r="D2107" s="0" t="s">
        <v>3711</v>
      </c>
    </row>
    <row r="2108" customFormat="false" ht="13.5" hidden="false" customHeight="false" outlineLevel="0" collapsed="false">
      <c r="A2108" s="0" t="s">
        <v>4658</v>
      </c>
      <c r="B2108" s="0" t="s">
        <v>4659</v>
      </c>
      <c r="C2108" s="0" t="s">
        <v>31</v>
      </c>
      <c r="D2108" s="0" t="s">
        <v>2072</v>
      </c>
    </row>
    <row r="2109" customFormat="false" ht="13.5" hidden="false" customHeight="false" outlineLevel="0" collapsed="false">
      <c r="A2109" s="0" t="s">
        <v>4660</v>
      </c>
      <c r="B2109" s="0" t="s">
        <v>4661</v>
      </c>
      <c r="C2109" s="3" t="s">
        <v>31</v>
      </c>
      <c r="D2109" s="0" t="s">
        <v>2072</v>
      </c>
    </row>
    <row r="2110" customFormat="false" ht="13.5" hidden="false" customHeight="false" outlineLevel="0" collapsed="false">
      <c r="A2110" s="0" t="s">
        <v>4662</v>
      </c>
      <c r="B2110" s="0" t="s">
        <v>4663</v>
      </c>
      <c r="C2110" s="0" t="s">
        <v>31</v>
      </c>
      <c r="D2110" s="0" t="s">
        <v>1540</v>
      </c>
    </row>
    <row r="2111" customFormat="false" ht="13.5" hidden="false" customHeight="false" outlineLevel="0" collapsed="false">
      <c r="A2111" s="0" t="s">
        <v>4664</v>
      </c>
      <c r="B2111" s="0" t="s">
        <v>4665</v>
      </c>
      <c r="C2111" s="3" t="s">
        <v>31</v>
      </c>
      <c r="D2111" s="0" t="s">
        <v>2678</v>
      </c>
    </row>
    <row r="2112" customFormat="false" ht="13.5" hidden="false" customHeight="false" outlineLevel="0" collapsed="false">
      <c r="A2112" s="0" t="s">
        <v>4666</v>
      </c>
      <c r="B2112" s="0" t="s">
        <v>4667</v>
      </c>
      <c r="C2112" s="0" t="s">
        <v>31</v>
      </c>
      <c r="D2112" s="0" t="s">
        <v>2072</v>
      </c>
    </row>
    <row r="2113" customFormat="false" ht="13.5" hidden="false" customHeight="false" outlineLevel="0" collapsed="false">
      <c r="A2113" s="0" t="s">
        <v>4668</v>
      </c>
      <c r="B2113" s="0" t="s">
        <v>4518</v>
      </c>
      <c r="C2113" s="3" t="s">
        <v>31</v>
      </c>
      <c r="D2113" s="0" t="s">
        <v>4581</v>
      </c>
    </row>
    <row r="2114" customFormat="false" ht="13.5" hidden="false" customHeight="false" outlineLevel="0" collapsed="false">
      <c r="A2114" s="0" t="s">
        <v>4669</v>
      </c>
      <c r="B2114" s="0" t="s">
        <v>4670</v>
      </c>
      <c r="C2114" s="0" t="s">
        <v>31</v>
      </c>
      <c r="D2114" s="0" t="s">
        <v>2072</v>
      </c>
    </row>
    <row r="2115" customFormat="false" ht="13.5" hidden="false" customHeight="false" outlineLevel="0" collapsed="false">
      <c r="A2115" s="0" t="s">
        <v>4671</v>
      </c>
      <c r="B2115" s="0" t="s">
        <v>4672</v>
      </c>
      <c r="C2115" s="3" t="s">
        <v>31</v>
      </c>
      <c r="D2115" s="0" t="s">
        <v>2364</v>
      </c>
    </row>
    <row r="2116" customFormat="false" ht="13.5" hidden="false" customHeight="false" outlineLevel="0" collapsed="false">
      <c r="A2116" s="0" t="s">
        <v>4673</v>
      </c>
      <c r="B2116" s="0" t="s">
        <v>4674</v>
      </c>
      <c r="C2116" s="0" t="s">
        <v>31</v>
      </c>
      <c r="D2116" s="0" t="s">
        <v>3890</v>
      </c>
    </row>
    <row r="2117" customFormat="false" ht="13.5" hidden="false" customHeight="false" outlineLevel="0" collapsed="false">
      <c r="A2117" s="0" t="s">
        <v>4675</v>
      </c>
      <c r="B2117" s="0" t="s">
        <v>4676</v>
      </c>
      <c r="C2117" s="0" t="s">
        <v>31</v>
      </c>
      <c r="D2117" s="0" t="s">
        <v>2072</v>
      </c>
    </row>
    <row r="2118" customFormat="false" ht="13.5" hidden="false" customHeight="false" outlineLevel="0" collapsed="false">
      <c r="A2118" s="0" t="s">
        <v>4677</v>
      </c>
      <c r="B2118" s="0" t="s">
        <v>4678</v>
      </c>
      <c r="C2118" s="3" t="s">
        <v>31</v>
      </c>
      <c r="D2118" s="0" t="s">
        <v>1540</v>
      </c>
    </row>
    <row r="2119" customFormat="false" ht="13.5" hidden="false" customHeight="false" outlineLevel="0" collapsed="false">
      <c r="A2119" s="0" t="s">
        <v>4679</v>
      </c>
      <c r="B2119" s="0" t="s">
        <v>4680</v>
      </c>
      <c r="C2119" s="0" t="s">
        <v>31</v>
      </c>
      <c r="D2119" s="0" t="s">
        <v>19</v>
      </c>
      <c r="E2119" s="0" t="s">
        <v>1151</v>
      </c>
      <c r="F2119" s="0" t="s">
        <v>60</v>
      </c>
    </row>
    <row r="2120" customFormat="false" ht="13.5" hidden="false" customHeight="false" outlineLevel="0" collapsed="false">
      <c r="A2120" s="0" t="s">
        <v>4681</v>
      </c>
      <c r="B2120" s="0" t="s">
        <v>4682</v>
      </c>
      <c r="C2120" s="3" t="s">
        <v>31</v>
      </c>
      <c r="D2120" s="0" t="s">
        <v>2356</v>
      </c>
    </row>
    <row r="2121" customFormat="false" ht="13.5" hidden="false" customHeight="false" outlineLevel="0" collapsed="false">
      <c r="A2121" s="0" t="s">
        <v>4683</v>
      </c>
      <c r="B2121" s="0" t="s">
        <v>4684</v>
      </c>
      <c r="C2121" s="0" t="s">
        <v>31</v>
      </c>
      <c r="D2121" s="0" t="s">
        <v>413</v>
      </c>
      <c r="E2121" s="0" t="s">
        <v>1418</v>
      </c>
    </row>
    <row r="2122" customFormat="false" ht="13.5" hidden="false" customHeight="false" outlineLevel="0" collapsed="false">
      <c r="A2122" s="0" t="s">
        <v>4685</v>
      </c>
      <c r="B2122" s="0" t="s">
        <v>4686</v>
      </c>
      <c r="C2122" s="3" t="s">
        <v>31</v>
      </c>
      <c r="D2122" s="0" t="s">
        <v>3711</v>
      </c>
    </row>
    <row r="2123" customFormat="false" ht="13.5" hidden="false" customHeight="false" outlineLevel="0" collapsed="false">
      <c r="A2123" s="0" t="s">
        <v>4687</v>
      </c>
      <c r="B2123" s="0" t="s">
        <v>4688</v>
      </c>
      <c r="C2123" s="0" t="s">
        <v>31</v>
      </c>
      <c r="D2123" s="0" t="s">
        <v>1592</v>
      </c>
    </row>
    <row r="2124" customFormat="false" ht="13.5" hidden="false" customHeight="false" outlineLevel="0" collapsed="false">
      <c r="A2124" s="0" t="s">
        <v>4689</v>
      </c>
      <c r="B2124" s="0" t="s">
        <v>4690</v>
      </c>
      <c r="C2124" s="3" t="s">
        <v>31</v>
      </c>
      <c r="D2124" s="0" t="s">
        <v>1704</v>
      </c>
    </row>
    <row r="2125" customFormat="false" ht="13.5" hidden="false" customHeight="false" outlineLevel="0" collapsed="false">
      <c r="A2125" s="0" t="s">
        <v>4691</v>
      </c>
      <c r="B2125" s="0" t="s">
        <v>4692</v>
      </c>
      <c r="C2125" s="0" t="s">
        <v>31</v>
      </c>
      <c r="D2125" s="0" t="s">
        <v>413</v>
      </c>
      <c r="E2125" s="0" t="s">
        <v>1151</v>
      </c>
    </row>
    <row r="2126" customFormat="false" ht="13.5" hidden="false" customHeight="false" outlineLevel="0" collapsed="false">
      <c r="A2126" s="0" t="s">
        <v>4693</v>
      </c>
      <c r="B2126" s="0" t="s">
        <v>4694</v>
      </c>
      <c r="C2126" s="3" t="s">
        <v>31</v>
      </c>
      <c r="D2126" s="0" t="s">
        <v>4231</v>
      </c>
    </row>
    <row r="2127" customFormat="false" ht="13.5" hidden="false" customHeight="false" outlineLevel="0" collapsed="false">
      <c r="A2127" s="0" t="s">
        <v>4695</v>
      </c>
      <c r="B2127" s="0" t="s">
        <v>4696</v>
      </c>
      <c r="C2127" s="0" t="s">
        <v>31</v>
      </c>
      <c r="D2127" s="0" t="s">
        <v>3523</v>
      </c>
    </row>
    <row r="2128" customFormat="false" ht="13.5" hidden="false" customHeight="false" outlineLevel="0" collapsed="false">
      <c r="A2128" s="0" t="s">
        <v>4697</v>
      </c>
      <c r="B2128" s="0" t="s">
        <v>4046</v>
      </c>
      <c r="C2128" s="0" t="s">
        <v>31</v>
      </c>
      <c r="D2128" s="0" t="s">
        <v>3711</v>
      </c>
    </row>
    <row r="2129" customFormat="false" ht="13.5" hidden="false" customHeight="false" outlineLevel="0" collapsed="false">
      <c r="A2129" s="0" t="s">
        <v>4698</v>
      </c>
      <c r="B2129" s="0" t="s">
        <v>4699</v>
      </c>
      <c r="C2129" s="3" t="s">
        <v>31</v>
      </c>
      <c r="D2129" s="0" t="s">
        <v>3711</v>
      </c>
    </row>
    <row r="2130" customFormat="false" ht="13.5" hidden="false" customHeight="false" outlineLevel="0" collapsed="false">
      <c r="A2130" s="0" t="s">
        <v>4700</v>
      </c>
      <c r="B2130" s="0" t="s">
        <v>4063</v>
      </c>
      <c r="C2130" s="0" t="s">
        <v>31</v>
      </c>
      <c r="D2130" s="0" t="s">
        <v>3711</v>
      </c>
    </row>
    <row r="2131" customFormat="false" ht="13.5" hidden="false" customHeight="false" outlineLevel="0" collapsed="false">
      <c r="A2131" s="0" t="s">
        <v>4701</v>
      </c>
      <c r="B2131" s="0" t="s">
        <v>4702</v>
      </c>
      <c r="C2131" s="3" t="s">
        <v>31</v>
      </c>
      <c r="D2131" s="0" t="s">
        <v>3711</v>
      </c>
    </row>
    <row r="2132" customFormat="false" ht="13.5" hidden="false" customHeight="false" outlineLevel="0" collapsed="false">
      <c r="A2132" s="0" t="s">
        <v>4703</v>
      </c>
      <c r="B2132" s="0" t="s">
        <v>4704</v>
      </c>
      <c r="C2132" s="0" t="s">
        <v>31</v>
      </c>
      <c r="D2132" s="0" t="s">
        <v>2364</v>
      </c>
    </row>
    <row r="2133" customFormat="false" ht="13.5" hidden="false" customHeight="false" outlineLevel="0" collapsed="false">
      <c r="A2133" s="0" t="s">
        <v>4705</v>
      </c>
      <c r="B2133" s="0" t="s">
        <v>4706</v>
      </c>
      <c r="C2133" s="3" t="s">
        <v>31</v>
      </c>
      <c r="D2133" s="0" t="s">
        <v>413</v>
      </c>
    </row>
    <row r="2134" customFormat="false" ht="13.5" hidden="false" customHeight="false" outlineLevel="0" collapsed="false">
      <c r="A2134" s="0" t="s">
        <v>4707</v>
      </c>
      <c r="B2134" s="0" t="s">
        <v>4708</v>
      </c>
      <c r="C2134" s="0" t="s">
        <v>31</v>
      </c>
      <c r="D2134" s="0" t="s">
        <v>2364</v>
      </c>
    </row>
    <row r="2135" customFormat="false" ht="13.5" hidden="false" customHeight="false" outlineLevel="0" collapsed="false">
      <c r="A2135" s="0" t="s">
        <v>4709</v>
      </c>
      <c r="B2135" s="0" t="s">
        <v>4710</v>
      </c>
      <c r="C2135" s="3" t="s">
        <v>31</v>
      </c>
      <c r="D2135" s="0" t="s">
        <v>1592</v>
      </c>
    </row>
    <row r="2136" customFormat="false" ht="13.5" hidden="false" customHeight="false" outlineLevel="0" collapsed="false">
      <c r="A2136" s="0" t="s">
        <v>4711</v>
      </c>
      <c r="B2136" s="0" t="s">
        <v>4712</v>
      </c>
      <c r="C2136" s="0" t="s">
        <v>31</v>
      </c>
      <c r="D2136" s="0" t="s">
        <v>1699</v>
      </c>
    </row>
    <row r="2137" customFormat="false" ht="13.5" hidden="false" customHeight="false" outlineLevel="0" collapsed="false">
      <c r="A2137" s="0" t="s">
        <v>4713</v>
      </c>
      <c r="B2137" s="0" t="s">
        <v>4714</v>
      </c>
      <c r="C2137" s="3" t="s">
        <v>31</v>
      </c>
      <c r="D2137" s="0" t="s">
        <v>2364</v>
      </c>
    </row>
    <row r="2138" customFormat="false" ht="13.5" hidden="false" customHeight="false" outlineLevel="0" collapsed="false">
      <c r="A2138" s="0" t="s">
        <v>4715</v>
      </c>
      <c r="B2138" s="0" t="s">
        <v>4716</v>
      </c>
      <c r="C2138" s="0" t="s">
        <v>31</v>
      </c>
      <c r="D2138" s="0" t="s">
        <v>413</v>
      </c>
      <c r="E2138" s="0" t="s">
        <v>4717</v>
      </c>
    </row>
    <row r="2139" customFormat="false" ht="13.5" hidden="false" customHeight="false" outlineLevel="0" collapsed="false">
      <c r="A2139" s="0" t="s">
        <v>4718</v>
      </c>
      <c r="B2139" s="0" t="s">
        <v>4719</v>
      </c>
      <c r="C2139" s="3" t="s">
        <v>31</v>
      </c>
      <c r="D2139" s="0" t="s">
        <v>2364</v>
      </c>
    </row>
    <row r="2140" customFormat="false" ht="13.5" hidden="false" customHeight="false" outlineLevel="0" collapsed="false">
      <c r="A2140" s="0" t="s">
        <v>4720</v>
      </c>
      <c r="B2140" s="0" t="s">
        <v>4574</v>
      </c>
      <c r="C2140" s="0" t="s">
        <v>31</v>
      </c>
      <c r="D2140" s="0" t="s">
        <v>4581</v>
      </c>
    </row>
    <row r="2141" customFormat="false" ht="13.5" hidden="false" customHeight="false" outlineLevel="0" collapsed="false">
      <c r="A2141" s="0" t="s">
        <v>4721</v>
      </c>
      <c r="B2141" s="0" t="s">
        <v>4722</v>
      </c>
      <c r="C2141" s="3" t="s">
        <v>31</v>
      </c>
      <c r="D2141" s="0" t="s">
        <v>2356</v>
      </c>
    </row>
    <row r="2142" customFormat="false" ht="13.5" hidden="false" customHeight="false" outlineLevel="0" collapsed="false">
      <c r="A2142" s="0" t="s">
        <v>4723</v>
      </c>
      <c r="B2142" s="0" t="s">
        <v>4661</v>
      </c>
      <c r="C2142" s="0" t="s">
        <v>31</v>
      </c>
      <c r="D2142" s="0" t="s">
        <v>3711</v>
      </c>
    </row>
    <row r="2143" customFormat="false" ht="13.5" hidden="false" customHeight="false" outlineLevel="0" collapsed="false">
      <c r="A2143" s="0" t="s">
        <v>4724</v>
      </c>
      <c r="B2143" s="0" t="s">
        <v>4725</v>
      </c>
      <c r="C2143" s="3" t="s">
        <v>31</v>
      </c>
      <c r="D2143" s="0" t="s">
        <v>1651</v>
      </c>
    </row>
    <row r="2144" customFormat="false" ht="13.5" hidden="false" customHeight="false" outlineLevel="0" collapsed="false">
      <c r="A2144" s="0" t="s">
        <v>4726</v>
      </c>
      <c r="B2144" s="0" t="s">
        <v>4727</v>
      </c>
      <c r="C2144" s="0" t="s">
        <v>31</v>
      </c>
      <c r="D2144" s="0" t="s">
        <v>413</v>
      </c>
      <c r="E2144" s="0" t="s">
        <v>53</v>
      </c>
    </row>
    <row r="2145" customFormat="false" ht="13.5" hidden="false" customHeight="false" outlineLevel="0" collapsed="false">
      <c r="A2145" s="0" t="s">
        <v>4728</v>
      </c>
      <c r="B2145" s="0" t="s">
        <v>3917</v>
      </c>
      <c r="C2145" s="0" t="s">
        <v>31</v>
      </c>
      <c r="D2145" s="0" t="s">
        <v>1924</v>
      </c>
    </row>
    <row r="2146" customFormat="false" ht="13.5" hidden="false" customHeight="false" outlineLevel="0" collapsed="false">
      <c r="A2146" s="0" t="s">
        <v>4729</v>
      </c>
      <c r="B2146" s="0" t="s">
        <v>4730</v>
      </c>
      <c r="C2146" s="3" t="s">
        <v>31</v>
      </c>
      <c r="D2146" s="0" t="s">
        <v>2871</v>
      </c>
    </row>
    <row r="2147" customFormat="false" ht="13.5" hidden="false" customHeight="false" outlineLevel="0" collapsed="false">
      <c r="A2147" s="0" t="s">
        <v>4731</v>
      </c>
      <c r="B2147" s="0" t="s">
        <v>4732</v>
      </c>
      <c r="C2147" s="0" t="s">
        <v>31</v>
      </c>
      <c r="D2147" s="0" t="s">
        <v>4581</v>
      </c>
    </row>
    <row r="2148" customFormat="false" ht="13.5" hidden="false" customHeight="false" outlineLevel="0" collapsed="false">
      <c r="A2148" s="0" t="s">
        <v>4733</v>
      </c>
      <c r="B2148" s="0" t="s">
        <v>4734</v>
      </c>
      <c r="C2148" s="0" t="s">
        <v>31</v>
      </c>
      <c r="D2148" s="0" t="s">
        <v>1704</v>
      </c>
    </row>
    <row r="2149" customFormat="false" ht="13.5" hidden="false" customHeight="false" outlineLevel="0" collapsed="false">
      <c r="A2149" s="0" t="s">
        <v>4735</v>
      </c>
      <c r="B2149" s="0" t="s">
        <v>4736</v>
      </c>
      <c r="C2149" s="3" t="s">
        <v>31</v>
      </c>
      <c r="D2149" s="0" t="s">
        <v>1505</v>
      </c>
    </row>
    <row r="2150" customFormat="false" ht="13.5" hidden="false" customHeight="false" outlineLevel="0" collapsed="false">
      <c r="A2150" s="0" t="s">
        <v>4737</v>
      </c>
      <c r="B2150" s="0" t="s">
        <v>4738</v>
      </c>
      <c r="C2150" s="0" t="s">
        <v>31</v>
      </c>
      <c r="D2150" s="0" t="s">
        <v>1592</v>
      </c>
    </row>
    <row r="2151" customFormat="false" ht="13.5" hidden="false" customHeight="false" outlineLevel="0" collapsed="false">
      <c r="A2151" s="0" t="s">
        <v>4739</v>
      </c>
      <c r="B2151" s="0" t="s">
        <v>4740</v>
      </c>
      <c r="C2151" s="3" t="s">
        <v>31</v>
      </c>
      <c r="D2151" s="0" t="s">
        <v>413</v>
      </c>
      <c r="E2151" s="0" t="s">
        <v>150</v>
      </c>
    </row>
    <row r="2152" customFormat="false" ht="13.5" hidden="false" customHeight="false" outlineLevel="0" collapsed="false">
      <c r="A2152" s="0" t="s">
        <v>4741</v>
      </c>
      <c r="B2152" s="0" t="s">
        <v>4742</v>
      </c>
      <c r="C2152" s="0" t="s">
        <v>31</v>
      </c>
      <c r="D2152" s="0" t="s">
        <v>69</v>
      </c>
    </row>
    <row r="2153" customFormat="false" ht="13.5" hidden="false" customHeight="false" outlineLevel="0" collapsed="false">
      <c r="A2153" s="0" t="s">
        <v>4743</v>
      </c>
      <c r="B2153" s="0" t="s">
        <v>4744</v>
      </c>
      <c r="C2153" s="3" t="s">
        <v>31</v>
      </c>
      <c r="D2153" s="0" t="s">
        <v>16</v>
      </c>
      <c r="E2153" s="0" t="s">
        <v>53</v>
      </c>
      <c r="F2153" s="0" t="s">
        <v>1782</v>
      </c>
    </row>
    <row r="2154" customFormat="false" ht="13.5" hidden="false" customHeight="false" outlineLevel="0" collapsed="false">
      <c r="A2154" s="0" t="s">
        <v>4745</v>
      </c>
      <c r="B2154" s="0" t="s">
        <v>4746</v>
      </c>
      <c r="C2154" s="3" t="s">
        <v>31</v>
      </c>
      <c r="D2154" s="0" t="s">
        <v>1704</v>
      </c>
    </row>
    <row r="2155" customFormat="false" ht="13.5" hidden="false" customHeight="false" outlineLevel="0" collapsed="false">
      <c r="A2155" s="0" t="s">
        <v>4747</v>
      </c>
      <c r="B2155" s="0" t="s">
        <v>3273</v>
      </c>
      <c r="C2155" s="0" t="s">
        <v>31</v>
      </c>
      <c r="D2155" s="0" t="s">
        <v>1505</v>
      </c>
    </row>
    <row r="2156" customFormat="false" ht="13.5" hidden="false" customHeight="false" outlineLevel="0" collapsed="false">
      <c r="A2156" s="0" t="s">
        <v>4748</v>
      </c>
      <c r="B2156" s="0" t="s">
        <v>4749</v>
      </c>
      <c r="C2156" s="3" t="s">
        <v>31</v>
      </c>
      <c r="D2156" s="0" t="s">
        <v>4750</v>
      </c>
    </row>
    <row r="2157" customFormat="false" ht="13.5" hidden="false" customHeight="false" outlineLevel="0" collapsed="false">
      <c r="A2157" s="0" t="s">
        <v>4751</v>
      </c>
      <c r="B2157" s="0" t="s">
        <v>4752</v>
      </c>
      <c r="C2157" s="0" t="s">
        <v>31</v>
      </c>
      <c r="D2157" s="0" t="s">
        <v>4581</v>
      </c>
    </row>
    <row r="2158" customFormat="false" ht="13.5" hidden="false" customHeight="false" outlineLevel="0" collapsed="false">
      <c r="A2158" s="0" t="s">
        <v>4753</v>
      </c>
      <c r="B2158" s="0" t="s">
        <v>4754</v>
      </c>
      <c r="C2158" s="3" t="s">
        <v>31</v>
      </c>
      <c r="D2158" s="0" t="s">
        <v>2364</v>
      </c>
    </row>
    <row r="2159" customFormat="false" ht="13.5" hidden="false" customHeight="false" outlineLevel="0" collapsed="false">
      <c r="A2159" s="0" t="s">
        <v>4755</v>
      </c>
      <c r="B2159" s="0" t="s">
        <v>4756</v>
      </c>
      <c r="C2159" s="0" t="s">
        <v>31</v>
      </c>
      <c r="D2159" s="0" t="s">
        <v>1737</v>
      </c>
    </row>
    <row r="2160" customFormat="false" ht="13.5" hidden="false" customHeight="false" outlineLevel="0" collapsed="false">
      <c r="A2160" s="0" t="s">
        <v>4757</v>
      </c>
      <c r="B2160" s="0" t="s">
        <v>4758</v>
      </c>
      <c r="C2160" s="3" t="s">
        <v>31</v>
      </c>
      <c r="D2160" s="0" t="s">
        <v>413</v>
      </c>
      <c r="E2160" s="0" t="s">
        <v>63</v>
      </c>
    </row>
    <row r="2161" customFormat="false" ht="13.5" hidden="false" customHeight="false" outlineLevel="0" collapsed="false">
      <c r="A2161" s="0" t="s">
        <v>4759</v>
      </c>
      <c r="B2161" s="0" t="s">
        <v>4760</v>
      </c>
      <c r="C2161" s="0" t="s">
        <v>31</v>
      </c>
      <c r="D2161" s="0" t="s">
        <v>413</v>
      </c>
      <c r="E2161" s="0" t="s">
        <v>4761</v>
      </c>
    </row>
    <row r="2162" customFormat="false" ht="13.5" hidden="false" customHeight="false" outlineLevel="0" collapsed="false">
      <c r="A2162" s="0" t="s">
        <v>4762</v>
      </c>
      <c r="B2162" s="0" t="s">
        <v>4763</v>
      </c>
      <c r="C2162" s="3" t="s">
        <v>31</v>
      </c>
      <c r="D2162" s="0" t="s">
        <v>413</v>
      </c>
      <c r="E2162" s="0" t="s">
        <v>63</v>
      </c>
      <c r="F2162" s="0" t="s">
        <v>60</v>
      </c>
    </row>
    <row r="2163" customFormat="false" ht="13.5" hidden="false" customHeight="false" outlineLevel="0" collapsed="false">
      <c r="A2163" s="0" t="s">
        <v>4764</v>
      </c>
      <c r="B2163" s="0" t="s">
        <v>4765</v>
      </c>
      <c r="C2163" s="0" t="s">
        <v>31</v>
      </c>
      <c r="D2163" s="0" t="s">
        <v>413</v>
      </c>
    </row>
    <row r="2164" customFormat="false" ht="13.5" hidden="false" customHeight="false" outlineLevel="0" collapsed="false">
      <c r="A2164" s="0" t="s">
        <v>4766</v>
      </c>
      <c r="B2164" s="0" t="s">
        <v>4767</v>
      </c>
      <c r="C2164" s="3" t="s">
        <v>31</v>
      </c>
      <c r="D2164" s="0" t="s">
        <v>413</v>
      </c>
      <c r="E2164" s="0" t="s">
        <v>98</v>
      </c>
    </row>
    <row r="2165" customFormat="false" ht="13.5" hidden="false" customHeight="false" outlineLevel="0" collapsed="false">
      <c r="A2165" s="0" t="s">
        <v>4768</v>
      </c>
      <c r="B2165" s="0" t="s">
        <v>4769</v>
      </c>
      <c r="C2165" s="0" t="s">
        <v>31</v>
      </c>
      <c r="D2165" s="0" t="s">
        <v>2386</v>
      </c>
    </row>
    <row r="2166" customFormat="false" ht="13.5" hidden="false" customHeight="false" outlineLevel="0" collapsed="false">
      <c r="A2166" s="0" t="s">
        <v>4770</v>
      </c>
      <c r="B2166" s="0" t="s">
        <v>4595</v>
      </c>
      <c r="C2166" s="3" t="s">
        <v>31</v>
      </c>
      <c r="D2166" s="0" t="s">
        <v>1527</v>
      </c>
    </row>
    <row r="2167" customFormat="false" ht="13.5" hidden="false" customHeight="false" outlineLevel="0" collapsed="false">
      <c r="A2167" s="0" t="s">
        <v>4771</v>
      </c>
      <c r="B2167" s="0" t="s">
        <v>4772</v>
      </c>
      <c r="C2167" s="0" t="s">
        <v>31</v>
      </c>
      <c r="D2167" s="0" t="s">
        <v>413</v>
      </c>
      <c r="E2167" s="0" t="s">
        <v>705</v>
      </c>
    </row>
    <row r="2168" customFormat="false" ht="13.5" hidden="false" customHeight="false" outlineLevel="0" collapsed="false">
      <c r="A2168" s="0" t="s">
        <v>4773</v>
      </c>
      <c r="B2168" s="0" t="s">
        <v>4774</v>
      </c>
      <c r="C2168" s="3" t="s">
        <v>31</v>
      </c>
      <c r="D2168" s="0" t="s">
        <v>2552</v>
      </c>
    </row>
    <row r="2169" customFormat="false" ht="13.5" hidden="false" customHeight="false" outlineLevel="0" collapsed="false">
      <c r="A2169" s="0" t="s">
        <v>4775</v>
      </c>
      <c r="B2169" s="0" t="s">
        <v>4776</v>
      </c>
      <c r="C2169" s="0" t="s">
        <v>31</v>
      </c>
      <c r="D2169" s="0" t="s">
        <v>2871</v>
      </c>
    </row>
    <row r="2170" customFormat="false" ht="13.5" hidden="false" customHeight="false" outlineLevel="0" collapsed="false">
      <c r="A2170" s="0" t="s">
        <v>4777</v>
      </c>
      <c r="B2170" s="0" t="s">
        <v>4778</v>
      </c>
      <c r="C2170" s="3" t="s">
        <v>31</v>
      </c>
      <c r="D2170" s="0" t="s">
        <v>1527</v>
      </c>
    </row>
    <row r="2171" customFormat="false" ht="13.5" hidden="false" customHeight="false" outlineLevel="0" collapsed="false">
      <c r="A2171" s="0" t="s">
        <v>4779</v>
      </c>
      <c r="B2171" s="0" t="s">
        <v>4780</v>
      </c>
      <c r="C2171" s="3" t="s">
        <v>31</v>
      </c>
      <c r="D2171" s="0" t="s">
        <v>413</v>
      </c>
      <c r="E2171" s="0" t="s">
        <v>98</v>
      </c>
    </row>
    <row r="2172" customFormat="false" ht="13.5" hidden="false" customHeight="false" outlineLevel="0" collapsed="false">
      <c r="A2172" s="0" t="s">
        <v>4781</v>
      </c>
      <c r="B2172" s="0" t="s">
        <v>4782</v>
      </c>
      <c r="C2172" s="0" t="s">
        <v>31</v>
      </c>
      <c r="D2172" s="0" t="s">
        <v>1704</v>
      </c>
    </row>
    <row r="2173" customFormat="false" ht="13.5" hidden="false" customHeight="false" outlineLevel="0" collapsed="false">
      <c r="A2173" s="0" t="s">
        <v>4783</v>
      </c>
      <c r="B2173" s="0" t="s">
        <v>4784</v>
      </c>
      <c r="C2173" s="3" t="s">
        <v>31</v>
      </c>
      <c r="D2173" s="0" t="s">
        <v>2871</v>
      </c>
    </row>
    <row r="2174" customFormat="false" ht="13.5" hidden="false" customHeight="false" outlineLevel="0" collapsed="false">
      <c r="A2174" s="0" t="s">
        <v>4785</v>
      </c>
      <c r="B2174" s="0" t="s">
        <v>4786</v>
      </c>
      <c r="C2174" s="0" t="s">
        <v>31</v>
      </c>
      <c r="D2174" s="0" t="s">
        <v>19</v>
      </c>
      <c r="E2174" s="0" t="s">
        <v>150</v>
      </c>
      <c r="F2174" s="0" t="s">
        <v>60</v>
      </c>
    </row>
    <row r="2175" customFormat="false" ht="13.5" hidden="false" customHeight="false" outlineLevel="0" collapsed="false">
      <c r="A2175" s="0" t="s">
        <v>4787</v>
      </c>
      <c r="B2175" s="0" t="s">
        <v>4788</v>
      </c>
      <c r="C2175" s="3" t="s">
        <v>31</v>
      </c>
      <c r="D2175" s="0" t="s">
        <v>2054</v>
      </c>
    </row>
    <row r="2176" customFormat="false" ht="13.5" hidden="false" customHeight="false" outlineLevel="0" collapsed="false">
      <c r="A2176" s="0" t="s">
        <v>4789</v>
      </c>
      <c r="B2176" s="0" t="s">
        <v>4790</v>
      </c>
      <c r="C2176" s="0" t="s">
        <v>31</v>
      </c>
      <c r="D2176" s="0" t="s">
        <v>2878</v>
      </c>
    </row>
    <row r="2177" customFormat="false" ht="13.5" hidden="false" customHeight="false" outlineLevel="0" collapsed="false">
      <c r="A2177" s="0" t="s">
        <v>4791</v>
      </c>
      <c r="B2177" s="0" t="s">
        <v>4792</v>
      </c>
      <c r="C2177" s="3" t="s">
        <v>31</v>
      </c>
      <c r="D2177" s="0" t="s">
        <v>1513</v>
      </c>
    </row>
    <row r="2178" customFormat="false" ht="13.5" hidden="false" customHeight="false" outlineLevel="0" collapsed="false">
      <c r="A2178" s="0" t="s">
        <v>4793</v>
      </c>
      <c r="B2178" s="0" t="s">
        <v>4794</v>
      </c>
      <c r="C2178" s="0" t="s">
        <v>31</v>
      </c>
      <c r="D2178" s="0" t="s">
        <v>2364</v>
      </c>
    </row>
    <row r="2179" customFormat="false" ht="13.5" hidden="false" customHeight="false" outlineLevel="0" collapsed="false">
      <c r="A2179" s="0" t="s">
        <v>4795</v>
      </c>
      <c r="B2179" s="0" t="s">
        <v>4796</v>
      </c>
      <c r="C2179" s="3" t="s">
        <v>31</v>
      </c>
      <c r="D2179" s="0" t="s">
        <v>413</v>
      </c>
      <c r="E2179" s="0" t="s">
        <v>3030</v>
      </c>
    </row>
    <row r="2180" customFormat="false" ht="13.5" hidden="false" customHeight="false" outlineLevel="0" collapsed="false">
      <c r="A2180" s="0" t="s">
        <v>4797</v>
      </c>
      <c r="B2180" s="0" t="s">
        <v>4798</v>
      </c>
      <c r="C2180" s="0" t="s">
        <v>31</v>
      </c>
      <c r="D2180" s="0" t="s">
        <v>2364</v>
      </c>
    </row>
    <row r="2181" customFormat="false" ht="13.5" hidden="false" customHeight="false" outlineLevel="0" collapsed="false">
      <c r="A2181" s="0" t="s">
        <v>4799</v>
      </c>
      <c r="B2181" s="0" t="s">
        <v>4800</v>
      </c>
      <c r="C2181" s="3" t="s">
        <v>31</v>
      </c>
      <c r="D2181" s="0" t="s">
        <v>2364</v>
      </c>
    </row>
    <row r="2182" customFormat="false" ht="13.5" hidden="false" customHeight="false" outlineLevel="0" collapsed="false">
      <c r="A2182" s="0" t="s">
        <v>4801</v>
      </c>
      <c r="B2182" s="0" t="s">
        <v>4802</v>
      </c>
      <c r="C2182" s="0" t="s">
        <v>31</v>
      </c>
      <c r="D2182" s="0" t="s">
        <v>4803</v>
      </c>
    </row>
    <row r="2183" customFormat="false" ht="13.5" hidden="false" customHeight="false" outlineLevel="0" collapsed="false">
      <c r="A2183" s="0" t="s">
        <v>4804</v>
      </c>
      <c r="B2183" s="0" t="s">
        <v>4805</v>
      </c>
      <c r="C2183" s="3" t="s">
        <v>31</v>
      </c>
      <c r="D2183" s="0" t="s">
        <v>413</v>
      </c>
      <c r="E2183" s="0" t="s">
        <v>12</v>
      </c>
    </row>
    <row r="2184" customFormat="false" ht="13.5" hidden="false" customHeight="false" outlineLevel="0" collapsed="false">
      <c r="A2184" s="0" t="s">
        <v>4806</v>
      </c>
      <c r="B2184" s="0" t="s">
        <v>4807</v>
      </c>
      <c r="C2184" s="0" t="s">
        <v>31</v>
      </c>
      <c r="D2184" s="0" t="s">
        <v>2364</v>
      </c>
    </row>
    <row r="2185" customFormat="false" ht="13.5" hidden="false" customHeight="false" outlineLevel="0" collapsed="false">
      <c r="A2185" s="0" t="s">
        <v>4808</v>
      </c>
      <c r="B2185" s="0" t="s">
        <v>4809</v>
      </c>
      <c r="C2185" s="3" t="s">
        <v>31</v>
      </c>
      <c r="D2185" s="0" t="s">
        <v>3523</v>
      </c>
    </row>
    <row r="2186" customFormat="false" ht="13.5" hidden="false" customHeight="false" outlineLevel="0" collapsed="false">
      <c r="A2186" s="0" t="s">
        <v>4810</v>
      </c>
      <c r="B2186" s="0" t="s">
        <v>4811</v>
      </c>
      <c r="C2186" s="0" t="s">
        <v>31</v>
      </c>
      <c r="D2186" s="0" t="s">
        <v>69</v>
      </c>
    </row>
    <row r="2187" customFormat="false" ht="13.5" hidden="false" customHeight="false" outlineLevel="0" collapsed="false">
      <c r="A2187" s="0" t="s">
        <v>4812</v>
      </c>
      <c r="B2187" s="0" t="s">
        <v>4813</v>
      </c>
      <c r="C2187" s="3" t="s">
        <v>31</v>
      </c>
      <c r="D2187" s="0" t="s">
        <v>2871</v>
      </c>
    </row>
    <row r="2188" customFormat="false" ht="13.5" hidden="false" customHeight="false" outlineLevel="0" collapsed="false">
      <c r="A2188" s="0" t="s">
        <v>4814</v>
      </c>
      <c r="B2188" s="0" t="s">
        <v>4815</v>
      </c>
      <c r="C2188" s="3" t="s">
        <v>31</v>
      </c>
      <c r="D2188" s="0" t="s">
        <v>2871</v>
      </c>
    </row>
    <row r="2189" customFormat="false" ht="13.5" hidden="false" customHeight="false" outlineLevel="0" collapsed="false">
      <c r="A2189" s="0" t="s">
        <v>4816</v>
      </c>
      <c r="B2189" s="0" t="s">
        <v>4817</v>
      </c>
      <c r="C2189" s="0" t="s">
        <v>31</v>
      </c>
      <c r="D2189" s="0" t="s">
        <v>2871</v>
      </c>
    </row>
    <row r="2190" customFormat="false" ht="13.5" hidden="false" customHeight="false" outlineLevel="0" collapsed="false">
      <c r="A2190" s="0" t="s">
        <v>4818</v>
      </c>
      <c r="B2190" s="0" t="s">
        <v>4529</v>
      </c>
      <c r="C2190" s="3" t="s">
        <v>31</v>
      </c>
      <c r="D2190" s="0" t="s">
        <v>4819</v>
      </c>
    </row>
    <row r="2191" customFormat="false" ht="13.5" hidden="false" customHeight="false" outlineLevel="0" collapsed="false">
      <c r="A2191" s="0" t="s">
        <v>4820</v>
      </c>
      <c r="B2191" s="0" t="s">
        <v>4821</v>
      </c>
      <c r="C2191" s="0" t="s">
        <v>31</v>
      </c>
      <c r="D2191" s="0" t="s">
        <v>2871</v>
      </c>
    </row>
    <row r="2192" customFormat="false" ht="13.5" hidden="false" customHeight="false" outlineLevel="0" collapsed="false">
      <c r="A2192" s="0" t="s">
        <v>4822</v>
      </c>
      <c r="B2192" s="0" t="s">
        <v>4823</v>
      </c>
      <c r="C2192" s="3" t="s">
        <v>31</v>
      </c>
      <c r="D2192" s="0" t="s">
        <v>3523</v>
      </c>
    </row>
    <row r="2193" customFormat="false" ht="13.5" hidden="false" customHeight="false" outlineLevel="0" collapsed="false">
      <c r="A2193" s="0" t="s">
        <v>4824</v>
      </c>
      <c r="B2193" s="0" t="s">
        <v>4825</v>
      </c>
      <c r="C2193" s="0" t="s">
        <v>31</v>
      </c>
      <c r="D2193" s="0" t="s">
        <v>2364</v>
      </c>
    </row>
    <row r="2194" customFormat="false" ht="13.5" hidden="false" customHeight="false" outlineLevel="0" collapsed="false">
      <c r="A2194" s="0" t="s">
        <v>4826</v>
      </c>
      <c r="B2194" s="0" t="s">
        <v>4827</v>
      </c>
      <c r="C2194" s="3" t="s">
        <v>31</v>
      </c>
      <c r="D2194" s="0" t="s">
        <v>2072</v>
      </c>
    </row>
    <row r="2195" customFormat="false" ht="13.5" hidden="false" customHeight="false" outlineLevel="0" collapsed="false">
      <c r="A2195" s="0" t="s">
        <v>4828</v>
      </c>
      <c r="B2195" s="0" t="s">
        <v>4829</v>
      </c>
      <c r="C2195" s="0" t="s">
        <v>31</v>
      </c>
      <c r="D2195" s="0" t="s">
        <v>1957</v>
      </c>
    </row>
    <row r="2196" customFormat="false" ht="13.5" hidden="false" customHeight="false" outlineLevel="0" collapsed="false">
      <c r="A2196" s="0" t="s">
        <v>4830</v>
      </c>
      <c r="B2196" s="0" t="s">
        <v>4831</v>
      </c>
      <c r="C2196" s="3" t="s">
        <v>31</v>
      </c>
      <c r="D2196" s="0" t="s">
        <v>1527</v>
      </c>
    </row>
    <row r="2197" customFormat="false" ht="13.5" hidden="false" customHeight="false" outlineLevel="0" collapsed="false">
      <c r="A2197" s="0" t="s">
        <v>4832</v>
      </c>
      <c r="B2197" s="0" t="s">
        <v>4833</v>
      </c>
      <c r="C2197" s="0" t="s">
        <v>31</v>
      </c>
      <c r="D2197" s="0" t="s">
        <v>1540</v>
      </c>
    </row>
    <row r="2198" customFormat="false" ht="13.5" hidden="false" customHeight="false" outlineLevel="0" collapsed="false">
      <c r="A2198" s="0" t="s">
        <v>4834</v>
      </c>
      <c r="B2198" s="0" t="s">
        <v>4835</v>
      </c>
      <c r="C2198" s="3" t="s">
        <v>31</v>
      </c>
      <c r="D2198" s="0" t="s">
        <v>1505</v>
      </c>
    </row>
    <row r="2199" customFormat="false" ht="13.5" hidden="false" customHeight="false" outlineLevel="0" collapsed="false">
      <c r="A2199" s="0" t="s">
        <v>4836</v>
      </c>
      <c r="B2199" s="0" t="s">
        <v>4837</v>
      </c>
      <c r="C2199" s="0" t="s">
        <v>31</v>
      </c>
      <c r="D2199" s="0" t="s">
        <v>2364</v>
      </c>
    </row>
    <row r="2200" customFormat="false" ht="13.5" hidden="false" customHeight="false" outlineLevel="0" collapsed="false">
      <c r="A2200" s="0" t="s">
        <v>4838</v>
      </c>
      <c r="B2200" s="0" t="s">
        <v>4839</v>
      </c>
      <c r="C2200" s="3" t="s">
        <v>31</v>
      </c>
      <c r="D2200" s="0" t="s">
        <v>69</v>
      </c>
    </row>
    <row r="2201" customFormat="false" ht="13.5" hidden="false" customHeight="false" outlineLevel="0" collapsed="false">
      <c r="A2201" s="0" t="s">
        <v>4840</v>
      </c>
      <c r="B2201" s="0" t="s">
        <v>4841</v>
      </c>
      <c r="C2201" s="0" t="s">
        <v>31</v>
      </c>
      <c r="D2201" s="0" t="s">
        <v>1527</v>
      </c>
    </row>
    <row r="2202" customFormat="false" ht="13.5" hidden="false" customHeight="false" outlineLevel="0" collapsed="false">
      <c r="A2202" s="0" t="s">
        <v>4842</v>
      </c>
      <c r="B2202" s="0" t="s">
        <v>4843</v>
      </c>
      <c r="C2202" s="3" t="s">
        <v>31</v>
      </c>
      <c r="D2202" s="0" t="s">
        <v>1651</v>
      </c>
    </row>
    <row r="2203" customFormat="false" ht="13.5" hidden="false" customHeight="false" outlineLevel="0" collapsed="false">
      <c r="A2203" s="0" t="s">
        <v>4844</v>
      </c>
      <c r="B2203" s="0" t="s">
        <v>4845</v>
      </c>
      <c r="C2203" s="3" t="s">
        <v>31</v>
      </c>
      <c r="D2203" s="0" t="s">
        <v>1592</v>
      </c>
    </row>
    <row r="2204" customFormat="false" ht="13.5" hidden="false" customHeight="false" outlineLevel="0" collapsed="false">
      <c r="A2204" s="0" t="s">
        <v>4846</v>
      </c>
      <c r="B2204" s="0" t="s">
        <v>4847</v>
      </c>
      <c r="C2204" s="0" t="s">
        <v>31</v>
      </c>
      <c r="D2204" s="0" t="s">
        <v>413</v>
      </c>
      <c r="E2204" s="0" t="s">
        <v>53</v>
      </c>
      <c r="F2204" s="0" t="s">
        <v>1669</v>
      </c>
    </row>
    <row r="2205" customFormat="false" ht="13.5" hidden="false" customHeight="false" outlineLevel="0" collapsed="false">
      <c r="A2205" s="0" t="s">
        <v>4848</v>
      </c>
      <c r="B2205" s="0" t="s">
        <v>4849</v>
      </c>
      <c r="C2205" s="3" t="s">
        <v>31</v>
      </c>
      <c r="D2205" s="0" t="s">
        <v>2072</v>
      </c>
    </row>
    <row r="2206" customFormat="false" ht="13.5" hidden="false" customHeight="false" outlineLevel="0" collapsed="false">
      <c r="A2206" s="0" t="s">
        <v>4850</v>
      </c>
      <c r="B2206" s="0" t="s">
        <v>4851</v>
      </c>
      <c r="C2206" s="0" t="s">
        <v>31</v>
      </c>
      <c r="D2206" s="0" t="s">
        <v>4581</v>
      </c>
    </row>
    <row r="2207" customFormat="false" ht="13.5" hidden="false" customHeight="false" outlineLevel="0" collapsed="false">
      <c r="A2207" s="0" t="s">
        <v>4852</v>
      </c>
      <c r="B2207" s="0" t="s">
        <v>4853</v>
      </c>
      <c r="C2207" s="3" t="s">
        <v>31</v>
      </c>
      <c r="D2207" s="0" t="s">
        <v>3020</v>
      </c>
    </row>
    <row r="2208" customFormat="false" ht="13.5" hidden="false" customHeight="false" outlineLevel="0" collapsed="false">
      <c r="A2208" s="0" t="s">
        <v>4854</v>
      </c>
      <c r="B2208" s="0" t="s">
        <v>4621</v>
      </c>
      <c r="C2208" s="0" t="s">
        <v>31</v>
      </c>
      <c r="D2208" s="0" t="s">
        <v>2072</v>
      </c>
    </row>
    <row r="2209" customFormat="false" ht="13.5" hidden="false" customHeight="false" outlineLevel="0" collapsed="false">
      <c r="A2209" s="0" t="s">
        <v>4855</v>
      </c>
      <c r="B2209" s="0" t="s">
        <v>4856</v>
      </c>
      <c r="C2209" s="3" t="s">
        <v>31</v>
      </c>
      <c r="D2209" s="0" t="s">
        <v>2552</v>
      </c>
    </row>
    <row r="2210" customFormat="false" ht="13.5" hidden="false" customHeight="false" outlineLevel="0" collapsed="false">
      <c r="A2210" s="0" t="s">
        <v>4857</v>
      </c>
      <c r="B2210" s="0" t="s">
        <v>4858</v>
      </c>
      <c r="C2210" s="0" t="s">
        <v>31</v>
      </c>
      <c r="D2210" s="0" t="s">
        <v>413</v>
      </c>
    </row>
    <row r="2211" customFormat="false" ht="13.5" hidden="false" customHeight="false" outlineLevel="0" collapsed="false">
      <c r="A2211" s="0" t="s">
        <v>4859</v>
      </c>
      <c r="B2211" s="0" t="s">
        <v>4860</v>
      </c>
      <c r="C2211" s="3" t="s">
        <v>31</v>
      </c>
      <c r="D2211" s="0" t="s">
        <v>19</v>
      </c>
      <c r="E2211" s="0" t="s">
        <v>150</v>
      </c>
      <c r="F2211" s="0" t="s">
        <v>60</v>
      </c>
    </row>
    <row r="2212" customFormat="false" ht="13.5" hidden="false" customHeight="false" outlineLevel="0" collapsed="false">
      <c r="A2212" s="0" t="s">
        <v>4861</v>
      </c>
      <c r="B2212" s="0" t="s">
        <v>4862</v>
      </c>
      <c r="C2212" s="0" t="s">
        <v>31</v>
      </c>
      <c r="D2212" s="0" t="s">
        <v>1957</v>
      </c>
    </row>
    <row r="2213" customFormat="false" ht="13.5" hidden="false" customHeight="false" outlineLevel="0" collapsed="false">
      <c r="A2213" s="0" t="s">
        <v>4863</v>
      </c>
      <c r="B2213" s="0" t="s">
        <v>4864</v>
      </c>
      <c r="C2213" s="3" t="s">
        <v>31</v>
      </c>
      <c r="D2213" s="0" t="s">
        <v>413</v>
      </c>
      <c r="E2213" s="0" t="s">
        <v>4865</v>
      </c>
    </row>
    <row r="2214" customFormat="false" ht="13.5" hidden="false" customHeight="false" outlineLevel="0" collapsed="false">
      <c r="A2214" s="0" t="s">
        <v>4866</v>
      </c>
      <c r="B2214" s="0" t="s">
        <v>4867</v>
      </c>
      <c r="C2214" s="0" t="s">
        <v>31</v>
      </c>
      <c r="D2214" s="0" t="s">
        <v>19</v>
      </c>
      <c r="E2214" s="0" t="s">
        <v>1459</v>
      </c>
      <c r="F2214" s="0" t="s">
        <v>60</v>
      </c>
    </row>
    <row r="2215" customFormat="false" ht="13.5" hidden="false" customHeight="false" outlineLevel="0" collapsed="false">
      <c r="A2215" s="0" t="s">
        <v>4868</v>
      </c>
      <c r="B2215" s="0" t="s">
        <v>4869</v>
      </c>
      <c r="C2215" s="3" t="s">
        <v>31</v>
      </c>
      <c r="D2215" s="0" t="s">
        <v>1651</v>
      </c>
    </row>
    <row r="2216" customFormat="false" ht="13.5" hidden="false" customHeight="false" outlineLevel="0" collapsed="false">
      <c r="A2216" s="0" t="s">
        <v>4870</v>
      </c>
      <c r="B2216" s="0" t="s">
        <v>4871</v>
      </c>
      <c r="C2216" s="0" t="s">
        <v>31</v>
      </c>
      <c r="D2216" s="0" t="s">
        <v>2072</v>
      </c>
    </row>
    <row r="2217" customFormat="false" ht="13.5" hidden="false" customHeight="false" outlineLevel="0" collapsed="false">
      <c r="A2217" s="0" t="s">
        <v>4872</v>
      </c>
      <c r="B2217" s="0" t="s">
        <v>4873</v>
      </c>
      <c r="C2217" s="3" t="s">
        <v>31</v>
      </c>
      <c r="D2217" s="0" t="s">
        <v>3077</v>
      </c>
    </row>
    <row r="2218" customFormat="false" ht="13.5" hidden="false" customHeight="false" outlineLevel="0" collapsed="false">
      <c r="A2218" s="0" t="s">
        <v>4874</v>
      </c>
      <c r="B2218" s="0" t="s">
        <v>4875</v>
      </c>
      <c r="C2218" s="3" t="s">
        <v>31</v>
      </c>
      <c r="D2218" s="0" t="s">
        <v>1651</v>
      </c>
    </row>
    <row r="2219" customFormat="false" ht="13.5" hidden="false" customHeight="false" outlineLevel="0" collapsed="false">
      <c r="A2219" s="0" t="s">
        <v>4876</v>
      </c>
      <c r="B2219" s="0" t="s">
        <v>4877</v>
      </c>
      <c r="C2219" s="3" t="s">
        <v>31</v>
      </c>
      <c r="D2219" s="0" t="s">
        <v>1592</v>
      </c>
    </row>
    <row r="2220" customFormat="false" ht="13.5" hidden="false" customHeight="false" outlineLevel="0" collapsed="false">
      <c r="A2220" s="0" t="s">
        <v>4878</v>
      </c>
      <c r="B2220" s="0" t="s">
        <v>4879</v>
      </c>
      <c r="C2220" s="3" t="s">
        <v>31</v>
      </c>
      <c r="D2220" s="0" t="s">
        <v>413</v>
      </c>
      <c r="E2220" s="0" t="s">
        <v>98</v>
      </c>
    </row>
    <row r="2221" customFormat="false" ht="13.5" hidden="false" customHeight="false" outlineLevel="0" collapsed="false">
      <c r="A2221" s="0" t="s">
        <v>4880</v>
      </c>
      <c r="B2221" s="0" t="s">
        <v>4881</v>
      </c>
      <c r="C2221" s="3" t="s">
        <v>31</v>
      </c>
      <c r="D2221" s="0" t="s">
        <v>413</v>
      </c>
      <c r="E2221" s="0" t="s">
        <v>98</v>
      </c>
    </row>
    <row r="2222" customFormat="false" ht="13.5" hidden="false" customHeight="false" outlineLevel="0" collapsed="false">
      <c r="A2222" s="0" t="s">
        <v>4882</v>
      </c>
      <c r="B2222" s="0" t="s">
        <v>4883</v>
      </c>
      <c r="C2222" s="3" t="s">
        <v>31</v>
      </c>
      <c r="D2222" s="0" t="s">
        <v>413</v>
      </c>
      <c r="E2222" s="0" t="s">
        <v>12</v>
      </c>
    </row>
    <row r="2223" customFormat="false" ht="13.5" hidden="false" customHeight="false" outlineLevel="0" collapsed="false">
      <c r="A2223" s="0" t="s">
        <v>4884</v>
      </c>
      <c r="B2223" s="0" t="s">
        <v>4885</v>
      </c>
      <c r="C2223" s="3" t="s">
        <v>31</v>
      </c>
      <c r="D2223" s="0" t="s">
        <v>19</v>
      </c>
      <c r="E2223" s="0" t="s">
        <v>200</v>
      </c>
      <c r="F2223" s="0" t="s">
        <v>60</v>
      </c>
    </row>
    <row r="2224" customFormat="false" ht="13.5" hidden="false" customHeight="false" outlineLevel="0" collapsed="false">
      <c r="A2224" s="0" t="s">
        <v>4886</v>
      </c>
      <c r="B2224" s="0" t="s">
        <v>4887</v>
      </c>
      <c r="C2224" s="3" t="s">
        <v>31</v>
      </c>
      <c r="D2224" s="0" t="s">
        <v>1527</v>
      </c>
    </row>
    <row r="2225" customFormat="false" ht="13.5" hidden="false" customHeight="false" outlineLevel="0" collapsed="false">
      <c r="A2225" s="0" t="s">
        <v>4888</v>
      </c>
      <c r="B2225" s="0" t="s">
        <v>4889</v>
      </c>
      <c r="C2225" s="3" t="s">
        <v>31</v>
      </c>
      <c r="D2225" s="0" t="s">
        <v>1527</v>
      </c>
    </row>
    <row r="2226" customFormat="false" ht="13.5" hidden="false" customHeight="false" outlineLevel="0" collapsed="false">
      <c r="A2226" s="0" t="s">
        <v>4890</v>
      </c>
      <c r="B2226" s="0" t="s">
        <v>4891</v>
      </c>
      <c r="C2226" s="3" t="s">
        <v>31</v>
      </c>
      <c r="D2226" s="0" t="s">
        <v>1957</v>
      </c>
    </row>
    <row r="2227" customFormat="false" ht="13.5" hidden="false" customHeight="false" outlineLevel="0" collapsed="false">
      <c r="A2227" s="0" t="s">
        <v>4892</v>
      </c>
      <c r="B2227" s="0" t="s">
        <v>4893</v>
      </c>
      <c r="C2227" s="3" t="s">
        <v>31</v>
      </c>
      <c r="D2227" s="0" t="s">
        <v>1572</v>
      </c>
    </row>
    <row r="2228" customFormat="false" ht="13.5" hidden="false" customHeight="false" outlineLevel="0" collapsed="false">
      <c r="A2228" s="0" t="s">
        <v>4894</v>
      </c>
      <c r="B2228" s="0" t="s">
        <v>4895</v>
      </c>
      <c r="C2228" s="3" t="s">
        <v>31</v>
      </c>
      <c r="D2228" s="0" t="s">
        <v>16</v>
      </c>
      <c r="E2228" s="0" t="s">
        <v>36</v>
      </c>
      <c r="F2228" s="0" t="s">
        <v>2468</v>
      </c>
    </row>
    <row r="2229" customFormat="false" ht="13.5" hidden="false" customHeight="false" outlineLevel="0" collapsed="false">
      <c r="A2229" s="0" t="s">
        <v>4896</v>
      </c>
      <c r="B2229" s="0" t="s">
        <v>4897</v>
      </c>
      <c r="C2229" s="3" t="s">
        <v>31</v>
      </c>
      <c r="D2229" s="0" t="s">
        <v>3711</v>
      </c>
    </row>
    <row r="2230" customFormat="false" ht="13.5" hidden="false" customHeight="false" outlineLevel="0" collapsed="false">
      <c r="A2230" s="0" t="s">
        <v>4898</v>
      </c>
      <c r="B2230" s="0" t="s">
        <v>4899</v>
      </c>
      <c r="C2230" s="3" t="s">
        <v>31</v>
      </c>
      <c r="D2230" s="0" t="s">
        <v>2878</v>
      </c>
    </row>
    <row r="2231" customFormat="false" ht="13.5" hidden="false" customHeight="false" outlineLevel="0" collapsed="false">
      <c r="A2231" s="0" t="s">
        <v>4900</v>
      </c>
      <c r="B2231" s="0" t="s">
        <v>4901</v>
      </c>
      <c r="C2231" s="3" t="s">
        <v>31</v>
      </c>
      <c r="D2231" s="0" t="s">
        <v>1957</v>
      </c>
    </row>
    <row r="2232" customFormat="false" ht="13.5" hidden="false" customHeight="false" outlineLevel="0" collapsed="false">
      <c r="A2232" s="0" t="s">
        <v>4902</v>
      </c>
      <c r="B2232" s="0" t="s">
        <v>4903</v>
      </c>
      <c r="C2232" s="3" t="s">
        <v>31</v>
      </c>
      <c r="D2232" s="0" t="s">
        <v>413</v>
      </c>
      <c r="E2232" s="0" t="s">
        <v>728</v>
      </c>
    </row>
    <row r="2233" customFormat="false" ht="13.5" hidden="false" customHeight="false" outlineLevel="0" collapsed="false">
      <c r="A2233" s="0" t="s">
        <v>4904</v>
      </c>
      <c r="B2233" s="0" t="s">
        <v>4905</v>
      </c>
      <c r="C2233" s="3" t="s">
        <v>31</v>
      </c>
      <c r="D2233" s="0" t="s">
        <v>69</v>
      </c>
    </row>
    <row r="2234" customFormat="false" ht="13.5" hidden="false" customHeight="false" outlineLevel="0" collapsed="false">
      <c r="A2234" s="0" t="s">
        <v>4906</v>
      </c>
      <c r="B2234" s="0" t="s">
        <v>4907</v>
      </c>
      <c r="C2234" s="3" t="s">
        <v>31</v>
      </c>
      <c r="D2234" s="0" t="s">
        <v>2054</v>
      </c>
    </row>
    <row r="2235" customFormat="false" ht="13.5" hidden="false" customHeight="false" outlineLevel="0" collapsed="false">
      <c r="A2235" s="0" t="s">
        <v>4908</v>
      </c>
      <c r="B2235" s="0" t="s">
        <v>4909</v>
      </c>
      <c r="C2235" s="3" t="s">
        <v>31</v>
      </c>
      <c r="D2235" s="0" t="s">
        <v>3711</v>
      </c>
    </row>
    <row r="2236" customFormat="false" ht="13.5" hidden="false" customHeight="false" outlineLevel="0" collapsed="false">
      <c r="A2236" s="0" t="s">
        <v>4910</v>
      </c>
      <c r="B2236" s="0" t="s">
        <v>4911</v>
      </c>
      <c r="C2236" s="3" t="s">
        <v>31</v>
      </c>
      <c r="D2236" s="0" t="s">
        <v>1513</v>
      </c>
    </row>
    <row r="2237" customFormat="false" ht="13.5" hidden="false" customHeight="false" outlineLevel="0" collapsed="false">
      <c r="A2237" s="0" t="s">
        <v>4912</v>
      </c>
      <c r="B2237" s="0" t="s">
        <v>4913</v>
      </c>
      <c r="C2237" s="3" t="s">
        <v>31</v>
      </c>
      <c r="D2237" s="0" t="s">
        <v>1761</v>
      </c>
    </row>
    <row r="2238" customFormat="false" ht="13.5" hidden="false" customHeight="false" outlineLevel="0" collapsed="false">
      <c r="A2238" s="0" t="s">
        <v>4914</v>
      </c>
      <c r="B2238" s="0" t="s">
        <v>4915</v>
      </c>
      <c r="C2238" s="3" t="s">
        <v>31</v>
      </c>
      <c r="D2238" s="0" t="s">
        <v>1924</v>
      </c>
    </row>
    <row r="2239" customFormat="false" ht="13.5" hidden="false" customHeight="false" outlineLevel="0" collapsed="false">
      <c r="A2239" s="0" t="s">
        <v>4916</v>
      </c>
      <c r="B2239" s="0" t="s">
        <v>4244</v>
      </c>
      <c r="C2239" s="3" t="s">
        <v>31</v>
      </c>
      <c r="D2239" s="0" t="s">
        <v>2552</v>
      </c>
    </row>
    <row r="2240" customFormat="false" ht="13.5" hidden="false" customHeight="false" outlineLevel="0" collapsed="false">
      <c r="A2240" s="0" t="s">
        <v>4917</v>
      </c>
      <c r="B2240" s="0" t="s">
        <v>4918</v>
      </c>
      <c r="C2240" s="3" t="s">
        <v>31</v>
      </c>
      <c r="D2240" s="0" t="s">
        <v>1704</v>
      </c>
    </row>
    <row r="2241" customFormat="false" ht="13.5" hidden="false" customHeight="false" outlineLevel="0" collapsed="false">
      <c r="A2241" s="0" t="s">
        <v>4919</v>
      </c>
      <c r="B2241" s="0" t="s">
        <v>4920</v>
      </c>
      <c r="C2241" s="3" t="s">
        <v>31</v>
      </c>
      <c r="D2241" s="0" t="s">
        <v>2072</v>
      </c>
    </row>
    <row r="2242" customFormat="false" ht="13.5" hidden="false" customHeight="false" outlineLevel="0" collapsed="false">
      <c r="A2242" s="0" t="s">
        <v>4921</v>
      </c>
      <c r="B2242" s="0" t="s">
        <v>4922</v>
      </c>
      <c r="C2242" s="3" t="s">
        <v>31</v>
      </c>
      <c r="D2242" s="0" t="s">
        <v>1513</v>
      </c>
    </row>
    <row r="2243" customFormat="false" ht="13.5" hidden="false" customHeight="false" outlineLevel="0" collapsed="false">
      <c r="A2243" s="0" t="s">
        <v>4923</v>
      </c>
      <c r="B2243" s="0" t="s">
        <v>4924</v>
      </c>
      <c r="C2243" s="3" t="s">
        <v>31</v>
      </c>
      <c r="D2243" s="0" t="s">
        <v>1957</v>
      </c>
    </row>
    <row r="2244" customFormat="false" ht="13.5" hidden="false" customHeight="false" outlineLevel="0" collapsed="false">
      <c r="A2244" s="0" t="s">
        <v>4925</v>
      </c>
      <c r="B2244" s="0" t="s">
        <v>4926</v>
      </c>
      <c r="C2244" s="3" t="s">
        <v>31</v>
      </c>
      <c r="D2244" s="0" t="s">
        <v>413</v>
      </c>
      <c r="E2244" s="0" t="s">
        <v>3030</v>
      </c>
    </row>
    <row r="2245" customFormat="false" ht="13.5" hidden="false" customHeight="false" outlineLevel="0" collapsed="false">
      <c r="A2245" s="0" t="s">
        <v>4927</v>
      </c>
      <c r="B2245" s="0" t="s">
        <v>4928</v>
      </c>
      <c r="C2245" s="3" t="s">
        <v>31</v>
      </c>
      <c r="D2245" s="0" t="s">
        <v>3261</v>
      </c>
    </row>
    <row r="2246" customFormat="false" ht="13.5" hidden="false" customHeight="false" outlineLevel="0" collapsed="false">
      <c r="A2246" s="0" t="s">
        <v>4929</v>
      </c>
      <c r="B2246" s="0" t="s">
        <v>4930</v>
      </c>
      <c r="C2246" s="3" t="s">
        <v>31</v>
      </c>
      <c r="D2246" s="0" t="s">
        <v>3711</v>
      </c>
    </row>
    <row r="2247" customFormat="false" ht="13.5" hidden="false" customHeight="false" outlineLevel="0" collapsed="false">
      <c r="A2247" s="0" t="s">
        <v>4931</v>
      </c>
      <c r="B2247" s="0" t="s">
        <v>4932</v>
      </c>
      <c r="C2247" s="3" t="s">
        <v>31</v>
      </c>
      <c r="D2247" s="0" t="s">
        <v>19</v>
      </c>
      <c r="E2247" s="0" t="s">
        <v>98</v>
      </c>
      <c r="F2247" s="0" t="s">
        <v>43</v>
      </c>
    </row>
    <row r="2248" customFormat="false" ht="13.5" hidden="false" customHeight="false" outlineLevel="0" collapsed="false">
      <c r="A2248" s="0" t="s">
        <v>4933</v>
      </c>
      <c r="B2248" s="0" t="s">
        <v>4934</v>
      </c>
      <c r="C2248" s="3" t="s">
        <v>31</v>
      </c>
      <c r="D2248" s="0" t="s">
        <v>413</v>
      </c>
      <c r="E2248" s="0" t="s">
        <v>63</v>
      </c>
    </row>
    <row r="2249" customFormat="false" ht="13.5" hidden="false" customHeight="false" outlineLevel="0" collapsed="false">
      <c r="A2249" s="0" t="s">
        <v>4935</v>
      </c>
      <c r="B2249" s="0" t="s">
        <v>4936</v>
      </c>
      <c r="C2249" s="3" t="s">
        <v>31</v>
      </c>
      <c r="D2249" s="0" t="s">
        <v>1699</v>
      </c>
      <c r="F2249" s="0" t="s">
        <v>60</v>
      </c>
    </row>
    <row r="2250" customFormat="false" ht="13.5" hidden="false" customHeight="false" outlineLevel="0" collapsed="false">
      <c r="A2250" s="0" t="s">
        <v>4937</v>
      </c>
      <c r="B2250" s="0" t="s">
        <v>4938</v>
      </c>
      <c r="C2250" s="3" t="s">
        <v>31</v>
      </c>
      <c r="D2250" s="0" t="s">
        <v>1704</v>
      </c>
    </row>
    <row r="2251" customFormat="false" ht="13.5" hidden="false" customHeight="false" outlineLevel="0" collapsed="false">
      <c r="A2251" s="0" t="s">
        <v>4939</v>
      </c>
      <c r="B2251" s="0" t="s">
        <v>4940</v>
      </c>
      <c r="C2251" s="3" t="s">
        <v>31</v>
      </c>
      <c r="D2251" s="0" t="s">
        <v>413</v>
      </c>
      <c r="E2251" s="0" t="s">
        <v>902</v>
      </c>
    </row>
    <row r="2252" customFormat="false" ht="13.5" hidden="false" customHeight="false" outlineLevel="0" collapsed="false">
      <c r="A2252" s="0" t="s">
        <v>4941</v>
      </c>
      <c r="B2252" s="0" t="s">
        <v>4942</v>
      </c>
      <c r="C2252" s="3" t="s">
        <v>31</v>
      </c>
      <c r="D2252" s="0" t="s">
        <v>413</v>
      </c>
      <c r="E2252" s="0" t="s">
        <v>1043</v>
      </c>
    </row>
    <row r="2253" customFormat="false" ht="13.5" hidden="false" customHeight="false" outlineLevel="0" collapsed="false">
      <c r="A2253" s="0" t="s">
        <v>4943</v>
      </c>
      <c r="B2253" s="0" t="s">
        <v>4944</v>
      </c>
      <c r="C2253" s="3" t="s">
        <v>31</v>
      </c>
      <c r="D2253" s="0" t="s">
        <v>2871</v>
      </c>
    </row>
    <row r="2254" customFormat="false" ht="13.5" hidden="false" customHeight="false" outlineLevel="0" collapsed="false">
      <c r="A2254" s="0" t="s">
        <v>4945</v>
      </c>
      <c r="B2254" s="0" t="s">
        <v>4946</v>
      </c>
      <c r="C2254" s="3" t="s">
        <v>31</v>
      </c>
      <c r="D2254" s="0" t="s">
        <v>1540</v>
      </c>
    </row>
    <row r="2255" customFormat="false" ht="13.5" hidden="false" customHeight="false" outlineLevel="0" collapsed="false">
      <c r="A2255" s="0" t="s">
        <v>4947</v>
      </c>
      <c r="B2255" s="0" t="s">
        <v>4342</v>
      </c>
      <c r="C2255" s="3" t="s">
        <v>31</v>
      </c>
      <c r="D2255" s="0" t="s">
        <v>1704</v>
      </c>
    </row>
    <row r="2256" customFormat="false" ht="13.5" hidden="false" customHeight="false" outlineLevel="0" collapsed="false">
      <c r="A2256" s="0" t="s">
        <v>4948</v>
      </c>
      <c r="B2256" s="0" t="s">
        <v>4949</v>
      </c>
      <c r="C2256" s="3" t="s">
        <v>31</v>
      </c>
      <c r="D2256" s="0" t="s">
        <v>2072</v>
      </c>
    </row>
    <row r="2257" customFormat="false" ht="13.5" hidden="false" customHeight="false" outlineLevel="0" collapsed="false">
      <c r="A2257" s="0" t="s">
        <v>4950</v>
      </c>
      <c r="B2257" s="0" t="s">
        <v>4951</v>
      </c>
      <c r="C2257" s="3" t="s">
        <v>31</v>
      </c>
      <c r="D2257" s="0" t="s">
        <v>413</v>
      </c>
      <c r="E2257" s="0" t="s">
        <v>728</v>
      </c>
    </row>
    <row r="2258" customFormat="false" ht="13.5" hidden="false" customHeight="false" outlineLevel="0" collapsed="false">
      <c r="A2258" s="0" t="s">
        <v>4952</v>
      </c>
      <c r="B2258" s="0" t="s">
        <v>4953</v>
      </c>
      <c r="C2258" s="3" t="s">
        <v>31</v>
      </c>
      <c r="D2258" s="0" t="s">
        <v>69</v>
      </c>
    </row>
    <row r="2259" customFormat="false" ht="13.5" hidden="false" customHeight="false" outlineLevel="0" collapsed="false">
      <c r="A2259" s="0" t="s">
        <v>4954</v>
      </c>
      <c r="B2259" s="0" t="s">
        <v>4955</v>
      </c>
      <c r="C2259" s="3" t="s">
        <v>31</v>
      </c>
      <c r="D2259" s="0" t="s">
        <v>4956</v>
      </c>
      <c r="E2259" s="0" t="s">
        <v>652</v>
      </c>
      <c r="F2259" s="0" t="s">
        <v>60</v>
      </c>
    </row>
    <row r="2260" customFormat="false" ht="13.5" hidden="false" customHeight="false" outlineLevel="0" collapsed="false">
      <c r="A2260" s="0" t="s">
        <v>4957</v>
      </c>
      <c r="B2260" s="0" t="s">
        <v>4958</v>
      </c>
      <c r="C2260" s="3" t="s">
        <v>31</v>
      </c>
      <c r="D2260" s="0" t="s">
        <v>3020</v>
      </c>
    </row>
    <row r="2261" customFormat="false" ht="13.5" hidden="false" customHeight="false" outlineLevel="0" collapsed="false">
      <c r="A2261" s="0" t="s">
        <v>4959</v>
      </c>
      <c r="B2261" s="0" t="s">
        <v>4960</v>
      </c>
      <c r="C2261" s="3" t="s">
        <v>31</v>
      </c>
      <c r="D2261" s="0" t="s">
        <v>1957</v>
      </c>
    </row>
    <row r="2262" customFormat="false" ht="13.5" hidden="false" customHeight="false" outlineLevel="0" collapsed="false">
      <c r="A2262" s="0" t="s">
        <v>4961</v>
      </c>
      <c r="B2262" s="0" t="s">
        <v>4962</v>
      </c>
      <c r="C2262" s="3" t="s">
        <v>31</v>
      </c>
      <c r="D2262" s="0" t="s">
        <v>2356</v>
      </c>
    </row>
    <row r="2263" customFormat="false" ht="13.5" hidden="false" customHeight="false" outlineLevel="0" collapsed="false">
      <c r="A2263" s="0" t="s">
        <v>4963</v>
      </c>
      <c r="B2263" s="0" t="s">
        <v>4964</v>
      </c>
      <c r="C2263" s="3" t="s">
        <v>31</v>
      </c>
      <c r="D2263" s="0" t="s">
        <v>1513</v>
      </c>
    </row>
    <row r="2264" customFormat="false" ht="13.5" hidden="false" customHeight="false" outlineLevel="0" collapsed="false">
      <c r="A2264" s="0" t="s">
        <v>4965</v>
      </c>
      <c r="B2264" s="0" t="s">
        <v>4966</v>
      </c>
      <c r="C2264" s="3" t="s">
        <v>31</v>
      </c>
      <c r="D2264" s="0" t="s">
        <v>2878</v>
      </c>
      <c r="E2264" s="0" t="s">
        <v>122</v>
      </c>
    </row>
    <row r="2265" customFormat="false" ht="13.5" hidden="false" customHeight="false" outlineLevel="0" collapsed="false">
      <c r="A2265" s="0" t="s">
        <v>4967</v>
      </c>
      <c r="B2265" s="0" t="s">
        <v>4968</v>
      </c>
      <c r="C2265" s="3" t="s">
        <v>31</v>
      </c>
      <c r="D2265" s="0" t="s">
        <v>1527</v>
      </c>
    </row>
    <row r="2266" customFormat="false" ht="13.5" hidden="false" customHeight="false" outlineLevel="0" collapsed="false">
      <c r="A2266" s="0" t="s">
        <v>4969</v>
      </c>
      <c r="B2266" s="0" t="s">
        <v>4970</v>
      </c>
      <c r="C2266" s="3" t="s">
        <v>31</v>
      </c>
      <c r="D2266" s="0" t="s">
        <v>2678</v>
      </c>
    </row>
    <row r="2267" customFormat="false" ht="13.5" hidden="false" customHeight="false" outlineLevel="0" collapsed="false">
      <c r="A2267" s="0" t="s">
        <v>4971</v>
      </c>
      <c r="B2267" s="0" t="s">
        <v>4972</v>
      </c>
      <c r="C2267" s="3" t="s">
        <v>31</v>
      </c>
      <c r="D2267" s="0" t="s">
        <v>1957</v>
      </c>
    </row>
    <row r="2268" customFormat="false" ht="13.5" hidden="false" customHeight="false" outlineLevel="0" collapsed="false">
      <c r="A2268" s="0" t="s">
        <v>4973</v>
      </c>
      <c r="B2268" s="0" t="s">
        <v>4974</v>
      </c>
      <c r="C2268" s="3" t="s">
        <v>31</v>
      </c>
      <c r="D2268" s="0" t="s">
        <v>3077</v>
      </c>
    </row>
    <row r="2269" customFormat="false" ht="13.5" hidden="false" customHeight="false" outlineLevel="0" collapsed="false">
      <c r="A2269" s="0" t="s">
        <v>4975</v>
      </c>
      <c r="B2269" s="0" t="s">
        <v>4976</v>
      </c>
      <c r="C2269" s="3" t="s">
        <v>31</v>
      </c>
      <c r="D2269" s="0" t="s">
        <v>413</v>
      </c>
      <c r="E2269" s="0" t="s">
        <v>4977</v>
      </c>
    </row>
    <row r="2270" customFormat="false" ht="13.5" hidden="false" customHeight="false" outlineLevel="0" collapsed="false">
      <c r="A2270" s="0" t="s">
        <v>4978</v>
      </c>
      <c r="B2270" s="0" t="s">
        <v>4979</v>
      </c>
      <c r="C2270" s="3" t="s">
        <v>31</v>
      </c>
      <c r="D2270" s="0" t="s">
        <v>4980</v>
      </c>
    </row>
    <row r="2271" customFormat="false" ht="13.5" hidden="false" customHeight="false" outlineLevel="0" collapsed="false">
      <c r="A2271" s="0" t="s">
        <v>4981</v>
      </c>
      <c r="B2271" s="0" t="s">
        <v>4982</v>
      </c>
      <c r="C2271" s="3" t="s">
        <v>31</v>
      </c>
      <c r="D2271" s="0" t="s">
        <v>1924</v>
      </c>
    </row>
    <row r="2272" customFormat="false" ht="13.5" hidden="false" customHeight="false" outlineLevel="0" collapsed="false">
      <c r="A2272" s="0" t="s">
        <v>4983</v>
      </c>
      <c r="B2272" s="0" t="s">
        <v>4984</v>
      </c>
      <c r="C2272" s="3" t="s">
        <v>31</v>
      </c>
      <c r="D2272" s="0" t="s">
        <v>413</v>
      </c>
      <c r="E2272" s="0" t="s">
        <v>1043</v>
      </c>
    </row>
    <row r="2273" customFormat="false" ht="13.5" hidden="false" customHeight="false" outlineLevel="0" collapsed="false">
      <c r="A2273" s="0" t="s">
        <v>4985</v>
      </c>
      <c r="B2273" s="0" t="s">
        <v>4986</v>
      </c>
      <c r="C2273" s="3" t="s">
        <v>31</v>
      </c>
      <c r="D2273" s="0" t="s">
        <v>16</v>
      </c>
      <c r="E2273" s="0" t="s">
        <v>1151</v>
      </c>
      <c r="F2273" s="0" t="s">
        <v>60</v>
      </c>
    </row>
    <row r="2274" customFormat="false" ht="13.5" hidden="false" customHeight="false" outlineLevel="0" collapsed="false">
      <c r="A2274" s="0" t="s">
        <v>4987</v>
      </c>
      <c r="B2274" s="0" t="s">
        <v>4988</v>
      </c>
      <c r="C2274" s="3" t="s">
        <v>31</v>
      </c>
      <c r="D2274" s="0" t="s">
        <v>1704</v>
      </c>
    </row>
    <row r="2275" customFormat="false" ht="13.5" hidden="false" customHeight="false" outlineLevel="0" collapsed="false">
      <c r="A2275" s="0" t="s">
        <v>4989</v>
      </c>
      <c r="B2275" s="0" t="s">
        <v>4990</v>
      </c>
      <c r="C2275" s="3" t="s">
        <v>31</v>
      </c>
      <c r="D2275" s="0" t="s">
        <v>1924</v>
      </c>
    </row>
    <row r="2276" customFormat="false" ht="13.5" hidden="false" customHeight="false" outlineLevel="0" collapsed="false">
      <c r="A2276" s="0" t="s">
        <v>4991</v>
      </c>
      <c r="B2276" s="0" t="s">
        <v>4992</v>
      </c>
      <c r="C2276" s="3" t="s">
        <v>31</v>
      </c>
      <c r="D2276" s="0" t="s">
        <v>1704</v>
      </c>
    </row>
    <row r="2277" customFormat="false" ht="13.5" hidden="false" customHeight="false" outlineLevel="0" collapsed="false">
      <c r="A2277" s="0" t="s">
        <v>4993</v>
      </c>
      <c r="B2277" s="0" t="s">
        <v>4994</v>
      </c>
      <c r="C2277" s="3" t="s">
        <v>31</v>
      </c>
      <c r="D2277" s="0" t="s">
        <v>1513</v>
      </c>
    </row>
    <row r="2278" customFormat="false" ht="13.5" hidden="false" customHeight="false" outlineLevel="0" collapsed="false">
      <c r="A2278" s="0" t="s">
        <v>4995</v>
      </c>
      <c r="B2278" s="0" t="s">
        <v>4996</v>
      </c>
      <c r="C2278" s="3" t="s">
        <v>31</v>
      </c>
      <c r="D2278" s="0" t="s">
        <v>16</v>
      </c>
      <c r="E2278" s="0" t="s">
        <v>36</v>
      </c>
      <c r="F2278" s="0" t="s">
        <v>2468</v>
      </c>
    </row>
    <row r="2279" customFormat="false" ht="13.5" hidden="false" customHeight="false" outlineLevel="0" collapsed="false">
      <c r="A2279" s="0" t="s">
        <v>4997</v>
      </c>
      <c r="B2279" s="0" t="s">
        <v>4998</v>
      </c>
      <c r="C2279" s="3" t="s">
        <v>31</v>
      </c>
      <c r="D2279" s="0" t="s">
        <v>1592</v>
      </c>
    </row>
    <row r="2280" customFormat="false" ht="13.5" hidden="false" customHeight="false" outlineLevel="0" collapsed="false">
      <c r="A2280" s="0" t="s">
        <v>4999</v>
      </c>
      <c r="B2280" s="0" t="s">
        <v>5000</v>
      </c>
      <c r="C2280" s="3" t="s">
        <v>31</v>
      </c>
      <c r="D2280" s="0" t="s">
        <v>4560</v>
      </c>
    </row>
    <row r="2281" customFormat="false" ht="13.5" hidden="false" customHeight="false" outlineLevel="0" collapsed="false">
      <c r="A2281" s="0" t="s">
        <v>5001</v>
      </c>
      <c r="B2281" s="0" t="s">
        <v>5002</v>
      </c>
      <c r="C2281" s="3" t="s">
        <v>31</v>
      </c>
      <c r="D2281" s="0" t="s">
        <v>1657</v>
      </c>
    </row>
    <row r="2282" customFormat="false" ht="13.5" hidden="false" customHeight="false" outlineLevel="0" collapsed="false">
      <c r="A2282" s="0" t="s">
        <v>5003</v>
      </c>
      <c r="B2282" s="0" t="s">
        <v>5004</v>
      </c>
      <c r="C2282" s="3" t="s">
        <v>31</v>
      </c>
      <c r="D2282" s="0" t="s">
        <v>5005</v>
      </c>
    </row>
    <row r="2283" customFormat="false" ht="13.5" hidden="false" customHeight="false" outlineLevel="0" collapsed="false">
      <c r="A2283" s="0" t="s">
        <v>5006</v>
      </c>
      <c r="B2283" s="0" t="s">
        <v>5007</v>
      </c>
      <c r="C2283" s="3" t="s">
        <v>31</v>
      </c>
      <c r="D2283" s="0" t="s">
        <v>3711</v>
      </c>
    </row>
    <row r="2284" customFormat="false" ht="13.5" hidden="false" customHeight="false" outlineLevel="0" collapsed="false">
      <c r="A2284" s="0" t="s">
        <v>5008</v>
      </c>
      <c r="B2284" s="0" t="s">
        <v>5009</v>
      </c>
      <c r="C2284" s="3" t="s">
        <v>31</v>
      </c>
      <c r="D2284" s="0" t="s">
        <v>5010</v>
      </c>
    </row>
    <row r="2285" customFormat="false" ht="13.5" hidden="false" customHeight="false" outlineLevel="0" collapsed="false">
      <c r="A2285" s="0" t="s">
        <v>5011</v>
      </c>
      <c r="B2285" s="0" t="s">
        <v>5012</v>
      </c>
      <c r="C2285" s="3" t="s">
        <v>31</v>
      </c>
      <c r="D2285" s="0" t="s">
        <v>413</v>
      </c>
      <c r="E2285" s="0" t="s">
        <v>98</v>
      </c>
      <c r="F2285" s="0" t="s">
        <v>2468</v>
      </c>
    </row>
    <row r="2286" customFormat="false" ht="13.5" hidden="false" customHeight="false" outlineLevel="0" collapsed="false">
      <c r="A2286" s="0" t="s">
        <v>5013</v>
      </c>
      <c r="B2286" s="0" t="s">
        <v>5014</v>
      </c>
      <c r="C2286" s="3" t="s">
        <v>31</v>
      </c>
      <c r="D2286" s="0" t="s">
        <v>19</v>
      </c>
      <c r="E2286" s="0" t="s">
        <v>98</v>
      </c>
      <c r="F2286" s="0" t="s">
        <v>43</v>
      </c>
    </row>
    <row r="2287" customFormat="false" ht="13.5" hidden="false" customHeight="false" outlineLevel="0" collapsed="false">
      <c r="A2287" s="0" t="s">
        <v>5015</v>
      </c>
      <c r="B2287" s="0" t="s">
        <v>5016</v>
      </c>
      <c r="C2287" s="3" t="s">
        <v>31</v>
      </c>
      <c r="D2287" s="0" t="s">
        <v>1527</v>
      </c>
    </row>
    <row r="2288" customFormat="false" ht="13.5" hidden="false" customHeight="false" outlineLevel="0" collapsed="false">
      <c r="A2288" s="0" t="s">
        <v>5017</v>
      </c>
      <c r="B2288" s="0" t="s">
        <v>5018</v>
      </c>
      <c r="C2288" s="3" t="s">
        <v>31</v>
      </c>
      <c r="D2288" s="0" t="s">
        <v>2878</v>
      </c>
      <c r="E2288" s="0" t="s">
        <v>122</v>
      </c>
    </row>
    <row r="2289" customFormat="false" ht="13.5" hidden="false" customHeight="false" outlineLevel="0" collapsed="false">
      <c r="A2289" s="0" t="s">
        <v>5019</v>
      </c>
      <c r="B2289" s="0" t="s">
        <v>5020</v>
      </c>
      <c r="C2289" s="3" t="s">
        <v>31</v>
      </c>
      <c r="D2289" s="0" t="s">
        <v>413</v>
      </c>
      <c r="E2289" s="0" t="s">
        <v>12</v>
      </c>
    </row>
    <row r="2290" customFormat="false" ht="13.5" hidden="false" customHeight="false" outlineLevel="0" collapsed="false">
      <c r="A2290" s="0" t="s">
        <v>5021</v>
      </c>
      <c r="B2290" s="0" t="s">
        <v>5022</v>
      </c>
      <c r="C2290" s="3" t="s">
        <v>31</v>
      </c>
      <c r="D2290" s="0" t="s">
        <v>69</v>
      </c>
    </row>
    <row r="2291" customFormat="false" ht="13.5" hidden="false" customHeight="false" outlineLevel="0" collapsed="false">
      <c r="A2291" s="0" t="s">
        <v>5023</v>
      </c>
      <c r="B2291" s="0" t="s">
        <v>4374</v>
      </c>
      <c r="C2291" s="3" t="s">
        <v>31</v>
      </c>
      <c r="D2291" s="0" t="s">
        <v>2364</v>
      </c>
    </row>
    <row r="2292" customFormat="false" ht="13.5" hidden="false" customHeight="false" outlineLevel="0" collapsed="false">
      <c r="A2292" s="0" t="s">
        <v>5024</v>
      </c>
      <c r="B2292" s="0" t="s">
        <v>5025</v>
      </c>
      <c r="C2292" s="3" t="s">
        <v>31</v>
      </c>
      <c r="D2292" s="0" t="s">
        <v>1737</v>
      </c>
    </row>
    <row r="2293" customFormat="false" ht="13.5" hidden="false" customHeight="false" outlineLevel="0" collapsed="false">
      <c r="A2293" s="0" t="s">
        <v>5026</v>
      </c>
      <c r="B2293" s="0" t="s">
        <v>5027</v>
      </c>
      <c r="C2293" s="3" t="s">
        <v>31</v>
      </c>
      <c r="D2293" s="0" t="s">
        <v>1737</v>
      </c>
    </row>
    <row r="2294" customFormat="false" ht="13.5" hidden="false" customHeight="false" outlineLevel="0" collapsed="false">
      <c r="A2294" s="0" t="s">
        <v>5028</v>
      </c>
      <c r="B2294" s="0" t="s">
        <v>5029</v>
      </c>
      <c r="C2294" s="3" t="s">
        <v>31</v>
      </c>
      <c r="D2294" s="0" t="s">
        <v>1592</v>
      </c>
    </row>
    <row r="2295" customFormat="false" ht="13.5" hidden="false" customHeight="false" outlineLevel="0" collapsed="false">
      <c r="A2295" s="0" t="s">
        <v>5030</v>
      </c>
      <c r="B2295" s="0" t="s">
        <v>5031</v>
      </c>
      <c r="C2295" s="3" t="s">
        <v>31</v>
      </c>
      <c r="D2295" s="0" t="s">
        <v>2905</v>
      </c>
    </row>
    <row r="2296" customFormat="false" ht="13.5" hidden="false" customHeight="false" outlineLevel="0" collapsed="false">
      <c r="A2296" s="0" t="s">
        <v>5032</v>
      </c>
      <c r="B2296" s="0" t="s">
        <v>5033</v>
      </c>
      <c r="C2296" s="3" t="s">
        <v>31</v>
      </c>
      <c r="D2296" s="0" t="s">
        <v>1737</v>
      </c>
    </row>
    <row r="2297" customFormat="false" ht="13.5" hidden="false" customHeight="false" outlineLevel="0" collapsed="false">
      <c r="A2297" s="0" t="s">
        <v>5034</v>
      </c>
      <c r="B2297" s="0" t="s">
        <v>5035</v>
      </c>
      <c r="C2297" s="3" t="s">
        <v>31</v>
      </c>
      <c r="D2297" s="0" t="s">
        <v>19</v>
      </c>
      <c r="E2297" s="0" t="s">
        <v>317</v>
      </c>
      <c r="F2297" s="0" t="s">
        <v>1782</v>
      </c>
    </row>
    <row r="2298" customFormat="false" ht="13.5" hidden="false" customHeight="false" outlineLevel="0" collapsed="false">
      <c r="A2298" s="0" t="s">
        <v>5036</v>
      </c>
      <c r="B2298" s="0" t="s">
        <v>5037</v>
      </c>
      <c r="C2298" s="3" t="s">
        <v>31</v>
      </c>
      <c r="D2298" s="0" t="s">
        <v>1508</v>
      </c>
    </row>
    <row r="2299" customFormat="false" ht="13.5" hidden="false" customHeight="false" outlineLevel="0" collapsed="false">
      <c r="A2299" s="0" t="s">
        <v>5038</v>
      </c>
      <c r="B2299" s="0" t="s">
        <v>5039</v>
      </c>
      <c r="C2299" s="3" t="s">
        <v>31</v>
      </c>
      <c r="D2299" s="0" t="s">
        <v>2492</v>
      </c>
    </row>
    <row r="2300" customFormat="false" ht="13.5" hidden="false" customHeight="false" outlineLevel="0" collapsed="false">
      <c r="A2300" s="0" t="s">
        <v>5040</v>
      </c>
      <c r="B2300" s="0" t="s">
        <v>5041</v>
      </c>
      <c r="C2300" s="3" t="s">
        <v>31</v>
      </c>
      <c r="D2300" s="0" t="s">
        <v>413</v>
      </c>
      <c r="E2300" s="0" t="s">
        <v>186</v>
      </c>
    </row>
    <row r="2301" customFormat="false" ht="13.5" hidden="false" customHeight="false" outlineLevel="0" collapsed="false">
      <c r="A2301" s="0" t="s">
        <v>5042</v>
      </c>
      <c r="B2301" s="0" t="s">
        <v>5043</v>
      </c>
      <c r="C2301" s="3" t="s">
        <v>31</v>
      </c>
      <c r="D2301" s="0" t="s">
        <v>1957</v>
      </c>
    </row>
    <row r="2302" customFormat="false" ht="13.5" hidden="false" customHeight="false" outlineLevel="0" collapsed="false">
      <c r="A2302" s="0" t="s">
        <v>5044</v>
      </c>
      <c r="B2302" s="0" t="s">
        <v>5045</v>
      </c>
      <c r="C2302" s="3" t="s">
        <v>31</v>
      </c>
      <c r="D2302" s="0" t="s">
        <v>1527</v>
      </c>
    </row>
    <row r="2303" customFormat="false" ht="13.5" hidden="false" customHeight="false" outlineLevel="0" collapsed="false">
      <c r="A2303" s="0" t="s">
        <v>5046</v>
      </c>
      <c r="B2303" s="0" t="s">
        <v>5047</v>
      </c>
      <c r="C2303" s="3" t="s">
        <v>31</v>
      </c>
      <c r="D2303" s="0" t="s">
        <v>1540</v>
      </c>
    </row>
    <row r="2304" customFormat="false" ht="13.5" hidden="false" customHeight="false" outlineLevel="0" collapsed="false">
      <c r="A2304" s="0" t="s">
        <v>5048</v>
      </c>
      <c r="B2304" s="0" t="s">
        <v>5049</v>
      </c>
      <c r="C2304" s="3" t="s">
        <v>31</v>
      </c>
      <c r="D2304" s="0" t="s">
        <v>1704</v>
      </c>
    </row>
    <row r="2305" customFormat="false" ht="13.5" hidden="false" customHeight="false" outlineLevel="0" collapsed="false">
      <c r="A2305" s="0" t="s">
        <v>5050</v>
      </c>
      <c r="B2305" s="0" t="s">
        <v>5051</v>
      </c>
      <c r="C2305" s="3" t="s">
        <v>31</v>
      </c>
      <c r="D2305" s="0" t="s">
        <v>3691</v>
      </c>
    </row>
    <row r="2306" customFormat="false" ht="13.5" hidden="false" customHeight="false" outlineLevel="0" collapsed="false">
      <c r="A2306" s="0" t="s">
        <v>5052</v>
      </c>
      <c r="B2306" s="0" t="s">
        <v>5053</v>
      </c>
      <c r="C2306" s="3" t="s">
        <v>31</v>
      </c>
      <c r="D2306" s="0" t="s">
        <v>1505</v>
      </c>
    </row>
    <row r="2307" customFormat="false" ht="13.5" hidden="false" customHeight="false" outlineLevel="0" collapsed="false">
      <c r="A2307" s="0" t="s">
        <v>5054</v>
      </c>
      <c r="B2307" s="0" t="s">
        <v>5055</v>
      </c>
      <c r="C2307" s="3" t="s">
        <v>31</v>
      </c>
      <c r="D2307" s="0" t="s">
        <v>413</v>
      </c>
      <c r="E2307" s="0" t="s">
        <v>186</v>
      </c>
    </row>
    <row r="2308" customFormat="false" ht="13.5" hidden="false" customHeight="false" outlineLevel="0" collapsed="false">
      <c r="A2308" s="0" t="s">
        <v>5056</v>
      </c>
      <c r="B2308" s="0" t="s">
        <v>5057</v>
      </c>
      <c r="C2308" s="3" t="s">
        <v>31</v>
      </c>
      <c r="D2308" s="0" t="s">
        <v>2072</v>
      </c>
    </row>
    <row r="2309" customFormat="false" ht="13.5" hidden="false" customHeight="false" outlineLevel="0" collapsed="false">
      <c r="A2309" s="0" t="s">
        <v>5058</v>
      </c>
      <c r="B2309" s="0" t="s">
        <v>5059</v>
      </c>
      <c r="C2309" s="0" t="s">
        <v>31</v>
      </c>
      <c r="D2309" s="0" t="s">
        <v>1651</v>
      </c>
    </row>
    <row r="2310" customFormat="false" ht="13.5" hidden="false" customHeight="false" outlineLevel="0" collapsed="false">
      <c r="A2310" s="0" t="s">
        <v>5060</v>
      </c>
      <c r="B2310" s="0" t="s">
        <v>5061</v>
      </c>
      <c r="C2310" s="0" t="s">
        <v>31</v>
      </c>
      <c r="D2310" s="0" t="s">
        <v>1957</v>
      </c>
    </row>
    <row r="2311" customFormat="false" ht="13.5" hidden="false" customHeight="false" outlineLevel="0" collapsed="false">
      <c r="A2311" s="0" t="s">
        <v>5062</v>
      </c>
      <c r="B2311" s="0" t="s">
        <v>5063</v>
      </c>
      <c r="C2311" s="0" t="s">
        <v>31</v>
      </c>
      <c r="D2311" s="0" t="s">
        <v>2701</v>
      </c>
    </row>
    <row r="2312" customFormat="false" ht="13.5" hidden="false" customHeight="false" outlineLevel="0" collapsed="false">
      <c r="A2312" s="0" t="s">
        <v>5064</v>
      </c>
      <c r="B2312" s="0" t="s">
        <v>5065</v>
      </c>
      <c r="C2312" s="0" t="s">
        <v>31</v>
      </c>
      <c r="D2312" s="0" t="s">
        <v>1513</v>
      </c>
    </row>
    <row r="2313" customFormat="false" ht="13.5" hidden="false" customHeight="false" outlineLevel="0" collapsed="false">
      <c r="A2313" s="0" t="s">
        <v>5066</v>
      </c>
      <c r="B2313" s="0" t="s">
        <v>5067</v>
      </c>
      <c r="C2313" s="0" t="s">
        <v>31</v>
      </c>
      <c r="D2313" s="0" t="s">
        <v>1651</v>
      </c>
    </row>
    <row r="2314" customFormat="false" ht="13.5" hidden="false" customHeight="false" outlineLevel="0" collapsed="false">
      <c r="A2314" s="0" t="s">
        <v>5068</v>
      </c>
      <c r="B2314" s="0" t="s">
        <v>5069</v>
      </c>
      <c r="C2314" s="0" t="s">
        <v>31</v>
      </c>
      <c r="D2314" s="0" t="s">
        <v>69</v>
      </c>
    </row>
    <row r="2315" customFormat="false" ht="13.5" hidden="false" customHeight="false" outlineLevel="0" collapsed="false">
      <c r="A2315" s="0" t="s">
        <v>5070</v>
      </c>
      <c r="B2315" s="0" t="s">
        <v>5071</v>
      </c>
      <c r="C2315" s="0" t="s">
        <v>31</v>
      </c>
      <c r="D2315" s="0" t="s">
        <v>2905</v>
      </c>
    </row>
    <row r="2316" customFormat="false" ht="13.5" hidden="false" customHeight="false" outlineLevel="0" collapsed="false">
      <c r="A2316" s="0" t="s">
        <v>5072</v>
      </c>
      <c r="B2316" s="0" t="s">
        <v>5073</v>
      </c>
      <c r="C2316" s="0" t="s">
        <v>31</v>
      </c>
      <c r="D2316" s="0" t="s">
        <v>2072</v>
      </c>
    </row>
    <row r="2317" customFormat="false" ht="13.5" hidden="false" customHeight="false" outlineLevel="0" collapsed="false">
      <c r="A2317" s="0" t="s">
        <v>5074</v>
      </c>
      <c r="B2317" s="0" t="s">
        <v>5075</v>
      </c>
      <c r="C2317" s="0" t="s">
        <v>31</v>
      </c>
      <c r="D2317" s="0" t="s">
        <v>1508</v>
      </c>
    </row>
    <row r="2318" customFormat="false" ht="13.5" hidden="false" customHeight="false" outlineLevel="0" collapsed="false">
      <c r="A2318" s="0" t="s">
        <v>5076</v>
      </c>
      <c r="B2318" s="0" t="s">
        <v>5077</v>
      </c>
      <c r="C2318" s="0" t="s">
        <v>31</v>
      </c>
      <c r="D2318" s="0" t="s">
        <v>19</v>
      </c>
      <c r="E2318" s="0" t="s">
        <v>1292</v>
      </c>
      <c r="F2318" s="0" t="s">
        <v>60</v>
      </c>
    </row>
    <row r="2319" customFormat="false" ht="13.5" hidden="false" customHeight="false" outlineLevel="0" collapsed="false">
      <c r="A2319" s="0" t="s">
        <v>5078</v>
      </c>
      <c r="B2319" s="0" t="s">
        <v>5079</v>
      </c>
      <c r="C2319" s="0" t="s">
        <v>31</v>
      </c>
      <c r="D2319" s="0" t="s">
        <v>2364</v>
      </c>
    </row>
    <row r="2320" customFormat="false" ht="13.5" hidden="false" customHeight="false" outlineLevel="0" collapsed="false">
      <c r="A2320" s="0" t="s">
        <v>5080</v>
      </c>
      <c r="B2320" s="0" t="s">
        <v>5081</v>
      </c>
      <c r="C2320" s="0" t="s">
        <v>31</v>
      </c>
      <c r="D2320" s="0" t="s">
        <v>1513</v>
      </c>
    </row>
    <row r="2321" customFormat="false" ht="13.5" hidden="false" customHeight="false" outlineLevel="0" collapsed="false">
      <c r="A2321" s="0" t="s">
        <v>5082</v>
      </c>
      <c r="B2321" s="0" t="s">
        <v>5083</v>
      </c>
      <c r="C2321" s="0" t="s">
        <v>31</v>
      </c>
      <c r="D2321" s="0" t="s">
        <v>2356</v>
      </c>
    </row>
    <row r="2322" customFormat="false" ht="13.5" hidden="false" customHeight="false" outlineLevel="0" collapsed="false">
      <c r="A2322" s="0" t="s">
        <v>5084</v>
      </c>
      <c r="B2322" s="0" t="s">
        <v>5085</v>
      </c>
      <c r="C2322" s="0" t="s">
        <v>31</v>
      </c>
      <c r="D2322" s="0" t="s">
        <v>2701</v>
      </c>
    </row>
    <row r="2323" customFormat="false" ht="13.5" hidden="false" customHeight="false" outlineLevel="0" collapsed="false">
      <c r="A2323" s="0" t="s">
        <v>5086</v>
      </c>
      <c r="B2323" s="0" t="s">
        <v>5087</v>
      </c>
      <c r="C2323" s="0" t="s">
        <v>31</v>
      </c>
      <c r="D2323" s="0" t="s">
        <v>413</v>
      </c>
      <c r="E2323" s="0" t="s">
        <v>936</v>
      </c>
      <c r="F2323" s="0" t="s">
        <v>1669</v>
      </c>
    </row>
    <row r="2324" customFormat="false" ht="13.5" hidden="false" customHeight="false" outlineLevel="0" collapsed="false">
      <c r="A2324" s="0" t="s">
        <v>5088</v>
      </c>
      <c r="B2324" s="0" t="s">
        <v>5089</v>
      </c>
      <c r="C2324" s="0" t="s">
        <v>31</v>
      </c>
      <c r="D2324" s="0" t="s">
        <v>1651</v>
      </c>
    </row>
    <row r="2325" customFormat="false" ht="13.5" hidden="false" customHeight="false" outlineLevel="0" collapsed="false">
      <c r="A2325" s="0" t="s">
        <v>5090</v>
      </c>
      <c r="B2325" s="0" t="s">
        <v>5091</v>
      </c>
      <c r="C2325" s="0" t="s">
        <v>31</v>
      </c>
      <c r="D2325" s="0" t="s">
        <v>1513</v>
      </c>
    </row>
    <row r="2326" customFormat="false" ht="13.5" hidden="false" customHeight="false" outlineLevel="0" collapsed="false">
      <c r="A2326" s="0" t="s">
        <v>5092</v>
      </c>
      <c r="B2326" s="0" t="s">
        <v>5093</v>
      </c>
      <c r="C2326" s="0" t="s">
        <v>31</v>
      </c>
      <c r="D2326" s="0" t="s">
        <v>1657</v>
      </c>
    </row>
    <row r="2327" customFormat="false" ht="13.5" hidden="false" customHeight="false" outlineLevel="0" collapsed="false">
      <c r="A2327" s="0" t="s">
        <v>5094</v>
      </c>
      <c r="B2327" s="0" t="s">
        <v>5095</v>
      </c>
      <c r="C2327" s="0" t="s">
        <v>31</v>
      </c>
      <c r="D2327" s="0" t="s">
        <v>1651</v>
      </c>
    </row>
    <row r="2328" customFormat="false" ht="13.5" hidden="false" customHeight="false" outlineLevel="0" collapsed="false">
      <c r="A2328" s="0" t="s">
        <v>5096</v>
      </c>
      <c r="B2328" s="0" t="s">
        <v>5097</v>
      </c>
      <c r="C2328" s="0" t="s">
        <v>31</v>
      </c>
      <c r="D2328" s="0" t="s">
        <v>3691</v>
      </c>
    </row>
    <row r="2329" customFormat="false" ht="13.5" hidden="false" customHeight="false" outlineLevel="0" collapsed="false">
      <c r="A2329" s="0" t="s">
        <v>5098</v>
      </c>
      <c r="B2329" s="0" t="s">
        <v>5099</v>
      </c>
      <c r="C2329" s="0" t="s">
        <v>31</v>
      </c>
      <c r="D2329" s="0" t="s">
        <v>413</v>
      </c>
      <c r="E2329" s="0" t="s">
        <v>1151</v>
      </c>
    </row>
    <row r="2330" customFormat="false" ht="13.5" hidden="false" customHeight="false" outlineLevel="0" collapsed="false">
      <c r="A2330" s="0" t="s">
        <v>5100</v>
      </c>
      <c r="B2330" s="0" t="s">
        <v>5101</v>
      </c>
      <c r="C2330" s="0" t="s">
        <v>31</v>
      </c>
      <c r="D2330" s="0" t="s">
        <v>69</v>
      </c>
    </row>
    <row r="2331" customFormat="false" ht="13.5" hidden="false" customHeight="false" outlineLevel="0" collapsed="false">
      <c r="A2331" s="0" t="s">
        <v>5102</v>
      </c>
      <c r="B2331" s="0" t="s">
        <v>5103</v>
      </c>
      <c r="C2331" s="0" t="s">
        <v>31</v>
      </c>
      <c r="D2331" s="0" t="s">
        <v>5104</v>
      </c>
    </row>
    <row r="2332" customFormat="false" ht="13.5" hidden="false" customHeight="false" outlineLevel="0" collapsed="false">
      <c r="A2332" s="0" t="s">
        <v>5105</v>
      </c>
      <c r="B2332" s="0" t="s">
        <v>5106</v>
      </c>
      <c r="C2332" s="0" t="s">
        <v>31</v>
      </c>
      <c r="D2332" s="0" t="s">
        <v>3261</v>
      </c>
    </row>
    <row r="2333" customFormat="false" ht="13.5" hidden="false" customHeight="false" outlineLevel="0" collapsed="false">
      <c r="A2333" s="0" t="s">
        <v>5107</v>
      </c>
      <c r="B2333" s="0" t="s">
        <v>5108</v>
      </c>
      <c r="C2333" s="0" t="s">
        <v>31</v>
      </c>
      <c r="D2333" s="0" t="s">
        <v>2072</v>
      </c>
    </row>
    <row r="2334" customFormat="false" ht="13.5" hidden="false" customHeight="false" outlineLevel="0" collapsed="false">
      <c r="A2334" s="0" t="s">
        <v>5109</v>
      </c>
      <c r="B2334" s="0" t="s">
        <v>5110</v>
      </c>
      <c r="C2334" s="0" t="s">
        <v>31</v>
      </c>
      <c r="D2334" s="0" t="s">
        <v>1761</v>
      </c>
    </row>
    <row r="2335" customFormat="false" ht="13.5" hidden="false" customHeight="false" outlineLevel="0" collapsed="false">
      <c r="A2335" s="0" t="s">
        <v>5111</v>
      </c>
      <c r="B2335" s="0" t="s">
        <v>5112</v>
      </c>
      <c r="C2335" s="0" t="s">
        <v>31</v>
      </c>
      <c r="D2335" s="0" t="s">
        <v>2072</v>
      </c>
    </row>
    <row r="2336" customFormat="false" ht="13.5" hidden="false" customHeight="false" outlineLevel="0" collapsed="false">
      <c r="A2336" s="0" t="s">
        <v>5113</v>
      </c>
      <c r="B2336" s="0" t="s">
        <v>5114</v>
      </c>
      <c r="C2336" s="0" t="s">
        <v>31</v>
      </c>
      <c r="D2336" s="0" t="s">
        <v>1737</v>
      </c>
    </row>
    <row r="2337" customFormat="false" ht="13.5" hidden="false" customHeight="false" outlineLevel="0" collapsed="false">
      <c r="A2337" s="0" t="s">
        <v>5115</v>
      </c>
      <c r="B2337" s="0" t="s">
        <v>5116</v>
      </c>
      <c r="C2337" s="0" t="s">
        <v>31</v>
      </c>
      <c r="D2337" s="0" t="s">
        <v>2878</v>
      </c>
    </row>
    <row r="2338" customFormat="false" ht="13.5" hidden="false" customHeight="false" outlineLevel="0" collapsed="false">
      <c r="A2338" s="0" t="s">
        <v>5117</v>
      </c>
      <c r="B2338" s="0" t="s">
        <v>5118</v>
      </c>
      <c r="C2338" s="0" t="s">
        <v>31</v>
      </c>
      <c r="D2338" s="0" t="s">
        <v>1540</v>
      </c>
    </row>
    <row r="2339" customFormat="false" ht="13.5" hidden="false" customHeight="false" outlineLevel="0" collapsed="false">
      <c r="A2339" s="0" t="s">
        <v>5119</v>
      </c>
      <c r="B2339" s="0" t="s">
        <v>5120</v>
      </c>
      <c r="C2339" s="0" t="s">
        <v>31</v>
      </c>
      <c r="D2339" s="0" t="s">
        <v>4040</v>
      </c>
    </row>
    <row r="2340" customFormat="false" ht="13.5" hidden="false" customHeight="false" outlineLevel="0" collapsed="false">
      <c r="A2340" s="0" t="s">
        <v>5121</v>
      </c>
      <c r="B2340" s="0" t="s">
        <v>5122</v>
      </c>
      <c r="C2340" s="0" t="s">
        <v>31</v>
      </c>
      <c r="D2340" s="0" t="s">
        <v>2701</v>
      </c>
    </row>
    <row r="2341" customFormat="false" ht="13.5" hidden="false" customHeight="false" outlineLevel="0" collapsed="false">
      <c r="A2341" s="0" t="s">
        <v>5123</v>
      </c>
      <c r="B2341" s="0" t="s">
        <v>5124</v>
      </c>
      <c r="C2341" s="0" t="s">
        <v>31</v>
      </c>
      <c r="D2341" s="0" t="s">
        <v>413</v>
      </c>
      <c r="E2341" s="0" t="s">
        <v>53</v>
      </c>
    </row>
    <row r="2342" customFormat="false" ht="13.5" hidden="false" customHeight="false" outlineLevel="0" collapsed="false">
      <c r="A2342" s="0" t="s">
        <v>5125</v>
      </c>
      <c r="B2342" s="0" t="s">
        <v>5126</v>
      </c>
      <c r="C2342" s="0" t="s">
        <v>31</v>
      </c>
      <c r="D2342" s="0" t="s">
        <v>1651</v>
      </c>
    </row>
    <row r="2343" customFormat="false" ht="13.5" hidden="false" customHeight="false" outlineLevel="0" collapsed="false">
      <c r="A2343" s="0" t="s">
        <v>5127</v>
      </c>
      <c r="B2343" s="0" t="s">
        <v>5128</v>
      </c>
      <c r="C2343" s="0" t="s">
        <v>31</v>
      </c>
      <c r="D2343" s="0" t="s">
        <v>5129</v>
      </c>
    </row>
    <row r="2344" customFormat="false" ht="13.5" hidden="false" customHeight="false" outlineLevel="0" collapsed="false">
      <c r="A2344" s="0" t="s">
        <v>5130</v>
      </c>
      <c r="B2344" s="0" t="s">
        <v>5131</v>
      </c>
      <c r="C2344" s="0" t="s">
        <v>31</v>
      </c>
      <c r="D2344" s="0" t="s">
        <v>1572</v>
      </c>
    </row>
    <row r="2345" customFormat="false" ht="13.5" hidden="false" customHeight="false" outlineLevel="0" collapsed="false">
      <c r="A2345" s="0" t="s">
        <v>5132</v>
      </c>
      <c r="B2345" s="0" t="s">
        <v>5133</v>
      </c>
      <c r="C2345" s="0" t="s">
        <v>31</v>
      </c>
      <c r="D2345" s="0" t="s">
        <v>1540</v>
      </c>
    </row>
    <row r="2346" customFormat="false" ht="13.5" hidden="false" customHeight="false" outlineLevel="0" collapsed="false">
      <c r="A2346" s="0" t="s">
        <v>5134</v>
      </c>
      <c r="B2346" s="0" t="s">
        <v>5135</v>
      </c>
      <c r="C2346" s="0" t="s">
        <v>31</v>
      </c>
      <c r="D2346" s="0" t="s">
        <v>413</v>
      </c>
      <c r="E2346" s="0" t="s">
        <v>1043</v>
      </c>
    </row>
    <row r="2347" customFormat="false" ht="13.5" hidden="false" customHeight="false" outlineLevel="0" collapsed="false">
      <c r="A2347" s="0" t="s">
        <v>5136</v>
      </c>
      <c r="B2347" s="0" t="s">
        <v>5137</v>
      </c>
      <c r="C2347" s="0" t="s">
        <v>31</v>
      </c>
      <c r="D2347" s="0" t="s">
        <v>1704</v>
      </c>
    </row>
    <row r="2348" customFormat="false" ht="13.5" hidden="false" customHeight="false" outlineLevel="0" collapsed="false">
      <c r="A2348" s="0" t="s">
        <v>5138</v>
      </c>
      <c r="B2348" s="0" t="s">
        <v>5139</v>
      </c>
      <c r="C2348" s="0" t="s">
        <v>31</v>
      </c>
      <c r="D2348" s="0" t="s">
        <v>413</v>
      </c>
      <c r="E2348" s="0" t="s">
        <v>898</v>
      </c>
    </row>
    <row r="2349" customFormat="false" ht="13.5" hidden="false" customHeight="false" outlineLevel="0" collapsed="false">
      <c r="A2349" s="0" t="s">
        <v>5140</v>
      </c>
      <c r="B2349" s="0" t="s">
        <v>5141</v>
      </c>
      <c r="C2349" s="0" t="s">
        <v>31</v>
      </c>
      <c r="D2349" s="0" t="s">
        <v>413</v>
      </c>
      <c r="E2349" s="0" t="s">
        <v>12</v>
      </c>
      <c r="F2349" s="0" t="s">
        <v>60</v>
      </c>
    </row>
    <row r="2350" customFormat="false" ht="13.5" hidden="false" customHeight="false" outlineLevel="0" collapsed="false">
      <c r="A2350" s="0" t="s">
        <v>5142</v>
      </c>
      <c r="B2350" s="0" t="s">
        <v>5143</v>
      </c>
      <c r="C2350" s="0" t="s">
        <v>31</v>
      </c>
      <c r="D2350" s="0" t="s">
        <v>1513</v>
      </c>
    </row>
    <row r="2351" customFormat="false" ht="13.5" hidden="false" customHeight="false" outlineLevel="0" collapsed="false">
      <c r="A2351" s="0" t="s">
        <v>5144</v>
      </c>
      <c r="B2351" s="0" t="s">
        <v>5145</v>
      </c>
      <c r="C2351" s="0" t="s">
        <v>31</v>
      </c>
      <c r="D2351" s="0" t="s">
        <v>413</v>
      </c>
      <c r="E2351" s="0" t="s">
        <v>1459</v>
      </c>
    </row>
    <row r="2352" customFormat="false" ht="13.5" hidden="false" customHeight="false" outlineLevel="0" collapsed="false">
      <c r="A2352" s="0" t="s">
        <v>5146</v>
      </c>
      <c r="B2352" s="0" t="s">
        <v>5147</v>
      </c>
      <c r="C2352" s="0" t="s">
        <v>31</v>
      </c>
      <c r="D2352" s="0" t="s">
        <v>2072</v>
      </c>
    </row>
    <row r="2353" customFormat="false" ht="13.5" hidden="false" customHeight="false" outlineLevel="0" collapsed="false">
      <c r="A2353" s="0" t="s">
        <v>5148</v>
      </c>
      <c r="B2353" s="0" t="s">
        <v>5149</v>
      </c>
      <c r="C2353" s="0" t="s">
        <v>31</v>
      </c>
      <c r="D2353" s="0" t="s">
        <v>1924</v>
      </c>
    </row>
    <row r="2354" customFormat="false" ht="13.5" hidden="false" customHeight="false" outlineLevel="0" collapsed="false">
      <c r="A2354" s="0" t="s">
        <v>5150</v>
      </c>
      <c r="B2354" s="0" t="s">
        <v>5151</v>
      </c>
      <c r="C2354" s="0" t="s">
        <v>31</v>
      </c>
      <c r="D2354" s="0" t="s">
        <v>2356</v>
      </c>
    </row>
    <row r="2355" customFormat="false" ht="13.5" hidden="false" customHeight="false" outlineLevel="0" collapsed="false">
      <c r="A2355" s="0" t="s">
        <v>5152</v>
      </c>
      <c r="B2355" s="0" t="s">
        <v>5095</v>
      </c>
      <c r="C2355" s="0" t="s">
        <v>31</v>
      </c>
      <c r="D2355" s="0" t="s">
        <v>1651</v>
      </c>
    </row>
    <row r="2356" customFormat="false" ht="13.5" hidden="false" customHeight="false" outlineLevel="0" collapsed="false">
      <c r="A2356" s="0" t="s">
        <v>5153</v>
      </c>
      <c r="B2356" s="0" t="s">
        <v>5154</v>
      </c>
      <c r="C2356" s="0" t="s">
        <v>31</v>
      </c>
      <c r="D2356" s="0" t="s">
        <v>4333</v>
      </c>
      <c r="E2356" s="0" t="s">
        <v>5155</v>
      </c>
    </row>
    <row r="2357" customFormat="false" ht="13.5" hidden="false" customHeight="false" outlineLevel="0" collapsed="false">
      <c r="A2357" s="0" t="s">
        <v>5156</v>
      </c>
      <c r="B2357" s="0" t="s">
        <v>5157</v>
      </c>
      <c r="C2357" s="0" t="s">
        <v>31</v>
      </c>
      <c r="D2357" s="0" t="s">
        <v>413</v>
      </c>
      <c r="E2357" s="0" t="s">
        <v>98</v>
      </c>
    </row>
    <row r="2358" customFormat="false" ht="13.5" hidden="false" customHeight="false" outlineLevel="0" collapsed="false">
      <c r="A2358" s="0" t="s">
        <v>5158</v>
      </c>
      <c r="B2358" s="0" t="s">
        <v>4415</v>
      </c>
      <c r="C2358" s="0" t="s">
        <v>31</v>
      </c>
      <c r="D2358" s="0" t="s">
        <v>4581</v>
      </c>
    </row>
    <row r="2359" customFormat="false" ht="13.5" hidden="false" customHeight="false" outlineLevel="0" collapsed="false">
      <c r="A2359" s="0" t="s">
        <v>5159</v>
      </c>
      <c r="B2359" s="0" t="s">
        <v>5160</v>
      </c>
      <c r="C2359" s="0" t="s">
        <v>31</v>
      </c>
      <c r="D2359" s="0" t="s">
        <v>19</v>
      </c>
      <c r="E2359" s="0" t="s">
        <v>1253</v>
      </c>
      <c r="F2359" s="0" t="s">
        <v>60</v>
      </c>
    </row>
    <row r="2360" customFormat="false" ht="13.5" hidden="false" customHeight="false" outlineLevel="0" collapsed="false">
      <c r="A2360" s="0" t="s">
        <v>5161</v>
      </c>
      <c r="B2360" s="0" t="s">
        <v>5162</v>
      </c>
      <c r="C2360" s="0" t="s">
        <v>31</v>
      </c>
      <c r="D2360" s="0" t="s">
        <v>1704</v>
      </c>
    </row>
    <row r="2361" customFormat="false" ht="13.5" hidden="false" customHeight="false" outlineLevel="0" collapsed="false">
      <c r="A2361" s="0" t="s">
        <v>5163</v>
      </c>
      <c r="B2361" s="0" t="s">
        <v>5164</v>
      </c>
      <c r="C2361" s="0" t="s">
        <v>31</v>
      </c>
      <c r="D2361" s="0" t="s">
        <v>1592</v>
      </c>
    </row>
    <row r="2362" customFormat="false" ht="13.5" hidden="false" customHeight="false" outlineLevel="0" collapsed="false">
      <c r="A2362" s="0" t="s">
        <v>5165</v>
      </c>
      <c r="B2362" s="0" t="s">
        <v>5166</v>
      </c>
      <c r="C2362" s="0" t="s">
        <v>31</v>
      </c>
      <c r="D2362" s="0" t="s">
        <v>1592</v>
      </c>
    </row>
    <row r="2363" customFormat="false" ht="13.5" hidden="false" customHeight="false" outlineLevel="0" collapsed="false">
      <c r="A2363" s="0" t="s">
        <v>5167</v>
      </c>
      <c r="B2363" s="0" t="s">
        <v>5168</v>
      </c>
      <c r="C2363" s="0" t="s">
        <v>31</v>
      </c>
      <c r="D2363" s="0" t="s">
        <v>1513</v>
      </c>
    </row>
    <row r="2364" customFormat="false" ht="13.5" hidden="false" customHeight="false" outlineLevel="0" collapsed="false">
      <c r="A2364" s="0" t="s">
        <v>5169</v>
      </c>
      <c r="B2364" s="0" t="s">
        <v>4342</v>
      </c>
      <c r="C2364" s="0" t="s">
        <v>31</v>
      </c>
      <c r="D2364" s="0" t="s">
        <v>3711</v>
      </c>
    </row>
    <row r="2365" customFormat="false" ht="13.5" hidden="false" customHeight="false" outlineLevel="0" collapsed="false">
      <c r="A2365" s="0" t="s">
        <v>5170</v>
      </c>
      <c r="B2365" s="0" t="s">
        <v>5171</v>
      </c>
      <c r="C2365" s="0" t="s">
        <v>31</v>
      </c>
      <c r="D2365" s="0" t="s">
        <v>413</v>
      </c>
      <c r="E2365" s="0" t="s">
        <v>150</v>
      </c>
    </row>
    <row r="2366" customFormat="false" ht="13.5" hidden="false" customHeight="false" outlineLevel="0" collapsed="false">
      <c r="A2366" s="0" t="s">
        <v>5172</v>
      </c>
      <c r="B2366" s="0" t="s">
        <v>5173</v>
      </c>
      <c r="C2366" s="0" t="s">
        <v>31</v>
      </c>
      <c r="D2366" s="0" t="s">
        <v>1572</v>
      </c>
    </row>
    <row r="2367" customFormat="false" ht="13.5" hidden="false" customHeight="false" outlineLevel="0" collapsed="false">
      <c r="A2367" s="0" t="s">
        <v>5174</v>
      </c>
      <c r="B2367" s="0" t="s">
        <v>5175</v>
      </c>
      <c r="C2367" s="0" t="s">
        <v>31</v>
      </c>
      <c r="D2367" s="0" t="s">
        <v>1592</v>
      </c>
    </row>
    <row r="2368" customFormat="false" ht="13.5" hidden="false" customHeight="false" outlineLevel="0" collapsed="false">
      <c r="A2368" s="0" t="s">
        <v>5176</v>
      </c>
      <c r="B2368" s="0" t="s">
        <v>5177</v>
      </c>
      <c r="C2368" s="0" t="s">
        <v>31</v>
      </c>
      <c r="D2368" s="0" t="s">
        <v>2386</v>
      </c>
    </row>
    <row r="2369" customFormat="false" ht="13.5" hidden="false" customHeight="false" outlineLevel="0" collapsed="false">
      <c r="A2369" s="0" t="s">
        <v>5178</v>
      </c>
      <c r="B2369" s="0" t="s">
        <v>5179</v>
      </c>
      <c r="C2369" s="0" t="s">
        <v>31</v>
      </c>
      <c r="D2369" s="0" t="s">
        <v>1592</v>
      </c>
    </row>
    <row r="2370" customFormat="false" ht="13.5" hidden="false" customHeight="false" outlineLevel="0" collapsed="false">
      <c r="A2370" s="0" t="s">
        <v>5180</v>
      </c>
      <c r="B2370" s="0" t="s">
        <v>5181</v>
      </c>
      <c r="C2370" s="0" t="s">
        <v>31</v>
      </c>
      <c r="D2370" s="0" t="s">
        <v>413</v>
      </c>
      <c r="E2370" s="0" t="s">
        <v>150</v>
      </c>
    </row>
    <row r="2371" customFormat="false" ht="13.5" hidden="false" customHeight="false" outlineLevel="0" collapsed="false">
      <c r="A2371" s="0" t="s">
        <v>5182</v>
      </c>
      <c r="B2371" s="0" t="s">
        <v>5183</v>
      </c>
      <c r="C2371" s="0" t="s">
        <v>31</v>
      </c>
      <c r="D2371" s="0" t="s">
        <v>1699</v>
      </c>
    </row>
    <row r="2372" customFormat="false" ht="13.5" hidden="false" customHeight="false" outlineLevel="0" collapsed="false">
      <c r="A2372" s="0" t="s">
        <v>5184</v>
      </c>
      <c r="B2372" s="0" t="s">
        <v>5185</v>
      </c>
      <c r="C2372" s="0" t="s">
        <v>31</v>
      </c>
      <c r="D2372" s="0" t="s">
        <v>1513</v>
      </c>
    </row>
    <row r="2373" customFormat="false" ht="13.5" hidden="false" customHeight="false" outlineLevel="0" collapsed="false">
      <c r="A2373" s="0" t="s">
        <v>5186</v>
      </c>
      <c r="B2373" s="0" t="s">
        <v>5187</v>
      </c>
      <c r="C2373" s="0" t="s">
        <v>31</v>
      </c>
      <c r="D2373" s="0" t="s">
        <v>19</v>
      </c>
      <c r="E2373" s="0" t="s">
        <v>1151</v>
      </c>
      <c r="F2373" s="0" t="s">
        <v>60</v>
      </c>
    </row>
    <row r="2374" customFormat="false" ht="13.5" hidden="false" customHeight="false" outlineLevel="0" collapsed="false">
      <c r="A2374" s="0" t="s">
        <v>5188</v>
      </c>
      <c r="B2374" s="0" t="s">
        <v>5189</v>
      </c>
      <c r="C2374" s="0" t="s">
        <v>31</v>
      </c>
      <c r="D2374" s="0" t="s">
        <v>1505</v>
      </c>
    </row>
    <row r="2375" customFormat="false" ht="13.5" hidden="false" customHeight="false" outlineLevel="0" collapsed="false">
      <c r="A2375" s="0" t="s">
        <v>5190</v>
      </c>
      <c r="B2375" s="0" t="s">
        <v>4472</v>
      </c>
      <c r="C2375" s="0" t="s">
        <v>31</v>
      </c>
      <c r="D2375" s="0" t="s">
        <v>3711</v>
      </c>
    </row>
    <row r="2376" customFormat="false" ht="13.5" hidden="false" customHeight="false" outlineLevel="0" collapsed="false">
      <c r="A2376" s="0" t="s">
        <v>5191</v>
      </c>
      <c r="B2376" s="0" t="s">
        <v>5192</v>
      </c>
      <c r="C2376" s="0" t="s">
        <v>31</v>
      </c>
      <c r="D2376" s="0" t="s">
        <v>413</v>
      </c>
      <c r="E2376" s="0" t="s">
        <v>5193</v>
      </c>
    </row>
    <row r="2377" customFormat="false" ht="13.5" hidden="false" customHeight="false" outlineLevel="0" collapsed="false">
      <c r="A2377" s="0" t="s">
        <v>5194</v>
      </c>
      <c r="B2377" s="0" t="s">
        <v>5195</v>
      </c>
      <c r="C2377" s="0" t="s">
        <v>31</v>
      </c>
      <c r="D2377" s="0" t="s">
        <v>2701</v>
      </c>
    </row>
    <row r="2378" customFormat="false" ht="13.5" hidden="false" customHeight="false" outlineLevel="0" collapsed="false">
      <c r="A2378" s="0" t="s">
        <v>5196</v>
      </c>
      <c r="B2378" s="0" t="s">
        <v>5197</v>
      </c>
      <c r="C2378" s="0" t="s">
        <v>31</v>
      </c>
      <c r="D2378" s="0" t="s">
        <v>5198</v>
      </c>
    </row>
    <row r="2379" customFormat="false" ht="13.5" hidden="false" customHeight="false" outlineLevel="0" collapsed="false">
      <c r="A2379" s="0" t="s">
        <v>5199</v>
      </c>
      <c r="B2379" s="0" t="s">
        <v>5200</v>
      </c>
      <c r="C2379" s="0" t="s">
        <v>31</v>
      </c>
      <c r="D2379" s="0" t="s">
        <v>4819</v>
      </c>
    </row>
    <row r="2380" customFormat="false" ht="13.5" hidden="false" customHeight="false" outlineLevel="0" collapsed="false">
      <c r="A2380" s="0" t="s">
        <v>5201</v>
      </c>
      <c r="B2380" s="0" t="s">
        <v>5202</v>
      </c>
      <c r="C2380" s="0" t="s">
        <v>31</v>
      </c>
      <c r="D2380" s="0" t="s">
        <v>2552</v>
      </c>
    </row>
    <row r="2381" customFormat="false" ht="13.5" hidden="false" customHeight="false" outlineLevel="0" collapsed="false">
      <c r="A2381" s="0" t="s">
        <v>5203</v>
      </c>
      <c r="B2381" s="0" t="s">
        <v>5204</v>
      </c>
      <c r="C2381" s="0" t="s">
        <v>31</v>
      </c>
      <c r="D2381" s="0" t="s">
        <v>4581</v>
      </c>
    </row>
    <row r="2382" customFormat="false" ht="13.5" hidden="false" customHeight="false" outlineLevel="0" collapsed="false">
      <c r="A2382" s="0" t="s">
        <v>5205</v>
      </c>
      <c r="B2382" s="0" t="s">
        <v>5206</v>
      </c>
      <c r="C2382" s="0" t="s">
        <v>31</v>
      </c>
      <c r="D2382" s="0" t="s">
        <v>2830</v>
      </c>
    </row>
    <row r="2383" customFormat="false" ht="13.5" hidden="false" customHeight="false" outlineLevel="0" collapsed="false">
      <c r="A2383" s="0" t="s">
        <v>5207</v>
      </c>
      <c r="B2383" s="0" t="s">
        <v>5208</v>
      </c>
      <c r="C2383" s="0" t="s">
        <v>31</v>
      </c>
      <c r="D2383" s="0" t="s">
        <v>3276</v>
      </c>
    </row>
    <row r="2384" customFormat="false" ht="13.5" hidden="false" customHeight="false" outlineLevel="0" collapsed="false">
      <c r="A2384" s="0" t="s">
        <v>5209</v>
      </c>
      <c r="B2384" s="0" t="s">
        <v>5210</v>
      </c>
      <c r="C2384" s="0" t="s">
        <v>31</v>
      </c>
      <c r="D2384" s="0" t="s">
        <v>1592</v>
      </c>
    </row>
    <row r="2385" customFormat="false" ht="13.5" hidden="false" customHeight="false" outlineLevel="0" collapsed="false">
      <c r="A2385" s="0" t="s">
        <v>5211</v>
      </c>
      <c r="B2385" s="0" t="s">
        <v>5212</v>
      </c>
      <c r="C2385" s="0" t="s">
        <v>31</v>
      </c>
      <c r="D2385" s="0" t="s">
        <v>413</v>
      </c>
      <c r="E2385" s="0" t="s">
        <v>36</v>
      </c>
      <c r="F2385" s="0" t="s">
        <v>1669</v>
      </c>
    </row>
    <row r="2386" customFormat="false" ht="13.5" hidden="false" customHeight="false" outlineLevel="0" collapsed="false">
      <c r="A2386" s="0" t="s">
        <v>5213</v>
      </c>
      <c r="B2386" s="0" t="s">
        <v>5214</v>
      </c>
      <c r="C2386" s="0" t="s">
        <v>31</v>
      </c>
      <c r="D2386" s="0" t="s">
        <v>2871</v>
      </c>
    </row>
    <row r="2387" customFormat="false" ht="13.5" hidden="false" customHeight="false" outlineLevel="0" collapsed="false">
      <c r="A2387" s="0" t="s">
        <v>5215</v>
      </c>
      <c r="B2387" s="0" t="s">
        <v>5216</v>
      </c>
      <c r="C2387" s="0" t="s">
        <v>31</v>
      </c>
      <c r="D2387" s="0" t="s">
        <v>24</v>
      </c>
      <c r="E2387" s="0" t="s">
        <v>12</v>
      </c>
      <c r="F2387" s="0" t="s">
        <v>1782</v>
      </c>
    </row>
    <row r="2388" customFormat="false" ht="13.5" hidden="false" customHeight="false" outlineLevel="0" collapsed="false">
      <c r="A2388" s="0" t="s">
        <v>5217</v>
      </c>
      <c r="B2388" s="0" t="s">
        <v>5218</v>
      </c>
      <c r="C2388" s="0" t="s">
        <v>31</v>
      </c>
      <c r="D2388" s="0" t="s">
        <v>1527</v>
      </c>
    </row>
    <row r="2389" customFormat="false" ht="13.5" hidden="false" customHeight="false" outlineLevel="0" collapsed="false">
      <c r="A2389" s="0" t="s">
        <v>5219</v>
      </c>
      <c r="B2389" s="0" t="s">
        <v>5220</v>
      </c>
      <c r="C2389" s="0" t="s">
        <v>31</v>
      </c>
      <c r="D2389" s="0" t="s">
        <v>413</v>
      </c>
      <c r="E2389" s="0" t="s">
        <v>5221</v>
      </c>
    </row>
    <row r="2390" customFormat="false" ht="13.5" hidden="false" customHeight="false" outlineLevel="0" collapsed="false">
      <c r="A2390" s="0" t="s">
        <v>5222</v>
      </c>
      <c r="B2390" s="0" t="s">
        <v>5223</v>
      </c>
      <c r="C2390" s="0" t="s">
        <v>31</v>
      </c>
      <c r="D2390" s="0" t="s">
        <v>3628</v>
      </c>
    </row>
    <row r="2391" customFormat="false" ht="13.5" hidden="false" customHeight="false" outlineLevel="0" collapsed="false">
      <c r="A2391" s="0" t="s">
        <v>5224</v>
      </c>
      <c r="B2391" s="0" t="s">
        <v>5225</v>
      </c>
      <c r="C2391" s="0" t="s">
        <v>31</v>
      </c>
      <c r="D2391" s="0" t="s">
        <v>1704</v>
      </c>
    </row>
    <row r="2392" customFormat="false" ht="13.5" hidden="false" customHeight="false" outlineLevel="0" collapsed="false">
      <c r="A2392" s="0" t="s">
        <v>5226</v>
      </c>
      <c r="B2392" s="0" t="s">
        <v>5227</v>
      </c>
      <c r="C2392" s="0" t="s">
        <v>31</v>
      </c>
      <c r="D2392" s="0" t="s">
        <v>3276</v>
      </c>
    </row>
    <row r="2393" customFormat="false" ht="13.5" hidden="false" customHeight="false" outlineLevel="0" collapsed="false">
      <c r="A2393" s="0" t="s">
        <v>5228</v>
      </c>
      <c r="B2393" s="0" t="s">
        <v>5229</v>
      </c>
      <c r="C2393" s="0" t="s">
        <v>31</v>
      </c>
      <c r="D2393" s="0" t="s">
        <v>2871</v>
      </c>
    </row>
    <row r="2394" customFormat="false" ht="13.5" hidden="false" customHeight="false" outlineLevel="0" collapsed="false">
      <c r="A2394" s="0" t="s">
        <v>5230</v>
      </c>
      <c r="B2394" s="0" t="s">
        <v>5231</v>
      </c>
      <c r="C2394" s="0" t="s">
        <v>31</v>
      </c>
      <c r="D2394" s="0" t="s">
        <v>2072</v>
      </c>
    </row>
    <row r="2395" customFormat="false" ht="13.5" hidden="false" customHeight="false" outlineLevel="0" collapsed="false">
      <c r="A2395" s="0" t="s">
        <v>5232</v>
      </c>
      <c r="B2395" s="0" t="s">
        <v>5233</v>
      </c>
      <c r="C2395" s="0" t="s">
        <v>31</v>
      </c>
      <c r="D2395" s="0" t="s">
        <v>3077</v>
      </c>
    </row>
    <row r="2396" customFormat="false" ht="13.5" hidden="false" customHeight="false" outlineLevel="0" collapsed="false">
      <c r="A2396" s="0" t="s">
        <v>5234</v>
      </c>
      <c r="B2396" s="0" t="s">
        <v>5235</v>
      </c>
      <c r="C2396" s="0" t="s">
        <v>31</v>
      </c>
      <c r="D2396" s="0" t="s">
        <v>413</v>
      </c>
      <c r="E2396" s="0" t="s">
        <v>1292</v>
      </c>
    </row>
    <row r="2397" customFormat="false" ht="13.5" hidden="false" customHeight="false" outlineLevel="0" collapsed="false">
      <c r="A2397" s="0" t="s">
        <v>5236</v>
      </c>
      <c r="B2397" s="0" t="s">
        <v>5237</v>
      </c>
      <c r="C2397" s="0" t="s">
        <v>31</v>
      </c>
      <c r="D2397" s="0" t="s">
        <v>413</v>
      </c>
      <c r="E2397" s="0" t="s">
        <v>5238</v>
      </c>
    </row>
    <row r="2398" customFormat="false" ht="13.5" hidden="false" customHeight="false" outlineLevel="0" collapsed="false">
      <c r="A2398" s="0" t="s">
        <v>5239</v>
      </c>
      <c r="B2398" s="0" t="s">
        <v>5240</v>
      </c>
      <c r="C2398" s="0" t="s">
        <v>31</v>
      </c>
      <c r="D2398" s="0" t="s">
        <v>2386</v>
      </c>
      <c r="F2398" s="0" t="s">
        <v>1669</v>
      </c>
    </row>
    <row r="2399" customFormat="false" ht="13.5" hidden="false" customHeight="false" outlineLevel="0" collapsed="false">
      <c r="A2399" s="0" t="s">
        <v>5241</v>
      </c>
      <c r="B2399" s="0" t="s">
        <v>5242</v>
      </c>
      <c r="C2399" s="0" t="s">
        <v>31</v>
      </c>
      <c r="D2399" s="0" t="s">
        <v>1508</v>
      </c>
    </row>
    <row r="2400" customFormat="false" ht="13.5" hidden="false" customHeight="false" outlineLevel="0" collapsed="false">
      <c r="A2400" s="0" t="s">
        <v>5243</v>
      </c>
      <c r="B2400" s="0" t="s">
        <v>5244</v>
      </c>
      <c r="C2400" s="0" t="s">
        <v>31</v>
      </c>
      <c r="D2400" s="0" t="s">
        <v>2739</v>
      </c>
    </row>
    <row r="2401" customFormat="false" ht="13.5" hidden="false" customHeight="false" outlineLevel="0" collapsed="false">
      <c r="A2401" s="0" t="s">
        <v>5245</v>
      </c>
      <c r="B2401" s="0" t="s">
        <v>5246</v>
      </c>
      <c r="C2401" s="0" t="s">
        <v>31</v>
      </c>
      <c r="D2401" s="0" t="s">
        <v>5198</v>
      </c>
    </row>
    <row r="2402" customFormat="false" ht="13.5" hidden="false" customHeight="false" outlineLevel="0" collapsed="false">
      <c r="A2402" s="0" t="s">
        <v>5247</v>
      </c>
      <c r="B2402" s="0" t="s">
        <v>5248</v>
      </c>
      <c r="C2402" s="0" t="s">
        <v>31</v>
      </c>
      <c r="D2402" s="0" t="s">
        <v>69</v>
      </c>
    </row>
    <row r="2403" customFormat="false" ht="13.5" hidden="false" customHeight="false" outlineLevel="0" collapsed="false">
      <c r="A2403" s="0" t="s">
        <v>5249</v>
      </c>
      <c r="B2403" s="0" t="s">
        <v>5250</v>
      </c>
      <c r="C2403" s="0" t="s">
        <v>31</v>
      </c>
      <c r="D2403" s="0" t="s">
        <v>2072</v>
      </c>
    </row>
    <row r="2404" customFormat="false" ht="13.5" hidden="false" customHeight="false" outlineLevel="0" collapsed="false">
      <c r="A2404" s="0" t="s">
        <v>5251</v>
      </c>
      <c r="B2404" s="0" t="s">
        <v>5252</v>
      </c>
      <c r="C2404" s="0" t="s">
        <v>31</v>
      </c>
      <c r="D2404" s="0" t="s">
        <v>2072</v>
      </c>
    </row>
    <row r="2405" customFormat="false" ht="13.5" hidden="false" customHeight="false" outlineLevel="0" collapsed="false">
      <c r="A2405" s="0" t="s">
        <v>5253</v>
      </c>
      <c r="B2405" s="0" t="s">
        <v>5254</v>
      </c>
      <c r="C2405" s="0" t="s">
        <v>31</v>
      </c>
      <c r="D2405" s="0" t="s">
        <v>1957</v>
      </c>
    </row>
    <row r="2406" customFormat="false" ht="13.5" hidden="false" customHeight="false" outlineLevel="0" collapsed="false">
      <c r="A2406" s="0" t="s">
        <v>5255</v>
      </c>
      <c r="B2406" s="0" t="s">
        <v>5256</v>
      </c>
      <c r="C2406" s="0" t="s">
        <v>31</v>
      </c>
      <c r="D2406" s="0" t="s">
        <v>16</v>
      </c>
      <c r="E2406" s="0" t="s">
        <v>98</v>
      </c>
      <c r="F2406" s="0" t="s">
        <v>1782</v>
      </c>
    </row>
    <row r="2407" customFormat="false" ht="13.5" hidden="false" customHeight="false" outlineLevel="0" collapsed="false">
      <c r="A2407" s="0" t="s">
        <v>5257</v>
      </c>
      <c r="B2407" s="0" t="s">
        <v>5258</v>
      </c>
      <c r="C2407" s="0" t="s">
        <v>31</v>
      </c>
      <c r="D2407" s="0" t="s">
        <v>1527</v>
      </c>
    </row>
    <row r="2408" customFormat="false" ht="13.5" hidden="false" customHeight="false" outlineLevel="0" collapsed="false">
      <c r="A2408" s="0" t="s">
        <v>5259</v>
      </c>
      <c r="B2408" s="0" t="s">
        <v>5260</v>
      </c>
      <c r="C2408" s="0" t="s">
        <v>31</v>
      </c>
      <c r="D2408" s="0" t="s">
        <v>2072</v>
      </c>
    </row>
    <row r="2409" customFormat="false" ht="13.5" hidden="false" customHeight="false" outlineLevel="0" collapsed="false">
      <c r="A2409" s="0" t="s">
        <v>5261</v>
      </c>
      <c r="B2409" s="0" t="s">
        <v>5262</v>
      </c>
      <c r="C2409" s="0" t="s">
        <v>31</v>
      </c>
      <c r="D2409" s="0" t="s">
        <v>2072</v>
      </c>
    </row>
    <row r="2410" customFormat="false" ht="13.5" hidden="false" customHeight="false" outlineLevel="0" collapsed="false">
      <c r="A2410" s="0" t="s">
        <v>5263</v>
      </c>
      <c r="B2410" s="0" t="s">
        <v>5264</v>
      </c>
      <c r="C2410" s="0" t="s">
        <v>31</v>
      </c>
      <c r="D2410" s="0" t="s">
        <v>69</v>
      </c>
    </row>
    <row r="2411" customFormat="false" ht="13.5" hidden="false" customHeight="false" outlineLevel="0" collapsed="false">
      <c r="A2411" s="0" t="s">
        <v>5265</v>
      </c>
      <c r="B2411" s="0" t="s">
        <v>5266</v>
      </c>
      <c r="C2411" s="0" t="s">
        <v>31</v>
      </c>
      <c r="D2411" s="0" t="s">
        <v>2386</v>
      </c>
    </row>
    <row r="2412" customFormat="false" ht="13.5" hidden="false" customHeight="false" outlineLevel="0" collapsed="false">
      <c r="A2412" s="0" t="s">
        <v>5267</v>
      </c>
      <c r="B2412" s="0" t="s">
        <v>5268</v>
      </c>
      <c r="C2412" s="0" t="s">
        <v>31</v>
      </c>
      <c r="D2412" s="0" t="s">
        <v>1505</v>
      </c>
    </row>
    <row r="2413" customFormat="false" ht="13.5" hidden="false" customHeight="false" outlineLevel="0" collapsed="false">
      <c r="A2413" s="0" t="s">
        <v>5269</v>
      </c>
      <c r="B2413" s="0" t="s">
        <v>5270</v>
      </c>
      <c r="C2413" s="0" t="s">
        <v>31</v>
      </c>
      <c r="D2413" s="0" t="s">
        <v>1592</v>
      </c>
    </row>
    <row r="2414" customFormat="false" ht="13.5" hidden="false" customHeight="false" outlineLevel="0" collapsed="false">
      <c r="A2414" s="0" t="s">
        <v>5271</v>
      </c>
      <c r="B2414" s="0" t="s">
        <v>5272</v>
      </c>
      <c r="C2414" s="0" t="s">
        <v>31</v>
      </c>
      <c r="D2414" s="0" t="s">
        <v>2072</v>
      </c>
    </row>
    <row r="2415" customFormat="false" ht="13.5" hidden="false" customHeight="false" outlineLevel="0" collapsed="false">
      <c r="A2415" s="0" t="s">
        <v>5273</v>
      </c>
      <c r="B2415" s="0" t="s">
        <v>5274</v>
      </c>
      <c r="C2415" s="0" t="s">
        <v>31</v>
      </c>
      <c r="D2415" s="0" t="s">
        <v>1651</v>
      </c>
    </row>
    <row r="2416" customFormat="false" ht="13.5" hidden="false" customHeight="false" outlineLevel="0" collapsed="false">
      <c r="A2416" s="0" t="s">
        <v>5275</v>
      </c>
      <c r="B2416" s="0" t="s">
        <v>5276</v>
      </c>
      <c r="C2416" s="0" t="s">
        <v>31</v>
      </c>
      <c r="D2416" s="0" t="s">
        <v>2356</v>
      </c>
    </row>
    <row r="2417" customFormat="false" ht="13.5" hidden="false" customHeight="false" outlineLevel="0" collapsed="false">
      <c r="A2417" s="0" t="s">
        <v>5277</v>
      </c>
      <c r="B2417" s="0" t="s">
        <v>5278</v>
      </c>
      <c r="C2417" s="0" t="s">
        <v>31</v>
      </c>
      <c r="D2417" s="0" t="s">
        <v>2739</v>
      </c>
    </row>
    <row r="2418" customFormat="false" ht="13.5" hidden="false" customHeight="false" outlineLevel="0" collapsed="false">
      <c r="A2418" s="0" t="s">
        <v>5279</v>
      </c>
      <c r="B2418" s="0" t="s">
        <v>5280</v>
      </c>
      <c r="C2418" s="0" t="s">
        <v>31</v>
      </c>
      <c r="D2418" s="0" t="s">
        <v>2072</v>
      </c>
    </row>
    <row r="2419" customFormat="false" ht="13.5" hidden="false" customHeight="false" outlineLevel="0" collapsed="false">
      <c r="A2419" s="0" t="s">
        <v>5281</v>
      </c>
      <c r="B2419" s="0" t="s">
        <v>1618</v>
      </c>
      <c r="C2419" s="0" t="s">
        <v>31</v>
      </c>
      <c r="D2419" s="0" t="s">
        <v>1592</v>
      </c>
    </row>
    <row r="2420" customFormat="false" ht="13.5" hidden="false" customHeight="false" outlineLevel="0" collapsed="false">
      <c r="A2420" s="0" t="s">
        <v>5282</v>
      </c>
      <c r="B2420" s="0" t="s">
        <v>2738</v>
      </c>
      <c r="C2420" s="0" t="s">
        <v>31</v>
      </c>
      <c r="D2420" s="0" t="s">
        <v>16</v>
      </c>
      <c r="E2420" s="0" t="s">
        <v>36</v>
      </c>
      <c r="F2420" s="0" t="s">
        <v>1669</v>
      </c>
    </row>
    <row r="2421" customFormat="false" ht="13.5" hidden="false" customHeight="false" outlineLevel="0" collapsed="false">
      <c r="A2421" s="0" t="s">
        <v>5283</v>
      </c>
      <c r="B2421" s="0" t="s">
        <v>5284</v>
      </c>
      <c r="C2421" s="0" t="s">
        <v>31</v>
      </c>
      <c r="D2421" s="0" t="s">
        <v>5285</v>
      </c>
    </row>
    <row r="2422" customFormat="false" ht="13.5" hidden="false" customHeight="false" outlineLevel="0" collapsed="false">
      <c r="A2422" s="0" t="s">
        <v>5286</v>
      </c>
      <c r="B2422" s="0" t="s">
        <v>5287</v>
      </c>
      <c r="C2422" s="0" t="s">
        <v>31</v>
      </c>
      <c r="D2422" s="0" t="s">
        <v>2072</v>
      </c>
    </row>
    <row r="2423" customFormat="false" ht="13.5" hidden="false" customHeight="false" outlineLevel="0" collapsed="false">
      <c r="A2423" s="0" t="s">
        <v>5288</v>
      </c>
      <c r="B2423" s="0" t="s">
        <v>5289</v>
      </c>
      <c r="C2423" s="0" t="s">
        <v>31</v>
      </c>
      <c r="D2423" s="0" t="s">
        <v>1527</v>
      </c>
    </row>
    <row r="2424" customFormat="false" ht="13.5" hidden="false" customHeight="false" outlineLevel="0" collapsed="false">
      <c r="A2424" s="0" t="s">
        <v>5290</v>
      </c>
      <c r="B2424" s="0" t="s">
        <v>5291</v>
      </c>
      <c r="C2424" s="0" t="s">
        <v>31</v>
      </c>
      <c r="D2424" s="0" t="s">
        <v>3711</v>
      </c>
    </row>
    <row r="2425" customFormat="false" ht="13.5" hidden="false" customHeight="false" outlineLevel="0" collapsed="false">
      <c r="A2425" s="0" t="s">
        <v>5292</v>
      </c>
      <c r="B2425" s="0" t="s">
        <v>5293</v>
      </c>
      <c r="C2425" s="0" t="s">
        <v>31</v>
      </c>
      <c r="D2425" s="0" t="s">
        <v>5294</v>
      </c>
    </row>
    <row r="2426" customFormat="false" ht="13.5" hidden="false" customHeight="false" outlineLevel="0" collapsed="false">
      <c r="A2426" s="0" t="s">
        <v>5295</v>
      </c>
      <c r="B2426" s="0" t="s">
        <v>5296</v>
      </c>
      <c r="C2426" s="0" t="s">
        <v>31</v>
      </c>
      <c r="D2426" s="0" t="s">
        <v>1505</v>
      </c>
    </row>
    <row r="2427" customFormat="false" ht="13.5" hidden="false" customHeight="false" outlineLevel="0" collapsed="false">
      <c r="A2427" s="0" t="s">
        <v>5297</v>
      </c>
      <c r="B2427" s="0" t="s">
        <v>5298</v>
      </c>
      <c r="C2427" s="0" t="s">
        <v>31</v>
      </c>
      <c r="D2427" s="0" t="s">
        <v>5010</v>
      </c>
    </row>
    <row r="2428" customFormat="false" ht="13.5" hidden="false" customHeight="false" outlineLevel="0" collapsed="false">
      <c r="A2428" s="0" t="s">
        <v>5299</v>
      </c>
      <c r="B2428" s="0" t="s">
        <v>5300</v>
      </c>
      <c r="C2428" s="0" t="s">
        <v>31</v>
      </c>
      <c r="D2428" s="0" t="s">
        <v>5294</v>
      </c>
    </row>
    <row r="2429" customFormat="false" ht="13.5" hidden="false" customHeight="false" outlineLevel="0" collapsed="false">
      <c r="A2429" s="0" t="s">
        <v>5301</v>
      </c>
      <c r="B2429" s="0" t="s">
        <v>5302</v>
      </c>
      <c r="C2429" s="0" t="s">
        <v>31</v>
      </c>
      <c r="D2429" s="0" t="s">
        <v>1540</v>
      </c>
    </row>
    <row r="2430" customFormat="false" ht="13.5" hidden="false" customHeight="false" outlineLevel="0" collapsed="false">
      <c r="A2430" s="0" t="s">
        <v>5303</v>
      </c>
      <c r="B2430" s="0" t="s">
        <v>5304</v>
      </c>
      <c r="C2430" s="0" t="s">
        <v>31</v>
      </c>
      <c r="D2430" s="0" t="s">
        <v>2072</v>
      </c>
    </row>
    <row r="2431" customFormat="false" ht="13.5" hidden="false" customHeight="false" outlineLevel="0" collapsed="false">
      <c r="A2431" s="0" t="s">
        <v>5305</v>
      </c>
      <c r="B2431" s="0" t="s">
        <v>5306</v>
      </c>
      <c r="C2431" s="0" t="s">
        <v>31</v>
      </c>
      <c r="D2431" s="0" t="s">
        <v>69</v>
      </c>
    </row>
    <row r="2432" customFormat="false" ht="13.5" hidden="false" customHeight="false" outlineLevel="0" collapsed="false">
      <c r="A2432" s="0" t="s">
        <v>5307</v>
      </c>
      <c r="B2432" s="0" t="s">
        <v>5308</v>
      </c>
      <c r="C2432" s="0" t="s">
        <v>31</v>
      </c>
      <c r="D2432" s="0" t="s">
        <v>69</v>
      </c>
    </row>
    <row r="2433" customFormat="false" ht="13.5" hidden="false" customHeight="false" outlineLevel="0" collapsed="false">
      <c r="A2433" s="0" t="s">
        <v>5309</v>
      </c>
      <c r="B2433" s="0" t="s">
        <v>5310</v>
      </c>
      <c r="C2433" s="0" t="s">
        <v>31</v>
      </c>
      <c r="D2433" s="0" t="s">
        <v>69</v>
      </c>
    </row>
    <row r="2434" customFormat="false" ht="13.5" hidden="false" customHeight="false" outlineLevel="0" collapsed="false">
      <c r="A2434" s="0" t="s">
        <v>5311</v>
      </c>
      <c r="B2434" s="0" t="s">
        <v>5312</v>
      </c>
      <c r="C2434" s="0" t="s">
        <v>31</v>
      </c>
      <c r="D2434" s="0" t="s">
        <v>5313</v>
      </c>
    </row>
    <row r="2435" customFormat="false" ht="13.5" hidden="false" customHeight="false" outlineLevel="0" collapsed="false">
      <c r="A2435" s="0" t="s">
        <v>5314</v>
      </c>
      <c r="B2435" s="0" t="s">
        <v>5315</v>
      </c>
      <c r="C2435" s="0" t="s">
        <v>31</v>
      </c>
      <c r="D2435" s="0" t="s">
        <v>1513</v>
      </c>
    </row>
    <row r="2436" customFormat="false" ht="13.5" hidden="false" customHeight="false" outlineLevel="0" collapsed="false">
      <c r="A2436" s="0" t="s">
        <v>5316</v>
      </c>
      <c r="B2436" s="0" t="s">
        <v>5317</v>
      </c>
      <c r="C2436" s="0" t="s">
        <v>31</v>
      </c>
      <c r="D2436" s="0" t="s">
        <v>1957</v>
      </c>
    </row>
    <row r="2437" customFormat="false" ht="13.5" hidden="false" customHeight="false" outlineLevel="0" collapsed="false">
      <c r="A2437" s="0" t="s">
        <v>5318</v>
      </c>
      <c r="B2437" s="0" t="s">
        <v>5319</v>
      </c>
      <c r="C2437" s="0" t="s">
        <v>31</v>
      </c>
      <c r="D2437" s="0" t="s">
        <v>1761</v>
      </c>
    </row>
    <row r="2438" customFormat="false" ht="13.5" hidden="false" customHeight="false" outlineLevel="0" collapsed="false">
      <c r="A2438" s="0" t="s">
        <v>5320</v>
      </c>
      <c r="B2438" s="0" t="s">
        <v>5321</v>
      </c>
      <c r="C2438" s="0" t="s">
        <v>31</v>
      </c>
      <c r="D2438" s="0" t="s">
        <v>1527</v>
      </c>
    </row>
    <row r="2439" customFormat="false" ht="13.5" hidden="false" customHeight="false" outlineLevel="0" collapsed="false">
      <c r="A2439" s="0" t="s">
        <v>1554</v>
      </c>
      <c r="B2439" s="0" t="s">
        <v>1555</v>
      </c>
      <c r="C2439" s="0" t="s">
        <v>31</v>
      </c>
      <c r="D2439" s="0" t="s">
        <v>1746</v>
      </c>
    </row>
    <row r="2440" customFormat="false" ht="13.5" hidden="false" customHeight="false" outlineLevel="0" collapsed="false">
      <c r="A2440" s="0" t="s">
        <v>5322</v>
      </c>
      <c r="B2440" s="0" t="s">
        <v>5323</v>
      </c>
      <c r="C2440" s="0" t="s">
        <v>31</v>
      </c>
      <c r="D2440" s="0" t="s">
        <v>2054</v>
      </c>
    </row>
    <row r="2441" customFormat="false" ht="13.5" hidden="false" customHeight="false" outlineLevel="0" collapsed="false">
      <c r="A2441" s="0" t="s">
        <v>5324</v>
      </c>
      <c r="B2441" s="0" t="s">
        <v>5325</v>
      </c>
      <c r="C2441" s="0" t="s">
        <v>31</v>
      </c>
      <c r="D2441" s="0" t="s">
        <v>1924</v>
      </c>
    </row>
    <row r="2442" customFormat="false" ht="13.5" hidden="false" customHeight="false" outlineLevel="0" collapsed="false">
      <c r="A2442" s="0" t="s">
        <v>5326</v>
      </c>
      <c r="B2442" s="0" t="s">
        <v>5327</v>
      </c>
      <c r="C2442" s="0" t="s">
        <v>31</v>
      </c>
      <c r="D2442" s="0" t="s">
        <v>1527</v>
      </c>
    </row>
    <row r="2443" customFormat="false" ht="13.5" hidden="false" customHeight="false" outlineLevel="0" collapsed="false">
      <c r="A2443" s="0" t="s">
        <v>5328</v>
      </c>
      <c r="B2443" s="0" t="s">
        <v>5329</v>
      </c>
      <c r="C2443" s="0" t="s">
        <v>31</v>
      </c>
      <c r="D2443" s="0" t="s">
        <v>1505</v>
      </c>
    </row>
    <row r="2444" customFormat="false" ht="13.5" hidden="false" customHeight="false" outlineLevel="0" collapsed="false">
      <c r="A2444" s="0" t="s">
        <v>5330</v>
      </c>
      <c r="B2444" s="0" t="s">
        <v>5331</v>
      </c>
      <c r="C2444" s="0" t="s">
        <v>31</v>
      </c>
      <c r="D2444" s="0" t="s">
        <v>1651</v>
      </c>
    </row>
    <row r="2445" customFormat="false" ht="13.5" hidden="false" customHeight="false" outlineLevel="0" collapsed="false">
      <c r="A2445" s="0" t="s">
        <v>5332</v>
      </c>
      <c r="B2445" s="0" t="s">
        <v>5333</v>
      </c>
      <c r="C2445" s="0" t="s">
        <v>31</v>
      </c>
      <c r="D2445" s="0" t="s">
        <v>69</v>
      </c>
    </row>
    <row r="2446" customFormat="false" ht="13.5" hidden="false" customHeight="false" outlineLevel="0" collapsed="false">
      <c r="A2446" s="0" t="s">
        <v>5334</v>
      </c>
      <c r="B2446" s="0" t="s">
        <v>5335</v>
      </c>
      <c r="C2446" s="0" t="s">
        <v>31</v>
      </c>
      <c r="D2446" s="0" t="s">
        <v>413</v>
      </c>
      <c r="E2446" s="0" t="s">
        <v>12</v>
      </c>
    </row>
    <row r="2447" customFormat="false" ht="13.5" hidden="false" customHeight="false" outlineLevel="0" collapsed="false">
      <c r="A2447" s="0" t="s">
        <v>5336</v>
      </c>
      <c r="B2447" s="0" t="s">
        <v>758</v>
      </c>
      <c r="C2447" s="0" t="s">
        <v>31</v>
      </c>
      <c r="D2447" s="0" t="s">
        <v>413</v>
      </c>
      <c r="E2447" s="0" t="s">
        <v>12</v>
      </c>
    </row>
    <row r="2448" customFormat="false" ht="13.5" hidden="false" customHeight="false" outlineLevel="0" collapsed="false">
      <c r="A2448" s="0" t="s">
        <v>5337</v>
      </c>
      <c r="B2448" s="0" t="s">
        <v>5338</v>
      </c>
      <c r="C2448" s="0" t="s">
        <v>31</v>
      </c>
      <c r="D2448" s="0" t="s">
        <v>2739</v>
      </c>
    </row>
    <row r="2449" customFormat="false" ht="13.5" hidden="false" customHeight="false" outlineLevel="0" collapsed="false">
      <c r="A2449" s="0" t="s">
        <v>5339</v>
      </c>
      <c r="B2449" s="0" t="s">
        <v>5340</v>
      </c>
      <c r="C2449" s="0" t="s">
        <v>31</v>
      </c>
      <c r="D2449" s="0" t="s">
        <v>5341</v>
      </c>
    </row>
    <row r="2450" customFormat="false" ht="13.5" hidden="false" customHeight="false" outlineLevel="0" collapsed="false">
      <c r="A2450" s="0" t="s">
        <v>5342</v>
      </c>
      <c r="B2450" s="0" t="s">
        <v>5343</v>
      </c>
      <c r="C2450" s="0" t="s">
        <v>31</v>
      </c>
      <c r="D2450" s="0" t="s">
        <v>69</v>
      </c>
    </row>
    <row r="2451" customFormat="false" ht="13.5" hidden="false" customHeight="false" outlineLevel="0" collapsed="false">
      <c r="A2451" s="0" t="s">
        <v>5344</v>
      </c>
      <c r="B2451" s="0" t="s">
        <v>5345</v>
      </c>
      <c r="C2451" s="0" t="s">
        <v>31</v>
      </c>
      <c r="D2451" s="0" t="s">
        <v>2739</v>
      </c>
    </row>
    <row r="2452" customFormat="false" ht="13.5" hidden="false" customHeight="false" outlineLevel="0" collapsed="false">
      <c r="A2452" s="0" t="s">
        <v>5346</v>
      </c>
      <c r="B2452" s="0" t="s">
        <v>5347</v>
      </c>
      <c r="C2452" s="0" t="s">
        <v>31</v>
      </c>
      <c r="D2452" s="0" t="s">
        <v>5348</v>
      </c>
    </row>
    <row r="2453" customFormat="false" ht="13.5" hidden="false" customHeight="false" outlineLevel="0" collapsed="false">
      <c r="A2453" s="0" t="s">
        <v>5349</v>
      </c>
      <c r="B2453" s="0" t="s">
        <v>5350</v>
      </c>
      <c r="C2453" s="0" t="s">
        <v>31</v>
      </c>
      <c r="D2453" s="0" t="s">
        <v>5348</v>
      </c>
    </row>
    <row r="2454" customFormat="false" ht="13.5" hidden="false" customHeight="false" outlineLevel="0" collapsed="false">
      <c r="A2454" s="0" t="s">
        <v>5351</v>
      </c>
      <c r="B2454" s="0" t="s">
        <v>5352</v>
      </c>
      <c r="C2454" s="0" t="s">
        <v>31</v>
      </c>
      <c r="D2454" s="0" t="s">
        <v>2739</v>
      </c>
    </row>
    <row r="2455" customFormat="false" ht="13.5" hidden="false" customHeight="false" outlineLevel="0" collapsed="false">
      <c r="A2455" s="0" t="s">
        <v>5353</v>
      </c>
      <c r="B2455" s="0" t="s">
        <v>5354</v>
      </c>
      <c r="C2455" s="0" t="s">
        <v>31</v>
      </c>
      <c r="D2455" s="0" t="s">
        <v>2739</v>
      </c>
    </row>
    <row r="2456" customFormat="false" ht="13.5" hidden="false" customHeight="false" outlineLevel="0" collapsed="false">
      <c r="A2456" s="0" t="s">
        <v>5355</v>
      </c>
      <c r="B2456" s="0" t="s">
        <v>5356</v>
      </c>
      <c r="C2456" s="0" t="s">
        <v>31</v>
      </c>
      <c r="D2456" s="0" t="s">
        <v>1592</v>
      </c>
    </row>
    <row r="2457" customFormat="false" ht="13.5" hidden="false" customHeight="false" outlineLevel="0" collapsed="false">
      <c r="A2457" s="0" t="s">
        <v>5357</v>
      </c>
      <c r="B2457" s="0" t="s">
        <v>5358</v>
      </c>
      <c r="C2457" s="0" t="s">
        <v>31</v>
      </c>
      <c r="D2457" s="0" t="s">
        <v>69</v>
      </c>
    </row>
    <row r="2458" customFormat="false" ht="13.5" hidden="false" customHeight="false" outlineLevel="0" collapsed="false">
      <c r="A2458" s="0" t="s">
        <v>5359</v>
      </c>
      <c r="B2458" s="0" t="s">
        <v>5360</v>
      </c>
      <c r="C2458" s="0" t="s">
        <v>31</v>
      </c>
      <c r="D2458" s="0" t="s">
        <v>19</v>
      </c>
      <c r="E2458" s="0" t="s">
        <v>63</v>
      </c>
      <c r="F2458" s="0" t="s">
        <v>60</v>
      </c>
    </row>
    <row r="2459" customFormat="false" ht="13.5" hidden="false" customHeight="false" outlineLevel="0" collapsed="false">
      <c r="A2459" s="0" t="s">
        <v>5361</v>
      </c>
      <c r="B2459" s="0" t="s">
        <v>5362</v>
      </c>
      <c r="C2459" s="0" t="s">
        <v>31</v>
      </c>
      <c r="D2459" s="0" t="s">
        <v>413</v>
      </c>
      <c r="E2459" s="0" t="s">
        <v>728</v>
      </c>
    </row>
    <row r="2460" customFormat="false" ht="13.5" hidden="false" customHeight="false" outlineLevel="0" collapsed="false">
      <c r="A2460" s="0" t="s">
        <v>5363</v>
      </c>
      <c r="B2460" s="0" t="s">
        <v>5364</v>
      </c>
      <c r="C2460" s="0" t="s">
        <v>31</v>
      </c>
      <c r="D2460" s="0" t="s">
        <v>3261</v>
      </c>
    </row>
    <row r="2461" customFormat="false" ht="13.5" hidden="false" customHeight="false" outlineLevel="0" collapsed="false">
      <c r="A2461" s="0" t="s">
        <v>5365</v>
      </c>
      <c r="B2461" s="0" t="s">
        <v>5366</v>
      </c>
      <c r="C2461" s="0" t="s">
        <v>31</v>
      </c>
      <c r="D2461" s="0" t="s">
        <v>3261</v>
      </c>
    </row>
    <row r="2462" customFormat="false" ht="13.5" hidden="false" customHeight="false" outlineLevel="0" collapsed="false">
      <c r="A2462" s="0" t="s">
        <v>5367</v>
      </c>
      <c r="B2462" s="0" t="s">
        <v>5368</v>
      </c>
      <c r="C2462" s="0" t="s">
        <v>31</v>
      </c>
      <c r="D2462" s="0" t="s">
        <v>3077</v>
      </c>
    </row>
    <row r="2463" customFormat="false" ht="13.5" hidden="false" customHeight="false" outlineLevel="0" collapsed="false">
      <c r="A2463" s="0" t="s">
        <v>5369</v>
      </c>
      <c r="B2463" s="0" t="s">
        <v>5370</v>
      </c>
      <c r="C2463" s="0" t="s">
        <v>31</v>
      </c>
      <c r="D2463" s="0" t="s">
        <v>1761</v>
      </c>
    </row>
    <row r="2464" customFormat="false" ht="13.5" hidden="false" customHeight="false" outlineLevel="0" collapsed="false">
      <c r="A2464" s="0" t="s">
        <v>5371</v>
      </c>
      <c r="B2464" s="0" t="s">
        <v>5372</v>
      </c>
      <c r="C2464" s="0" t="s">
        <v>31</v>
      </c>
      <c r="D2464" s="0" t="s">
        <v>1761</v>
      </c>
    </row>
    <row r="2465" customFormat="false" ht="13.5" hidden="false" customHeight="false" outlineLevel="0" collapsed="false">
      <c r="A2465" s="0" t="s">
        <v>5373</v>
      </c>
      <c r="B2465" s="0" t="s">
        <v>5374</v>
      </c>
      <c r="C2465" s="0" t="s">
        <v>31</v>
      </c>
      <c r="D2465" s="0" t="s">
        <v>69</v>
      </c>
    </row>
    <row r="2466" customFormat="false" ht="13.5" hidden="false" customHeight="false" outlineLevel="0" collapsed="false">
      <c r="A2466" s="0" t="s">
        <v>5375</v>
      </c>
      <c r="B2466" s="0" t="s">
        <v>5376</v>
      </c>
      <c r="C2466" s="0" t="s">
        <v>31</v>
      </c>
      <c r="D2466" s="0" t="s">
        <v>1572</v>
      </c>
    </row>
    <row r="2467" customFormat="false" ht="13.5" hidden="false" customHeight="false" outlineLevel="0" collapsed="false">
      <c r="A2467" s="0" t="s">
        <v>5377</v>
      </c>
      <c r="B2467" s="0" t="s">
        <v>5378</v>
      </c>
      <c r="C2467" s="0" t="s">
        <v>31</v>
      </c>
      <c r="D2467" s="0" t="s">
        <v>1572</v>
      </c>
    </row>
    <row r="2471" customFormat="false" ht="13.5" hidden="false" customHeight="false" outlineLevel="0" collapsed="false">
      <c r="D2471" s="0" t="n">
        <f aca="false">COUNTIF(C:C,"NO")</f>
        <v>1841</v>
      </c>
    </row>
    <row r="2472" customFormat="false" ht="13.5" hidden="false" customHeight="false" outlineLevel="0" collapsed="false">
      <c r="D2472" s="0" t="n">
        <f aca="false">COUNTIF(C:C,"YES")</f>
        <v>620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6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5" activePane="bottomLeft" state="frozen"/>
      <selection pane="topLeft" activeCell="A1" activeCellId="0" sqref="A1"/>
      <selection pane="bottomLeft" activeCell="D229" activeCellId="0" sqref="D229"/>
    </sheetView>
  </sheetViews>
  <sheetFormatPr defaultColWidth="8.59375" defaultRowHeight="13.5" zeroHeight="false" outlineLevelRow="0" outlineLevelCol="0"/>
  <cols>
    <col collapsed="false" customWidth="true" hidden="false" outlineLevel="0" max="1" min="1" style="0" width="19.5"/>
    <col collapsed="false" customWidth="true" hidden="false" outlineLevel="0" max="2" min="2" style="0" width="21.38"/>
    <col collapsed="false" customWidth="true" hidden="false" outlineLevel="0" max="3" min="3" style="0" width="5.31"/>
    <col collapsed="false" customWidth="true" hidden="false" outlineLevel="0" max="4" min="4" style="0" width="15.25"/>
    <col collapsed="false" customWidth="true" hidden="false" outlineLevel="0" max="5" min="5" style="0" width="11.38"/>
    <col collapsed="false" customWidth="true" hidden="false" outlineLevel="0" max="6" min="6" style="0" width="8"/>
    <col collapsed="false" customWidth="true" hidden="false" outlineLevel="0" max="7" min="7" style="0" width="8.25"/>
    <col collapsed="false" customWidth="true" hidden="false" outlineLevel="0" max="8" min="8" style="0" width="11.69"/>
    <col collapsed="false" customWidth="true" hidden="false" outlineLevel="0" max="9" min="9" style="0" width="11.18"/>
    <col collapsed="false" customWidth="true" hidden="false" outlineLevel="0" max="10" min="10" style="0" width="8.39"/>
    <col collapsed="false" customWidth="true" hidden="false" outlineLevel="0" max="11" min="11" style="0" width="12"/>
    <col collapsed="false" customWidth="true" hidden="false" outlineLevel="0" max="12" min="12" style="0" width="6.52"/>
    <col collapsed="false" customWidth="true" hidden="false" outlineLevel="0" max="13" min="13" style="0" width="5.62"/>
    <col collapsed="false" customWidth="true" hidden="false" outlineLevel="0" max="14" min="14" style="0" width="5.54"/>
    <col collapsed="false" customWidth="true" hidden="false" outlineLevel="0" max="25" min="25" style="0" width="14.68"/>
  </cols>
  <sheetData>
    <row r="1" s="6" customFormat="true" ht="13.5" hidden="false" customHeight="false" outlineLevel="0" collapsed="false">
      <c r="A1" s="5" t="s">
        <v>5379</v>
      </c>
      <c r="B1" s="5" t="s">
        <v>5380</v>
      </c>
      <c r="C1" s="5" t="s">
        <v>5381</v>
      </c>
      <c r="D1" s="5" t="s">
        <v>5382</v>
      </c>
      <c r="E1" s="5" t="s">
        <v>5383</v>
      </c>
      <c r="F1" s="5" t="s">
        <v>5384</v>
      </c>
      <c r="G1" s="5" t="s">
        <v>5385</v>
      </c>
      <c r="H1" s="5" t="s">
        <v>5386</v>
      </c>
      <c r="I1" s="5" t="s">
        <v>5387</v>
      </c>
      <c r="J1" s="5" t="s">
        <v>5388</v>
      </c>
      <c r="K1" s="5" t="s">
        <v>5389</v>
      </c>
      <c r="L1" s="5" t="s">
        <v>5390</v>
      </c>
      <c r="M1" s="5" t="s">
        <v>5391</v>
      </c>
      <c r="N1" s="5" t="s">
        <v>5392</v>
      </c>
      <c r="O1" s="5" t="s">
        <v>5393</v>
      </c>
      <c r="P1" s="5" t="s">
        <v>5394</v>
      </c>
      <c r="Q1" s="5" t="s">
        <v>5395</v>
      </c>
      <c r="R1" s="5" t="s">
        <v>5396</v>
      </c>
      <c r="S1" s="5" t="s">
        <v>5397</v>
      </c>
      <c r="T1" s="5" t="s">
        <v>5398</v>
      </c>
      <c r="U1" s="5" t="s">
        <v>5399</v>
      </c>
      <c r="V1" s="5" t="s">
        <v>5400</v>
      </c>
      <c r="W1" s="5" t="s">
        <v>5401</v>
      </c>
      <c r="Y1" s="6" t="e">
        <f aca="false" t="array" ref="Y1:Y177">_xlfn.unique(G:G)</f>
        <v>#NAME?</v>
      </c>
      <c r="Z1" s="6" t="s">
        <v>5402</v>
      </c>
      <c r="AC1" s="6" t="s">
        <v>5402</v>
      </c>
      <c r="AD1" s="6" t="s">
        <v>5403</v>
      </c>
    </row>
    <row r="2" customFormat="false" ht="13.5" hidden="false" customHeight="false" outlineLevel="0" collapsed="false">
      <c r="A2" s="0" t="s">
        <v>8</v>
      </c>
      <c r="B2" s="0" t="s">
        <v>5404</v>
      </c>
      <c r="C2" s="0" t="n">
        <v>2020</v>
      </c>
      <c r="D2" s="0" t="s">
        <v>5405</v>
      </c>
      <c r="E2" s="0" t="s">
        <v>24</v>
      </c>
      <c r="F2" s="0" t="s">
        <v>31</v>
      </c>
      <c r="G2" s="0" t="s">
        <v>12</v>
      </c>
      <c r="H2" s="0" t="s">
        <v>5406</v>
      </c>
      <c r="I2" s="0" t="s">
        <v>5407</v>
      </c>
      <c r="J2" s="0" t="n">
        <v>2</v>
      </c>
      <c r="K2" s="0" t="s">
        <v>5408</v>
      </c>
      <c r="L2" s="0" t="n">
        <v>4</v>
      </c>
      <c r="M2" s="0" t="n">
        <v>160</v>
      </c>
      <c r="N2" s="0" t="s">
        <v>5409</v>
      </c>
      <c r="O2" s="0" t="s">
        <v>5410</v>
      </c>
      <c r="P2" s="0" t="s">
        <v>5410</v>
      </c>
      <c r="Q2" s="0" t="s">
        <v>5410</v>
      </c>
      <c r="R2" s="0" t="s">
        <v>5411</v>
      </c>
      <c r="S2" s="0" t="s">
        <v>5412</v>
      </c>
      <c r="T2" s="0" t="s">
        <v>5413</v>
      </c>
      <c r="U2" s="0" t="s">
        <v>5414</v>
      </c>
      <c r="V2" s="0" t="s">
        <v>5415</v>
      </c>
      <c r="Y2" s="0" t="e">
        <v>#NAME?</v>
      </c>
      <c r="Z2" s="0" t="e">
        <f aca="false">COUNTIF(G:G,Y2)</f>
        <v>#NAME?</v>
      </c>
      <c r="AB2" s="0" t="s">
        <v>98</v>
      </c>
      <c r="AC2" s="0" t="n">
        <v>65</v>
      </c>
      <c r="AD2" s="0" t="n">
        <f aca="false">AC2/681*100</f>
        <v>9.54478707782673</v>
      </c>
    </row>
    <row r="3" customFormat="false" ht="13.5" hidden="false" customHeight="false" outlineLevel="0" collapsed="false">
      <c r="A3" s="0" t="s">
        <v>13</v>
      </c>
      <c r="B3" s="0" t="s">
        <v>5416</v>
      </c>
      <c r="C3" s="0" t="n">
        <v>2013</v>
      </c>
      <c r="D3" s="0" t="s">
        <v>5417</v>
      </c>
      <c r="E3" s="0" t="s">
        <v>19</v>
      </c>
      <c r="F3" s="0" t="s">
        <v>15</v>
      </c>
      <c r="G3" s="0" t="s">
        <v>276</v>
      </c>
      <c r="H3" s="0" t="s">
        <v>5418</v>
      </c>
      <c r="I3" s="0" t="s">
        <v>5407</v>
      </c>
      <c r="J3" s="0" t="n">
        <v>4</v>
      </c>
      <c r="K3" s="0" t="s">
        <v>5419</v>
      </c>
      <c r="L3" s="0" t="n">
        <v>3.5</v>
      </c>
      <c r="M3" s="0" t="n">
        <v>3.5</v>
      </c>
      <c r="N3" s="0" t="s">
        <v>5420</v>
      </c>
      <c r="O3" s="0" t="s">
        <v>2224</v>
      </c>
      <c r="P3" s="0" t="s">
        <v>5421</v>
      </c>
      <c r="Q3" s="0" t="s">
        <v>2224</v>
      </c>
      <c r="R3" s="0" t="s">
        <v>5422</v>
      </c>
      <c r="S3" s="0" t="s">
        <v>5423</v>
      </c>
      <c r="T3" s="0" t="s">
        <v>5424</v>
      </c>
      <c r="U3" s="0" t="s">
        <v>5425</v>
      </c>
      <c r="V3" s="0" t="s">
        <v>5426</v>
      </c>
      <c r="Y3" s="0" t="e">
        <v>#NAME?</v>
      </c>
      <c r="Z3" s="0" t="e">
        <f aca="false">COUNTIF(G:G,Y3)</f>
        <v>#NAME?</v>
      </c>
      <c r="AB3" s="0" t="s">
        <v>32</v>
      </c>
      <c r="AC3" s="0" t="n">
        <v>59</v>
      </c>
      <c r="AD3" s="0" t="n">
        <f aca="false">AC3/681*100</f>
        <v>8.66372980910426</v>
      </c>
    </row>
    <row r="4" customFormat="false" ht="13.5" hidden="false" customHeight="false" outlineLevel="0" collapsed="false">
      <c r="A4" s="0" t="s">
        <v>17</v>
      </c>
      <c r="B4" s="0" t="s">
        <v>5427</v>
      </c>
      <c r="C4" s="0" t="n">
        <v>2021</v>
      </c>
      <c r="D4" s="0" t="s">
        <v>5428</v>
      </c>
      <c r="E4" s="0" t="s">
        <v>19</v>
      </c>
      <c r="F4" s="0" t="s">
        <v>31</v>
      </c>
      <c r="G4" s="0" t="s">
        <v>56</v>
      </c>
      <c r="H4" s="0" t="s">
        <v>5418</v>
      </c>
      <c r="I4" s="0" t="s">
        <v>5407</v>
      </c>
      <c r="J4" s="0" t="n">
        <v>2</v>
      </c>
      <c r="K4" s="0" t="s">
        <v>5429</v>
      </c>
      <c r="L4" s="0" t="n">
        <v>70</v>
      </c>
      <c r="M4" s="0" t="n">
        <v>210</v>
      </c>
      <c r="N4" s="0" t="s">
        <v>5430</v>
      </c>
      <c r="O4" s="0" t="s">
        <v>5431</v>
      </c>
      <c r="P4" s="0" t="s">
        <v>5432</v>
      </c>
      <c r="Q4" s="0" t="s">
        <v>5433</v>
      </c>
      <c r="R4" s="0" t="s">
        <v>5434</v>
      </c>
      <c r="S4" s="0" t="s">
        <v>5435</v>
      </c>
      <c r="T4" s="0" t="s">
        <v>5436</v>
      </c>
      <c r="U4" s="0" t="s">
        <v>5437</v>
      </c>
      <c r="V4" s="0" t="s">
        <v>5415</v>
      </c>
      <c r="Y4" s="0" t="e">
        <v>#NAME?</v>
      </c>
      <c r="Z4" s="0" t="e">
        <f aca="false">COUNTIF(G:G,Y4)</f>
        <v>#NAME?</v>
      </c>
      <c r="AB4" s="0" t="s">
        <v>47</v>
      </c>
      <c r="AC4" s="0" t="n">
        <v>58</v>
      </c>
      <c r="AD4" s="0" t="n">
        <f aca="false">AC4/681*100</f>
        <v>8.51688693098385</v>
      </c>
    </row>
    <row r="5" customFormat="false" ht="13.5" hidden="false" customHeight="false" outlineLevel="0" collapsed="false">
      <c r="A5" s="0" t="s">
        <v>20</v>
      </c>
      <c r="B5" s="0" t="s">
        <v>5438</v>
      </c>
      <c r="C5" s="0" t="n">
        <v>2017</v>
      </c>
      <c r="D5" s="0" t="s">
        <v>5439</v>
      </c>
      <c r="E5" s="0" t="s">
        <v>19</v>
      </c>
      <c r="F5" s="0" t="s">
        <v>31</v>
      </c>
      <c r="G5" s="0" t="s">
        <v>5440</v>
      </c>
      <c r="H5" s="0" t="s">
        <v>5418</v>
      </c>
      <c r="I5" s="0" t="s">
        <v>5407</v>
      </c>
      <c r="J5" s="0" t="n">
        <v>3</v>
      </c>
      <c r="K5" s="0" t="s">
        <v>5441</v>
      </c>
      <c r="L5" s="0" t="n">
        <v>10</v>
      </c>
      <c r="M5" s="0" t="n">
        <v>50</v>
      </c>
      <c r="N5" s="7" t="s">
        <v>5430</v>
      </c>
      <c r="O5" s="0" t="s">
        <v>2224</v>
      </c>
      <c r="P5" s="0" t="s">
        <v>5442</v>
      </c>
      <c r="Q5" s="0" t="s">
        <v>5433</v>
      </c>
      <c r="R5" s="0" t="s">
        <v>5443</v>
      </c>
      <c r="S5" s="0" t="s">
        <v>5444</v>
      </c>
      <c r="T5" s="0" t="s">
        <v>5436</v>
      </c>
      <c r="U5" s="0" t="s">
        <v>5445</v>
      </c>
      <c r="V5" s="0" t="s">
        <v>5446</v>
      </c>
      <c r="Y5" s="0" t="e">
        <v>#NAME?</v>
      </c>
      <c r="Z5" s="0" t="e">
        <f aca="false">COUNTIF(G:G,Y5)</f>
        <v>#NAME?</v>
      </c>
      <c r="AB5" s="0" t="s">
        <v>12</v>
      </c>
      <c r="AC5" s="0" t="n">
        <v>34</v>
      </c>
      <c r="AD5" s="0" t="n">
        <f aca="false">AC5/681*100</f>
        <v>4.99265785609398</v>
      </c>
    </row>
    <row r="6" customFormat="false" ht="13.5" hidden="false" customHeight="false" outlineLevel="0" collapsed="false">
      <c r="A6" s="0" t="s">
        <v>22</v>
      </c>
      <c r="B6" s="0" t="s">
        <v>5447</v>
      </c>
      <c r="C6" s="0" t="n">
        <v>2023</v>
      </c>
      <c r="D6" s="0" t="s">
        <v>5439</v>
      </c>
      <c r="E6" s="0" t="s">
        <v>24</v>
      </c>
      <c r="F6" s="0" t="s">
        <v>31</v>
      </c>
      <c r="G6" s="0" t="s">
        <v>1043</v>
      </c>
      <c r="H6" s="0" t="s">
        <v>5406</v>
      </c>
      <c r="I6" s="0" t="s">
        <v>5407</v>
      </c>
      <c r="J6" s="0" t="n">
        <v>2</v>
      </c>
      <c r="K6" s="0" t="s">
        <v>5410</v>
      </c>
      <c r="L6" s="0" t="n">
        <v>0.4</v>
      </c>
      <c r="M6" s="0" t="n">
        <v>5.4</v>
      </c>
      <c r="N6" s="0" t="s">
        <v>5409</v>
      </c>
      <c r="O6" s="0" t="s">
        <v>5410</v>
      </c>
      <c r="P6" s="0" t="s">
        <v>5410</v>
      </c>
      <c r="Q6" s="0" t="s">
        <v>5410</v>
      </c>
      <c r="R6" s="0" t="s">
        <v>5434</v>
      </c>
      <c r="S6" s="0" t="s">
        <v>5412</v>
      </c>
      <c r="T6" s="0" t="s">
        <v>5413</v>
      </c>
      <c r="U6" s="0" t="s">
        <v>5448</v>
      </c>
      <c r="V6" s="0" t="s">
        <v>5415</v>
      </c>
      <c r="Y6" s="0" t="e">
        <v>#NAME?</v>
      </c>
      <c r="Z6" s="0" t="e">
        <f aca="false">COUNTIF(G:G,Y6)</f>
        <v>#NAME?</v>
      </c>
      <c r="AB6" s="0" t="s">
        <v>970</v>
      </c>
      <c r="AC6" s="0" t="n">
        <v>30</v>
      </c>
      <c r="AD6" s="0" t="n">
        <f aca="false">AC6/681*100</f>
        <v>4.40528634361234</v>
      </c>
    </row>
    <row r="7" customFormat="false" ht="13.5" hidden="false" customHeight="false" outlineLevel="0" collapsed="false">
      <c r="A7" s="0" t="s">
        <v>25</v>
      </c>
      <c r="B7" s="0" t="s">
        <v>5449</v>
      </c>
      <c r="C7" s="0" t="n">
        <v>2022</v>
      </c>
      <c r="D7" s="0" t="s">
        <v>5405</v>
      </c>
      <c r="E7" s="0" t="s">
        <v>24</v>
      </c>
      <c r="F7" s="0" t="s">
        <v>31</v>
      </c>
      <c r="G7" s="0" t="s">
        <v>12</v>
      </c>
      <c r="H7" s="0" t="s">
        <v>5406</v>
      </c>
      <c r="I7" s="0" t="s">
        <v>5407</v>
      </c>
      <c r="J7" s="0" t="n">
        <v>2</v>
      </c>
      <c r="K7" s="0" t="s">
        <v>5450</v>
      </c>
      <c r="L7" s="0" t="n">
        <v>0.01</v>
      </c>
      <c r="M7" s="0" t="n">
        <v>0.05</v>
      </c>
      <c r="N7" s="0" t="s">
        <v>5409</v>
      </c>
      <c r="O7" s="0" t="s">
        <v>5410</v>
      </c>
      <c r="P7" s="0" t="s">
        <v>5451</v>
      </c>
      <c r="Q7" s="0" t="s">
        <v>5410</v>
      </c>
      <c r="R7" s="0" t="s">
        <v>5452</v>
      </c>
      <c r="S7" s="0" t="s">
        <v>5412</v>
      </c>
      <c r="T7" s="0" t="s">
        <v>5413</v>
      </c>
      <c r="U7" s="0" t="s">
        <v>5414</v>
      </c>
      <c r="V7" s="0" t="s">
        <v>5415</v>
      </c>
      <c r="Y7" s="0" t="e">
        <v>#NAME?</v>
      </c>
      <c r="Z7" s="0" t="e">
        <f aca="false">COUNTIF(G:G,Y7)</f>
        <v>#NAME?</v>
      </c>
      <c r="AB7" s="0" t="s">
        <v>150</v>
      </c>
      <c r="AC7" s="0" t="n">
        <v>25</v>
      </c>
      <c r="AD7" s="0" t="n">
        <f aca="false">AC7/681*100</f>
        <v>3.67107195301028</v>
      </c>
    </row>
    <row r="8" customFormat="false" ht="13.5" hidden="false" customHeight="false" outlineLevel="0" collapsed="false">
      <c r="A8" s="0" t="s">
        <v>27</v>
      </c>
      <c r="B8" s="0" t="s">
        <v>5453</v>
      </c>
      <c r="C8" s="0" t="n">
        <v>2016</v>
      </c>
      <c r="D8" s="0" t="s">
        <v>5454</v>
      </c>
      <c r="E8" s="0" t="s">
        <v>24</v>
      </c>
      <c r="F8" s="0" t="s">
        <v>31</v>
      </c>
      <c r="G8" s="0" t="s">
        <v>56</v>
      </c>
      <c r="H8" s="0" t="s">
        <v>5418</v>
      </c>
      <c r="I8" s="0" t="s">
        <v>5407</v>
      </c>
      <c r="J8" s="0" t="n">
        <v>2</v>
      </c>
      <c r="K8" s="0" t="s">
        <v>5455</v>
      </c>
      <c r="L8" s="0" t="n">
        <v>9</v>
      </c>
      <c r="M8" s="0" t="n">
        <v>15</v>
      </c>
      <c r="N8" s="0" t="s">
        <v>5409</v>
      </c>
      <c r="O8" s="0" t="s">
        <v>5410</v>
      </c>
      <c r="P8" s="0" t="s">
        <v>5456</v>
      </c>
      <c r="Q8" s="0" t="s">
        <v>5410</v>
      </c>
      <c r="R8" s="0" t="s">
        <v>5457</v>
      </c>
      <c r="S8" s="0" t="s">
        <v>5444</v>
      </c>
      <c r="T8" s="0" t="s">
        <v>5413</v>
      </c>
      <c r="U8" s="0" t="s">
        <v>5445</v>
      </c>
      <c r="V8" s="0" t="s">
        <v>5446</v>
      </c>
      <c r="Y8" s="0" t="e">
        <v>#NAME?</v>
      </c>
      <c r="Z8" s="0" t="e">
        <f aca="false">COUNTIF(G:G,Y8)</f>
        <v>#NAME?</v>
      </c>
    </row>
    <row r="9" customFormat="false" ht="13.5" hidden="false" customHeight="false" outlineLevel="0" collapsed="false">
      <c r="A9" s="0" t="s">
        <v>44</v>
      </c>
      <c r="B9" s="0" t="s">
        <v>5458</v>
      </c>
      <c r="C9" s="0" t="n">
        <v>2013</v>
      </c>
      <c r="D9" s="0" t="s">
        <v>5459</v>
      </c>
      <c r="E9" s="0" t="s">
        <v>19</v>
      </c>
      <c r="F9" s="0" t="s">
        <v>31</v>
      </c>
      <c r="G9" s="0" t="s">
        <v>47</v>
      </c>
      <c r="H9" s="0" t="s">
        <v>5406</v>
      </c>
      <c r="I9" s="0" t="s">
        <v>5407</v>
      </c>
      <c r="J9" s="0" t="n">
        <v>3</v>
      </c>
      <c r="K9" s="0" t="s">
        <v>5460</v>
      </c>
      <c r="L9" s="0" t="n">
        <v>10</v>
      </c>
      <c r="M9" s="0" t="n">
        <v>90</v>
      </c>
      <c r="N9" s="7" t="s">
        <v>5430</v>
      </c>
      <c r="O9" s="0" t="s">
        <v>5461</v>
      </c>
      <c r="P9" s="0" t="s">
        <v>5462</v>
      </c>
      <c r="Q9" s="0" t="s">
        <v>5433</v>
      </c>
      <c r="R9" s="0" t="s">
        <v>5434</v>
      </c>
      <c r="S9" s="0" t="s">
        <v>5412</v>
      </c>
      <c r="T9" s="0" t="s">
        <v>5413</v>
      </c>
      <c r="U9" s="0" t="s">
        <v>5463</v>
      </c>
      <c r="V9" s="0" t="s">
        <v>5464</v>
      </c>
      <c r="Y9" s="0" t="e">
        <v>#NAME?</v>
      </c>
      <c r="Z9" s="0" t="e">
        <f aca="false">COUNTIF(G:G,Y9)</f>
        <v>#NAME?</v>
      </c>
    </row>
    <row r="10" customFormat="false" ht="13.5" hidden="false" customHeight="false" outlineLevel="0" collapsed="false">
      <c r="A10" s="0" t="s">
        <v>44</v>
      </c>
      <c r="B10" s="0" t="s">
        <v>5458</v>
      </c>
      <c r="C10" s="0" t="n">
        <v>2013</v>
      </c>
      <c r="D10" s="0" t="s">
        <v>5459</v>
      </c>
      <c r="E10" s="0" t="s">
        <v>24</v>
      </c>
      <c r="F10" s="0" t="s">
        <v>31</v>
      </c>
      <c r="G10" s="0" t="s">
        <v>47</v>
      </c>
      <c r="H10" s="0" t="s">
        <v>5406</v>
      </c>
      <c r="I10" s="0" t="s">
        <v>5407</v>
      </c>
      <c r="J10" s="0" t="n">
        <v>3</v>
      </c>
      <c r="K10" s="0" t="s">
        <v>5408</v>
      </c>
      <c r="L10" s="0" t="n">
        <v>190</v>
      </c>
      <c r="M10" s="0" t="n">
        <v>190</v>
      </c>
      <c r="N10" s="7" t="s">
        <v>5409</v>
      </c>
      <c r="O10" s="0" t="s">
        <v>5410</v>
      </c>
      <c r="P10" s="0" t="s">
        <v>5410</v>
      </c>
      <c r="Q10" s="0" t="s">
        <v>5410</v>
      </c>
      <c r="R10" s="0" t="s">
        <v>5434</v>
      </c>
      <c r="S10" s="0" t="s">
        <v>5412</v>
      </c>
      <c r="T10" s="0" t="s">
        <v>5413</v>
      </c>
      <c r="U10" s="0" t="s">
        <v>5463</v>
      </c>
      <c r="V10" s="0" t="s">
        <v>5464</v>
      </c>
      <c r="Y10" s="0" t="e">
        <v>#NAME?</v>
      </c>
      <c r="Z10" s="0" t="e">
        <f aca="false">COUNTIF(G:G,Y10)</f>
        <v>#NAME?</v>
      </c>
    </row>
    <row r="11" customFormat="false" ht="13.5" hidden="false" customHeight="false" outlineLevel="0" collapsed="false">
      <c r="A11" s="0" t="s">
        <v>48</v>
      </c>
      <c r="B11" s="0" t="s">
        <v>5465</v>
      </c>
      <c r="C11" s="0" t="n">
        <v>2021</v>
      </c>
      <c r="D11" s="0" t="s">
        <v>5466</v>
      </c>
      <c r="E11" s="0" t="s">
        <v>19</v>
      </c>
      <c r="F11" s="0" t="s">
        <v>31</v>
      </c>
      <c r="G11" s="0" t="s">
        <v>351</v>
      </c>
      <c r="H11" s="0" t="s">
        <v>5406</v>
      </c>
      <c r="I11" s="0" t="s">
        <v>5407</v>
      </c>
      <c r="J11" s="0" t="n">
        <v>2</v>
      </c>
      <c r="K11" s="0" t="s">
        <v>5460</v>
      </c>
      <c r="L11" s="0" t="n">
        <v>100</v>
      </c>
      <c r="M11" s="0" t="n">
        <v>250</v>
      </c>
      <c r="N11" s="0" t="s">
        <v>5430</v>
      </c>
      <c r="O11" s="0" t="s">
        <v>5431</v>
      </c>
      <c r="P11" s="0" t="s">
        <v>5467</v>
      </c>
      <c r="Q11" s="0" t="s">
        <v>5433</v>
      </c>
      <c r="R11" s="0" t="s">
        <v>5434</v>
      </c>
      <c r="S11" s="0" t="s">
        <v>5468</v>
      </c>
      <c r="T11" s="0" t="s">
        <v>5413</v>
      </c>
      <c r="U11" s="0" t="s">
        <v>5469</v>
      </c>
      <c r="V11" s="0" t="s">
        <v>5410</v>
      </c>
      <c r="Y11" s="0" t="e">
        <v>#NAME?</v>
      </c>
      <c r="Z11" s="0" t="e">
        <f aca="false">COUNTIF(G:G,Y11)</f>
        <v>#NAME?</v>
      </c>
    </row>
    <row r="12" customFormat="false" ht="13.5" hidden="false" customHeight="false" outlineLevel="0" collapsed="false">
      <c r="A12" s="0" t="s">
        <v>48</v>
      </c>
      <c r="B12" s="0" t="s">
        <v>5465</v>
      </c>
      <c r="C12" s="0" t="n">
        <v>2021</v>
      </c>
      <c r="D12" s="0" t="s">
        <v>5466</v>
      </c>
      <c r="E12" s="0" t="s">
        <v>19</v>
      </c>
      <c r="F12" s="0" t="s">
        <v>31</v>
      </c>
      <c r="G12" s="0" t="s">
        <v>510</v>
      </c>
      <c r="H12" s="0" t="s">
        <v>5418</v>
      </c>
      <c r="I12" s="0" t="s">
        <v>5407</v>
      </c>
      <c r="J12" s="0" t="n">
        <v>2</v>
      </c>
      <c r="K12" s="0" t="s">
        <v>5460</v>
      </c>
      <c r="L12" s="0" t="n">
        <v>100</v>
      </c>
      <c r="M12" s="0" t="n">
        <v>250</v>
      </c>
      <c r="N12" s="0" t="s">
        <v>5430</v>
      </c>
      <c r="O12" s="0" t="s">
        <v>5431</v>
      </c>
      <c r="P12" s="0" t="s">
        <v>5467</v>
      </c>
      <c r="Q12" s="0" t="s">
        <v>5433</v>
      </c>
      <c r="R12" s="0" t="s">
        <v>5434</v>
      </c>
      <c r="S12" s="0" t="s">
        <v>5468</v>
      </c>
      <c r="T12" s="0" t="s">
        <v>5413</v>
      </c>
      <c r="U12" s="0" t="s">
        <v>5469</v>
      </c>
      <c r="V12" s="0" t="s">
        <v>5410</v>
      </c>
      <c r="Y12" s="0" t="e">
        <v>#NAME?</v>
      </c>
      <c r="Z12" s="0" t="e">
        <f aca="false">COUNTIF(G:G,Y12)</f>
        <v>#NAME?</v>
      </c>
    </row>
    <row r="13" customFormat="false" ht="13.5" hidden="false" customHeight="false" outlineLevel="0" collapsed="false">
      <c r="A13" s="0" t="s">
        <v>54</v>
      </c>
      <c r="B13" s="0" t="s">
        <v>5427</v>
      </c>
      <c r="C13" s="0" t="n">
        <v>2020</v>
      </c>
      <c r="D13" s="0" t="s">
        <v>5470</v>
      </c>
      <c r="E13" s="0" t="s">
        <v>19</v>
      </c>
      <c r="F13" s="0" t="s">
        <v>31</v>
      </c>
      <c r="G13" s="0" t="s">
        <v>56</v>
      </c>
      <c r="H13" s="0" t="s">
        <v>5418</v>
      </c>
      <c r="I13" s="0" t="s">
        <v>5407</v>
      </c>
      <c r="J13" s="0" t="n">
        <v>2</v>
      </c>
      <c r="K13" s="0" t="s">
        <v>5471</v>
      </c>
      <c r="L13" s="0" t="n">
        <v>70</v>
      </c>
      <c r="M13" s="0" t="n">
        <v>210</v>
      </c>
      <c r="N13" s="0" t="s">
        <v>5430</v>
      </c>
      <c r="O13" s="0" t="s">
        <v>5431</v>
      </c>
      <c r="P13" s="0" t="s">
        <v>5432</v>
      </c>
      <c r="Q13" s="0" t="s">
        <v>5433</v>
      </c>
      <c r="R13" s="0" t="s">
        <v>5434</v>
      </c>
      <c r="S13" s="0" t="s">
        <v>5472</v>
      </c>
      <c r="T13" s="0" t="s">
        <v>5473</v>
      </c>
      <c r="U13" s="0" t="s">
        <v>5469</v>
      </c>
      <c r="V13" s="0" t="s">
        <v>5410</v>
      </c>
      <c r="Y13" s="0" t="e">
        <v>#NAME?</v>
      </c>
      <c r="Z13" s="0" t="e">
        <f aca="false">COUNTIF(G:G,Y13)</f>
        <v>#NAME?</v>
      </c>
    </row>
    <row r="14" customFormat="false" ht="13.5" hidden="false" customHeight="false" outlineLevel="0" collapsed="false">
      <c r="A14" s="0" t="s">
        <v>61</v>
      </c>
      <c r="B14" s="0" t="s">
        <v>5474</v>
      </c>
      <c r="C14" s="0" t="n">
        <v>2016</v>
      </c>
      <c r="D14" s="0" t="s">
        <v>5428</v>
      </c>
      <c r="E14" s="0" t="s">
        <v>24</v>
      </c>
      <c r="F14" s="0" t="s">
        <v>31</v>
      </c>
      <c r="G14" s="0" t="s">
        <v>98</v>
      </c>
      <c r="H14" s="0" t="s">
        <v>5406</v>
      </c>
      <c r="I14" s="0" t="s">
        <v>5407</v>
      </c>
      <c r="J14" s="0" t="n">
        <v>2</v>
      </c>
      <c r="K14" s="0" t="s">
        <v>5475</v>
      </c>
      <c r="L14" s="0" t="n">
        <v>20</v>
      </c>
      <c r="M14" s="0" t="n">
        <v>22</v>
      </c>
      <c r="N14" s="7" t="s">
        <v>5409</v>
      </c>
      <c r="O14" s="0" t="s">
        <v>5410</v>
      </c>
      <c r="P14" s="0" t="s">
        <v>5476</v>
      </c>
      <c r="Q14" s="0" t="s">
        <v>5410</v>
      </c>
      <c r="R14" s="0" t="s">
        <v>5443</v>
      </c>
      <c r="S14" s="0" t="s">
        <v>5423</v>
      </c>
      <c r="T14" s="0" t="s">
        <v>5410</v>
      </c>
      <c r="U14" s="0" t="s">
        <v>5469</v>
      </c>
      <c r="V14" s="0" t="s">
        <v>5410</v>
      </c>
      <c r="Y14" s="0" t="e">
        <v>#NAME?</v>
      </c>
      <c r="Z14" s="0" t="e">
        <f aca="false">COUNTIF(G:G,Y14)</f>
        <v>#NAME?</v>
      </c>
    </row>
    <row r="15" customFormat="false" ht="13.5" hidden="false" customHeight="false" outlineLevel="0" collapsed="false">
      <c r="A15" s="0" t="s">
        <v>61</v>
      </c>
      <c r="B15" s="0" t="s">
        <v>5474</v>
      </c>
      <c r="C15" s="0" t="n">
        <v>2016</v>
      </c>
      <c r="D15" s="0" t="s">
        <v>5428</v>
      </c>
      <c r="E15" s="0" t="s">
        <v>24</v>
      </c>
      <c r="F15" s="0" t="s">
        <v>31</v>
      </c>
      <c r="G15" s="0" t="s">
        <v>150</v>
      </c>
      <c r="H15" s="0" t="s">
        <v>5406</v>
      </c>
      <c r="I15" s="0" t="s">
        <v>5407</v>
      </c>
      <c r="J15" s="0" t="n">
        <v>2</v>
      </c>
      <c r="K15" s="0" t="s">
        <v>5477</v>
      </c>
      <c r="L15" s="0" t="n">
        <v>20</v>
      </c>
      <c r="M15" s="0" t="n">
        <v>22</v>
      </c>
      <c r="N15" s="7" t="s">
        <v>5409</v>
      </c>
      <c r="O15" s="0" t="s">
        <v>5410</v>
      </c>
      <c r="P15" s="0" t="s">
        <v>5476</v>
      </c>
      <c r="Q15" s="0" t="s">
        <v>5410</v>
      </c>
      <c r="R15" s="0" t="s">
        <v>5443</v>
      </c>
      <c r="S15" s="0" t="s">
        <v>5423</v>
      </c>
      <c r="T15" s="0" t="s">
        <v>5410</v>
      </c>
      <c r="U15" s="0" t="s">
        <v>5469</v>
      </c>
      <c r="V15" s="0" t="s">
        <v>5410</v>
      </c>
      <c r="Y15" s="0" t="e">
        <v>#NAME?</v>
      </c>
      <c r="Z15" s="0" t="e">
        <f aca="false">COUNTIF(G:G,Y15)</f>
        <v>#NAME?</v>
      </c>
    </row>
    <row r="16" customFormat="false" ht="13.5" hidden="false" customHeight="false" outlineLevel="0" collapsed="false">
      <c r="A16" s="0" t="s">
        <v>64</v>
      </c>
      <c r="B16" s="0" t="s">
        <v>5478</v>
      </c>
      <c r="C16" s="0" t="n">
        <v>2020</v>
      </c>
      <c r="D16" s="0" t="s">
        <v>5479</v>
      </c>
      <c r="E16" s="0" t="s">
        <v>19</v>
      </c>
      <c r="F16" s="0" t="s">
        <v>15</v>
      </c>
      <c r="G16" s="0" t="s">
        <v>5480</v>
      </c>
      <c r="H16" s="0" t="s">
        <v>5418</v>
      </c>
      <c r="I16" s="0" t="s">
        <v>5407</v>
      </c>
      <c r="J16" s="0" t="n">
        <v>2</v>
      </c>
      <c r="K16" s="0" t="s">
        <v>5481</v>
      </c>
      <c r="L16" s="0" t="n">
        <v>0.3</v>
      </c>
      <c r="M16" s="0" t="n">
        <v>0.3</v>
      </c>
      <c r="N16" s="0" t="s">
        <v>5482</v>
      </c>
      <c r="O16" s="0" t="s">
        <v>5461</v>
      </c>
      <c r="P16" s="0" t="s">
        <v>5442</v>
      </c>
      <c r="Q16" s="0" t="s">
        <v>5433</v>
      </c>
      <c r="R16" s="0" t="s">
        <v>5483</v>
      </c>
      <c r="S16" s="0" t="s">
        <v>5423</v>
      </c>
      <c r="T16" s="0" t="s">
        <v>5424</v>
      </c>
      <c r="U16" s="0" t="s">
        <v>5484</v>
      </c>
      <c r="V16" s="0" t="s">
        <v>5426</v>
      </c>
      <c r="Y16" s="0" t="e">
        <v>#NAME?</v>
      </c>
      <c r="Z16" s="0" t="e">
        <f aca="false">COUNTIF(G:G,Y16)</f>
        <v>#NAME?</v>
      </c>
    </row>
    <row r="17" customFormat="false" ht="13.5" hidden="false" customHeight="false" outlineLevel="0" collapsed="false">
      <c r="A17" s="0" t="s">
        <v>70</v>
      </c>
      <c r="B17" s="0" t="s">
        <v>5485</v>
      </c>
      <c r="C17" s="0" t="n">
        <v>2014</v>
      </c>
      <c r="D17" s="0" t="s">
        <v>5459</v>
      </c>
      <c r="E17" s="0" t="s">
        <v>19</v>
      </c>
      <c r="F17" s="0" t="s">
        <v>31</v>
      </c>
      <c r="G17" s="0" t="s">
        <v>32</v>
      </c>
      <c r="H17" s="0" t="s">
        <v>5418</v>
      </c>
      <c r="I17" s="0" t="s">
        <v>5407</v>
      </c>
      <c r="J17" s="0" t="n">
        <v>3</v>
      </c>
      <c r="K17" s="0" t="s">
        <v>5486</v>
      </c>
      <c r="L17" s="0" t="n">
        <v>10</v>
      </c>
      <c r="M17" s="0" t="n">
        <v>50</v>
      </c>
      <c r="N17" s="7" t="s">
        <v>5430</v>
      </c>
      <c r="O17" s="0" t="s">
        <v>5487</v>
      </c>
      <c r="P17" s="0" t="s">
        <v>5488</v>
      </c>
      <c r="Q17" s="0" t="s">
        <v>5489</v>
      </c>
      <c r="R17" s="0" t="s">
        <v>5490</v>
      </c>
      <c r="S17" s="0" t="s">
        <v>5491</v>
      </c>
      <c r="T17" s="0" t="s">
        <v>5492</v>
      </c>
      <c r="U17" s="0" t="s">
        <v>5493</v>
      </c>
      <c r="V17" s="0" t="s">
        <v>5426</v>
      </c>
      <c r="Y17" s="0" t="e">
        <v>#NAME?</v>
      </c>
      <c r="Z17" s="0" t="e">
        <f aca="false">COUNTIF(G:G,Y17)</f>
        <v>#NAME?</v>
      </c>
    </row>
    <row r="18" customFormat="false" ht="13.5" hidden="false" customHeight="false" outlineLevel="0" collapsed="false">
      <c r="A18" s="0" t="s">
        <v>72</v>
      </c>
      <c r="B18" s="0" t="s">
        <v>5494</v>
      </c>
      <c r="C18" s="0" t="n">
        <v>2018</v>
      </c>
      <c r="D18" s="0" t="s">
        <v>5495</v>
      </c>
      <c r="E18" s="0" t="s">
        <v>19</v>
      </c>
      <c r="F18" s="0" t="s">
        <v>31</v>
      </c>
      <c r="G18" s="0" t="s">
        <v>12</v>
      </c>
      <c r="H18" s="0" t="s">
        <v>5406</v>
      </c>
      <c r="I18" s="0" t="s">
        <v>5407</v>
      </c>
      <c r="J18" s="0" t="n">
        <v>4</v>
      </c>
      <c r="K18" s="0" t="s">
        <v>5441</v>
      </c>
      <c r="L18" s="0" t="n">
        <v>8</v>
      </c>
      <c r="M18" s="0" t="n">
        <v>50</v>
      </c>
      <c r="N18" s="7" t="s">
        <v>5430</v>
      </c>
      <c r="O18" s="0" t="s">
        <v>5431</v>
      </c>
      <c r="P18" s="0" t="s">
        <v>5488</v>
      </c>
      <c r="Q18" s="0" t="s">
        <v>5433</v>
      </c>
      <c r="R18" s="0" t="s">
        <v>5496</v>
      </c>
      <c r="S18" s="0" t="s">
        <v>5412</v>
      </c>
      <c r="T18" s="0" t="s">
        <v>5413</v>
      </c>
      <c r="U18" s="0" t="s">
        <v>5497</v>
      </c>
      <c r="V18" s="0" t="s">
        <v>5415</v>
      </c>
      <c r="Y18" s="0" t="e">
        <v>#NAME?</v>
      </c>
      <c r="Z18" s="0" t="e">
        <f aca="false">COUNTIF(G:G,Y18)</f>
        <v>#NAME?</v>
      </c>
    </row>
    <row r="19" customFormat="false" ht="13.5" hidden="false" customHeight="false" outlineLevel="0" collapsed="false">
      <c r="A19" s="0" t="s">
        <v>74</v>
      </c>
      <c r="B19" s="0" t="s">
        <v>5498</v>
      </c>
      <c r="C19" s="0" t="n">
        <v>2016</v>
      </c>
      <c r="D19" s="0" t="s">
        <v>5499</v>
      </c>
      <c r="E19" s="0" t="s">
        <v>19</v>
      </c>
      <c r="F19" s="0" t="s">
        <v>15</v>
      </c>
      <c r="G19" s="0" t="s">
        <v>276</v>
      </c>
      <c r="H19" s="0" t="s">
        <v>5418</v>
      </c>
      <c r="I19" s="0" t="s">
        <v>5407</v>
      </c>
      <c r="J19" s="0" t="n">
        <v>2</v>
      </c>
      <c r="K19" s="0" t="s">
        <v>5441</v>
      </c>
      <c r="L19" s="0" t="n">
        <v>1</v>
      </c>
      <c r="M19" s="0" t="n">
        <v>1</v>
      </c>
      <c r="N19" s="7" t="s">
        <v>5482</v>
      </c>
      <c r="O19" s="0" t="s">
        <v>5431</v>
      </c>
      <c r="P19" s="0" t="s">
        <v>5432</v>
      </c>
      <c r="Q19" s="0" t="s">
        <v>5433</v>
      </c>
      <c r="R19" s="0" t="s">
        <v>5443</v>
      </c>
      <c r="S19" s="0" t="s">
        <v>5500</v>
      </c>
      <c r="T19" s="0" t="s">
        <v>5436</v>
      </c>
      <c r="U19" s="0" t="s">
        <v>5501</v>
      </c>
      <c r="V19" s="0" t="s">
        <v>5446</v>
      </c>
      <c r="Y19" s="0" t="e">
        <v>#NAME?</v>
      </c>
      <c r="Z19" s="0" t="e">
        <f aca="false">COUNTIF(G:G,Y19)</f>
        <v>#NAME?</v>
      </c>
    </row>
    <row r="20" customFormat="false" ht="13.5" hidden="false" customHeight="false" outlineLevel="0" collapsed="false">
      <c r="A20" s="0" t="s">
        <v>74</v>
      </c>
      <c r="B20" s="0" t="s">
        <v>5498</v>
      </c>
      <c r="C20" s="0" t="n">
        <v>2016</v>
      </c>
      <c r="D20" s="0" t="s">
        <v>5499</v>
      </c>
      <c r="E20" s="0" t="s">
        <v>19</v>
      </c>
      <c r="F20" s="0" t="s">
        <v>15</v>
      </c>
      <c r="G20" s="0" t="s">
        <v>5440</v>
      </c>
      <c r="H20" s="0" t="s">
        <v>5418</v>
      </c>
      <c r="I20" s="0" t="s">
        <v>5407</v>
      </c>
      <c r="J20" s="0" t="n">
        <v>2</v>
      </c>
      <c r="K20" s="0" t="s">
        <v>5441</v>
      </c>
      <c r="L20" s="0" t="n">
        <v>1</v>
      </c>
      <c r="M20" s="0" t="n">
        <v>1</v>
      </c>
      <c r="N20" s="7" t="s">
        <v>5482</v>
      </c>
      <c r="O20" s="0" t="s">
        <v>5431</v>
      </c>
      <c r="P20" s="0" t="s">
        <v>5432</v>
      </c>
      <c r="Q20" s="0" t="s">
        <v>5433</v>
      </c>
      <c r="R20" s="0" t="s">
        <v>5443</v>
      </c>
      <c r="S20" s="0" t="s">
        <v>5500</v>
      </c>
      <c r="T20" s="0" t="s">
        <v>5436</v>
      </c>
      <c r="U20" s="0" t="s">
        <v>5501</v>
      </c>
      <c r="V20" s="0" t="s">
        <v>5446</v>
      </c>
      <c r="Y20" s="0" t="e">
        <v>#NAME?</v>
      </c>
      <c r="Z20" s="0" t="e">
        <f aca="false">COUNTIF(G:G,Y20)</f>
        <v>#NAME?</v>
      </c>
    </row>
    <row r="21" customFormat="false" ht="13.5" hidden="false" customHeight="false" outlineLevel="0" collapsed="false">
      <c r="A21" s="0" t="s">
        <v>77</v>
      </c>
      <c r="B21" s="0" t="s">
        <v>5502</v>
      </c>
      <c r="C21" s="0" t="n">
        <v>2019</v>
      </c>
      <c r="D21" s="0" t="s">
        <v>5503</v>
      </c>
      <c r="E21" s="0" t="s">
        <v>19</v>
      </c>
      <c r="F21" s="0" t="s">
        <v>31</v>
      </c>
      <c r="G21" s="0" t="s">
        <v>5504</v>
      </c>
      <c r="H21" s="0" t="s">
        <v>5406</v>
      </c>
      <c r="I21" s="0" t="s">
        <v>5407</v>
      </c>
      <c r="J21" s="0" t="n">
        <v>4</v>
      </c>
      <c r="K21" s="0" t="s">
        <v>5505</v>
      </c>
      <c r="L21" s="0" t="n">
        <v>2</v>
      </c>
      <c r="M21" s="0" t="n">
        <v>10</v>
      </c>
      <c r="N21" s="7" t="s">
        <v>5482</v>
      </c>
      <c r="O21" s="0" t="s">
        <v>2224</v>
      </c>
      <c r="P21" s="0" t="s">
        <v>5421</v>
      </c>
      <c r="Q21" s="0" t="s">
        <v>5433</v>
      </c>
      <c r="R21" s="0" t="s">
        <v>5457</v>
      </c>
      <c r="S21" s="0" t="s">
        <v>5423</v>
      </c>
      <c r="T21" s="0" t="s">
        <v>5410</v>
      </c>
      <c r="U21" s="0" t="s">
        <v>5469</v>
      </c>
      <c r="V21" s="0" t="s">
        <v>5410</v>
      </c>
      <c r="Y21" s="0" t="e">
        <v>#NAME?</v>
      </c>
      <c r="Z21" s="0" t="e">
        <f aca="false">COUNTIF(G:G,Y21)</f>
        <v>#NAME?</v>
      </c>
    </row>
    <row r="22" customFormat="false" ht="13.5" hidden="false" customHeight="false" outlineLevel="0" collapsed="false">
      <c r="A22" s="0" t="s">
        <v>77</v>
      </c>
      <c r="B22" s="0" t="s">
        <v>5502</v>
      </c>
      <c r="C22" s="0" t="n">
        <v>2019</v>
      </c>
      <c r="D22" s="0" t="s">
        <v>5503</v>
      </c>
      <c r="E22" s="0" t="s">
        <v>19</v>
      </c>
      <c r="F22" s="0" t="s">
        <v>31</v>
      </c>
      <c r="G22" s="0" t="s">
        <v>5506</v>
      </c>
      <c r="H22" s="0" t="s">
        <v>5406</v>
      </c>
      <c r="I22" s="0" t="s">
        <v>5407</v>
      </c>
      <c r="J22" s="0" t="n">
        <v>3</v>
      </c>
      <c r="K22" s="0" t="s">
        <v>5505</v>
      </c>
      <c r="L22" s="0" t="n">
        <v>0.16</v>
      </c>
      <c r="M22" s="0" t="n">
        <v>10</v>
      </c>
      <c r="N22" s="7" t="s">
        <v>5482</v>
      </c>
      <c r="O22" s="0" t="s">
        <v>2224</v>
      </c>
      <c r="P22" s="0" t="s">
        <v>5421</v>
      </c>
      <c r="Q22" s="0" t="s">
        <v>5433</v>
      </c>
      <c r="R22" s="0" t="s">
        <v>5457</v>
      </c>
      <c r="S22" s="0" t="s">
        <v>5423</v>
      </c>
      <c r="T22" s="0" t="s">
        <v>5410</v>
      </c>
      <c r="U22" s="0" t="s">
        <v>5469</v>
      </c>
      <c r="V22" s="0" t="s">
        <v>5410</v>
      </c>
      <c r="Y22" s="0" t="e">
        <v>#NAME?</v>
      </c>
      <c r="Z22" s="0" t="e">
        <f aca="false">COUNTIF(G:G,Y22)</f>
        <v>#NAME?</v>
      </c>
    </row>
    <row r="23" customFormat="false" ht="13.5" hidden="false" customHeight="false" outlineLevel="0" collapsed="false">
      <c r="A23" s="0" t="s">
        <v>77</v>
      </c>
      <c r="B23" s="0" t="s">
        <v>5502</v>
      </c>
      <c r="C23" s="0" t="n">
        <v>2019</v>
      </c>
      <c r="D23" s="0" t="s">
        <v>5503</v>
      </c>
      <c r="E23" s="0" t="s">
        <v>19</v>
      </c>
      <c r="F23" s="0" t="s">
        <v>31</v>
      </c>
      <c r="G23" s="0" t="s">
        <v>276</v>
      </c>
      <c r="H23" s="0" t="s">
        <v>5418</v>
      </c>
      <c r="I23" s="0" t="s">
        <v>5407</v>
      </c>
      <c r="J23" s="0" t="n">
        <v>3</v>
      </c>
      <c r="K23" s="0" t="s">
        <v>5505</v>
      </c>
      <c r="L23" s="0" t="n">
        <v>0</v>
      </c>
      <c r="M23" s="0" t="n">
        <v>8</v>
      </c>
      <c r="N23" s="7" t="s">
        <v>5482</v>
      </c>
      <c r="O23" s="0" t="s">
        <v>2224</v>
      </c>
      <c r="P23" s="0" t="s">
        <v>5421</v>
      </c>
      <c r="Q23" s="0" t="s">
        <v>5433</v>
      </c>
      <c r="R23" s="0" t="s">
        <v>5457</v>
      </c>
      <c r="S23" s="0" t="s">
        <v>5423</v>
      </c>
      <c r="T23" s="0" t="s">
        <v>5410</v>
      </c>
      <c r="U23" s="0" t="s">
        <v>5469</v>
      </c>
      <c r="V23" s="0" t="s">
        <v>5410</v>
      </c>
      <c r="Y23" s="0" t="e">
        <v>#NAME?</v>
      </c>
      <c r="Z23" s="0" t="e">
        <f aca="false">COUNTIF(G:G,Y23)</f>
        <v>#NAME?</v>
      </c>
    </row>
    <row r="24" customFormat="false" ht="13.5" hidden="false" customHeight="false" outlineLevel="0" collapsed="false">
      <c r="A24" s="0" t="s">
        <v>80</v>
      </c>
      <c r="B24" s="0" t="s">
        <v>5447</v>
      </c>
      <c r="C24" s="0" t="n">
        <v>2023</v>
      </c>
      <c r="D24" s="0" t="s">
        <v>5507</v>
      </c>
      <c r="E24" s="0" t="s">
        <v>46</v>
      </c>
      <c r="F24" s="0" t="s">
        <v>31</v>
      </c>
      <c r="G24" s="0" t="s">
        <v>1043</v>
      </c>
      <c r="H24" s="0" t="s">
        <v>5406</v>
      </c>
      <c r="I24" s="0" t="s">
        <v>5407</v>
      </c>
      <c r="J24" s="0" t="n">
        <v>1</v>
      </c>
      <c r="K24" s="0" t="s">
        <v>5408</v>
      </c>
      <c r="L24" s="0" t="n">
        <v>0.4</v>
      </c>
      <c r="M24" s="0" t="n">
        <v>2.5</v>
      </c>
      <c r="N24" s="7" t="s">
        <v>5409</v>
      </c>
      <c r="O24" s="0" t="s">
        <v>5410</v>
      </c>
      <c r="P24" s="0" t="s">
        <v>5410</v>
      </c>
      <c r="Q24" s="0" t="s">
        <v>5410</v>
      </c>
      <c r="R24" s="0" t="s">
        <v>5508</v>
      </c>
      <c r="S24" s="0" t="s">
        <v>5412</v>
      </c>
      <c r="T24" s="0" t="s">
        <v>5413</v>
      </c>
      <c r="U24" s="0" t="s">
        <v>5448</v>
      </c>
      <c r="V24" s="0" t="s">
        <v>5415</v>
      </c>
      <c r="Y24" s="0" t="e">
        <v>#NAME?</v>
      </c>
      <c r="Z24" s="0" t="e">
        <f aca="false">COUNTIF(G:G,Y24)</f>
        <v>#NAME?</v>
      </c>
    </row>
    <row r="25" customFormat="false" ht="13.5" hidden="false" customHeight="false" outlineLevel="0" collapsed="false">
      <c r="A25" s="0" t="s">
        <v>82</v>
      </c>
      <c r="B25" s="0" t="s">
        <v>5509</v>
      </c>
      <c r="C25" s="0" t="n">
        <v>2009</v>
      </c>
      <c r="D25" s="0" t="s">
        <v>5510</v>
      </c>
      <c r="E25" s="0" t="s">
        <v>19</v>
      </c>
      <c r="F25" s="0" t="s">
        <v>15</v>
      </c>
      <c r="G25" s="0" t="s">
        <v>36</v>
      </c>
      <c r="H25" s="0" t="s">
        <v>5418</v>
      </c>
      <c r="I25" s="0" t="s">
        <v>5407</v>
      </c>
      <c r="J25" s="0" t="n">
        <v>1</v>
      </c>
      <c r="K25" s="0" t="s">
        <v>5511</v>
      </c>
      <c r="L25" s="0" t="n">
        <v>0.3</v>
      </c>
      <c r="M25" s="0" t="n">
        <v>0.3</v>
      </c>
      <c r="N25" s="7" t="s">
        <v>5420</v>
      </c>
      <c r="O25" s="0" t="s">
        <v>5461</v>
      </c>
      <c r="P25" s="0" t="s">
        <v>5512</v>
      </c>
      <c r="Q25" s="0" t="s">
        <v>5433</v>
      </c>
      <c r="R25" s="0" t="s">
        <v>5513</v>
      </c>
      <c r="S25" s="0" t="s">
        <v>5423</v>
      </c>
      <c r="T25" s="0" t="s">
        <v>5410</v>
      </c>
      <c r="U25" s="0" t="s">
        <v>5469</v>
      </c>
      <c r="V25" s="0" t="s">
        <v>5426</v>
      </c>
      <c r="Y25" s="0" t="e">
        <v>#NAME?</v>
      </c>
      <c r="Z25" s="0" t="e">
        <f aca="false">COUNTIF(G:G,Y25)</f>
        <v>#NAME?</v>
      </c>
    </row>
    <row r="26" customFormat="false" ht="13.5" hidden="false" customHeight="false" outlineLevel="0" collapsed="false">
      <c r="A26" s="0" t="s">
        <v>82</v>
      </c>
      <c r="B26" s="0" t="s">
        <v>5509</v>
      </c>
      <c r="C26" s="0" t="n">
        <v>2009</v>
      </c>
      <c r="D26" s="0" t="s">
        <v>5510</v>
      </c>
      <c r="E26" s="0" t="s">
        <v>19</v>
      </c>
      <c r="F26" s="0" t="s">
        <v>15</v>
      </c>
      <c r="G26" s="0" t="s">
        <v>2725</v>
      </c>
      <c r="H26" s="0" t="s">
        <v>5418</v>
      </c>
      <c r="I26" s="0" t="s">
        <v>5407</v>
      </c>
      <c r="J26" s="0" t="n">
        <v>1</v>
      </c>
      <c r="K26" s="0" t="s">
        <v>5511</v>
      </c>
      <c r="L26" s="0" t="n">
        <v>0.3</v>
      </c>
      <c r="M26" s="0" t="n">
        <v>0.3</v>
      </c>
      <c r="N26" s="7" t="s">
        <v>5420</v>
      </c>
      <c r="O26" s="0" t="s">
        <v>5461</v>
      </c>
      <c r="P26" s="0" t="s">
        <v>5512</v>
      </c>
      <c r="Q26" s="0" t="s">
        <v>5433</v>
      </c>
      <c r="R26" s="0" t="s">
        <v>5513</v>
      </c>
      <c r="S26" s="0" t="s">
        <v>5423</v>
      </c>
      <c r="T26" s="0" t="s">
        <v>5410</v>
      </c>
      <c r="U26" s="0" t="s">
        <v>5469</v>
      </c>
      <c r="V26" s="0" t="s">
        <v>5426</v>
      </c>
      <c r="Y26" s="0" t="e">
        <v>#NAME?</v>
      </c>
      <c r="Z26" s="0" t="e">
        <f aca="false">COUNTIF(G:G,Y26)</f>
        <v>#NAME?</v>
      </c>
    </row>
    <row r="27" customFormat="false" ht="13.5" hidden="false" customHeight="false" outlineLevel="0" collapsed="false">
      <c r="A27" s="0" t="s">
        <v>86</v>
      </c>
      <c r="B27" s="0" t="s">
        <v>5514</v>
      </c>
      <c r="C27" s="0" t="n">
        <v>2019</v>
      </c>
      <c r="D27" s="0" t="s">
        <v>5515</v>
      </c>
      <c r="E27" s="0" t="s">
        <v>19</v>
      </c>
      <c r="F27" s="0" t="s">
        <v>31</v>
      </c>
      <c r="G27" s="0" t="s">
        <v>88</v>
      </c>
      <c r="H27" s="0" t="s">
        <v>5418</v>
      </c>
      <c r="I27" s="0" t="s">
        <v>5407</v>
      </c>
      <c r="J27" s="0" t="n">
        <v>2</v>
      </c>
      <c r="K27" s="0" t="s">
        <v>5429</v>
      </c>
      <c r="L27" s="0" t="n">
        <v>5</v>
      </c>
      <c r="M27" s="0" t="n">
        <v>20</v>
      </c>
      <c r="N27" s="7" t="s">
        <v>5430</v>
      </c>
      <c r="O27" s="0" t="s">
        <v>5461</v>
      </c>
      <c r="P27" s="0" t="s">
        <v>5516</v>
      </c>
      <c r="Q27" s="0" t="s">
        <v>5433</v>
      </c>
      <c r="R27" s="0" t="s">
        <v>5517</v>
      </c>
      <c r="S27" s="0" t="s">
        <v>5423</v>
      </c>
      <c r="T27" s="0" t="s">
        <v>5410</v>
      </c>
      <c r="U27" s="0" t="s">
        <v>5469</v>
      </c>
      <c r="V27" s="0" t="s">
        <v>5426</v>
      </c>
      <c r="Y27" s="0" t="e">
        <v>#NAME?</v>
      </c>
      <c r="Z27" s="0" t="e">
        <f aca="false">COUNTIF(G:G,Y27)</f>
        <v>#NAME?</v>
      </c>
    </row>
    <row r="28" customFormat="false" ht="13.5" hidden="false" customHeight="false" outlineLevel="0" collapsed="false">
      <c r="A28" s="0" t="s">
        <v>89</v>
      </c>
      <c r="B28" s="0" t="s">
        <v>5518</v>
      </c>
      <c r="C28" s="0" t="n">
        <v>2019</v>
      </c>
      <c r="D28" s="0" t="s">
        <v>5439</v>
      </c>
      <c r="E28" s="0" t="s">
        <v>24</v>
      </c>
      <c r="F28" s="0" t="s">
        <v>31</v>
      </c>
      <c r="G28" s="0" t="s">
        <v>1043</v>
      </c>
      <c r="H28" s="0" t="s">
        <v>5406</v>
      </c>
      <c r="I28" s="0" t="s">
        <v>5407</v>
      </c>
      <c r="J28" s="0" t="n">
        <v>2</v>
      </c>
      <c r="K28" s="0" t="s">
        <v>5519</v>
      </c>
      <c r="L28" s="0" t="n">
        <v>3</v>
      </c>
      <c r="M28" s="0" t="n">
        <v>125</v>
      </c>
      <c r="N28" s="7" t="s">
        <v>5409</v>
      </c>
      <c r="O28" s="0" t="s">
        <v>5410</v>
      </c>
      <c r="P28" s="0" t="s">
        <v>5451</v>
      </c>
      <c r="Q28" s="0" t="s">
        <v>5410</v>
      </c>
      <c r="R28" s="0" t="s">
        <v>5411</v>
      </c>
      <c r="S28" s="0" t="s">
        <v>5472</v>
      </c>
      <c r="T28" s="0" t="s">
        <v>5473</v>
      </c>
      <c r="U28" s="0" t="s">
        <v>5469</v>
      </c>
      <c r="V28" s="0" t="s">
        <v>5415</v>
      </c>
      <c r="Y28" s="0" t="e">
        <v>#NAME?</v>
      </c>
      <c r="Z28" s="0" t="e">
        <f aca="false">COUNTIF(G:G,Y28)</f>
        <v>#NAME?</v>
      </c>
    </row>
    <row r="29" customFormat="false" ht="13.5" hidden="false" customHeight="false" outlineLevel="0" collapsed="false">
      <c r="A29" s="0" t="s">
        <v>91</v>
      </c>
      <c r="B29" s="0" t="s">
        <v>5520</v>
      </c>
      <c r="C29" s="0" t="n">
        <v>2008</v>
      </c>
      <c r="D29" s="0" t="s">
        <v>5521</v>
      </c>
      <c r="E29" s="0" t="s">
        <v>19</v>
      </c>
      <c r="F29" s="0" t="s">
        <v>31</v>
      </c>
      <c r="G29" s="0" t="s">
        <v>47</v>
      </c>
      <c r="H29" s="0" t="s">
        <v>5406</v>
      </c>
      <c r="I29" s="0" t="s">
        <v>5407</v>
      </c>
      <c r="J29" s="0" t="n">
        <v>2</v>
      </c>
      <c r="K29" s="0" t="s">
        <v>5441</v>
      </c>
      <c r="L29" s="0" t="n">
        <v>6</v>
      </c>
      <c r="M29" s="0" t="n">
        <v>50</v>
      </c>
      <c r="N29" s="7" t="s">
        <v>5430</v>
      </c>
      <c r="O29" s="0" t="s">
        <v>2224</v>
      </c>
      <c r="P29" s="0" t="s">
        <v>5442</v>
      </c>
      <c r="Q29" s="0" t="s">
        <v>5433</v>
      </c>
      <c r="R29" s="0" t="s">
        <v>5496</v>
      </c>
      <c r="S29" s="0" t="s">
        <v>5522</v>
      </c>
      <c r="T29" s="0" t="s">
        <v>5413</v>
      </c>
      <c r="U29" s="0" t="s">
        <v>5523</v>
      </c>
      <c r="V29" s="0" t="s">
        <v>5464</v>
      </c>
      <c r="Y29" s="0" t="e">
        <v>#NAME?</v>
      </c>
      <c r="Z29" s="0" t="e">
        <f aca="false">COUNTIF(G:G,Y29)</f>
        <v>#NAME?</v>
      </c>
    </row>
    <row r="30" customFormat="false" ht="13.5" hidden="false" customHeight="false" outlineLevel="0" collapsed="false">
      <c r="A30" s="0" t="s">
        <v>93</v>
      </c>
      <c r="B30" s="0" t="s">
        <v>5524</v>
      </c>
      <c r="C30" s="0" t="n">
        <v>2016</v>
      </c>
      <c r="D30" s="0" t="s">
        <v>5439</v>
      </c>
      <c r="E30" s="0" t="s">
        <v>19</v>
      </c>
      <c r="F30" s="0" t="s">
        <v>31</v>
      </c>
      <c r="G30" s="0" t="s">
        <v>1043</v>
      </c>
      <c r="H30" s="0" t="s">
        <v>5406</v>
      </c>
      <c r="I30" s="0" t="s">
        <v>5407</v>
      </c>
      <c r="J30" s="0" t="n">
        <v>2</v>
      </c>
      <c r="K30" s="0" t="s">
        <v>5441</v>
      </c>
      <c r="L30" s="0" t="n">
        <v>1</v>
      </c>
      <c r="M30" s="0" t="n">
        <v>1</v>
      </c>
      <c r="N30" s="7" t="s">
        <v>5482</v>
      </c>
      <c r="O30" s="0" t="s">
        <v>2224</v>
      </c>
      <c r="P30" s="0" t="s">
        <v>5525</v>
      </c>
      <c r="Q30" s="0" t="s">
        <v>5433</v>
      </c>
      <c r="R30" s="0" t="s">
        <v>5526</v>
      </c>
      <c r="S30" s="0" t="s">
        <v>5472</v>
      </c>
      <c r="T30" s="0" t="s">
        <v>5473</v>
      </c>
      <c r="U30" s="0" t="s">
        <v>5469</v>
      </c>
      <c r="Y30" s="0" t="e">
        <v>#NAME?</v>
      </c>
      <c r="Z30" s="0" t="e">
        <f aca="false">COUNTIF(G:G,Y30)</f>
        <v>#NAME?</v>
      </c>
    </row>
    <row r="31" customFormat="false" ht="13.5" hidden="false" customHeight="false" outlineLevel="0" collapsed="false">
      <c r="A31" s="0" t="s">
        <v>96</v>
      </c>
      <c r="B31" s="0" t="s">
        <v>5527</v>
      </c>
      <c r="C31" s="0" t="n">
        <v>2022</v>
      </c>
      <c r="D31" s="0" t="s">
        <v>5528</v>
      </c>
      <c r="E31" s="0" t="s">
        <v>19</v>
      </c>
      <c r="F31" s="0" t="s">
        <v>31</v>
      </c>
      <c r="G31" s="0" t="s">
        <v>963</v>
      </c>
      <c r="H31" s="0" t="s">
        <v>5406</v>
      </c>
      <c r="I31" s="0" t="s">
        <v>5407</v>
      </c>
      <c r="J31" s="0" t="n">
        <v>2</v>
      </c>
      <c r="K31" s="0" t="s">
        <v>5529</v>
      </c>
      <c r="L31" s="0" t="n">
        <v>5</v>
      </c>
      <c r="M31" s="0" t="n">
        <v>100</v>
      </c>
      <c r="N31" s="7" t="s">
        <v>5430</v>
      </c>
      <c r="O31" s="0" t="s">
        <v>5530</v>
      </c>
      <c r="P31" s="0" t="s">
        <v>5442</v>
      </c>
      <c r="Q31" s="0" t="s">
        <v>5433</v>
      </c>
      <c r="R31" s="0" t="s">
        <v>5531</v>
      </c>
      <c r="S31" s="0" t="s">
        <v>5532</v>
      </c>
      <c r="T31" s="0" t="s">
        <v>5436</v>
      </c>
      <c r="U31" s="0" t="s">
        <v>5469</v>
      </c>
      <c r="V31" s="0" t="s">
        <v>5426</v>
      </c>
      <c r="Y31" s="0" t="e">
        <v>#NAME?</v>
      </c>
      <c r="Z31" s="0" t="e">
        <f aca="false">COUNTIF(G:G,Y31)</f>
        <v>#NAME?</v>
      </c>
    </row>
    <row r="32" customFormat="false" ht="13.5" hidden="false" customHeight="false" outlineLevel="0" collapsed="false">
      <c r="A32" s="0" t="s">
        <v>99</v>
      </c>
      <c r="B32" s="0" t="s">
        <v>5533</v>
      </c>
      <c r="C32" s="0" t="n">
        <v>2010</v>
      </c>
      <c r="D32" s="0" t="s">
        <v>5459</v>
      </c>
      <c r="E32" s="0" t="s">
        <v>19</v>
      </c>
      <c r="F32" s="0" t="s">
        <v>31</v>
      </c>
      <c r="G32" s="0" t="s">
        <v>5440</v>
      </c>
      <c r="H32" s="0" t="s">
        <v>5418</v>
      </c>
      <c r="I32" s="0" t="s">
        <v>5407</v>
      </c>
      <c r="J32" s="0" t="n">
        <v>2</v>
      </c>
      <c r="K32" s="0" t="s">
        <v>5534</v>
      </c>
      <c r="L32" s="0" t="n">
        <v>50</v>
      </c>
      <c r="M32" s="0" t="n">
        <v>50</v>
      </c>
      <c r="N32" s="7" t="s">
        <v>5430</v>
      </c>
      <c r="O32" s="0" t="s">
        <v>5431</v>
      </c>
      <c r="P32" s="0" t="s">
        <v>5535</v>
      </c>
      <c r="Q32" s="0" t="s">
        <v>5433</v>
      </c>
      <c r="R32" s="0" t="s">
        <v>5536</v>
      </c>
      <c r="S32" s="0" t="s">
        <v>5537</v>
      </c>
      <c r="T32" s="0" t="s">
        <v>5413</v>
      </c>
      <c r="U32" s="0" t="s">
        <v>5538</v>
      </c>
      <c r="V32" s="0" t="s">
        <v>5464</v>
      </c>
      <c r="Y32" s="0" t="e">
        <v>#NAME?</v>
      </c>
      <c r="Z32" s="0" t="e">
        <f aca="false">COUNTIF(G:G,Y32)</f>
        <v>#NAME?</v>
      </c>
    </row>
    <row r="33" customFormat="false" ht="13.5" hidden="false" customHeight="false" outlineLevel="0" collapsed="false">
      <c r="A33" s="0" t="s">
        <v>102</v>
      </c>
      <c r="B33" s="0" t="s">
        <v>5539</v>
      </c>
      <c r="C33" s="0" t="n">
        <v>2019</v>
      </c>
      <c r="D33" s="0" t="s">
        <v>5540</v>
      </c>
      <c r="E33" s="0" t="s">
        <v>19</v>
      </c>
      <c r="F33" s="0" t="s">
        <v>31</v>
      </c>
      <c r="G33" s="0" t="s">
        <v>5504</v>
      </c>
      <c r="H33" s="0" t="s">
        <v>5406</v>
      </c>
      <c r="I33" s="0" t="s">
        <v>5407</v>
      </c>
      <c r="J33" s="0" t="n">
        <v>2</v>
      </c>
      <c r="K33" s="0" t="s">
        <v>5541</v>
      </c>
      <c r="L33" s="0" t="n">
        <v>140</v>
      </c>
      <c r="M33" s="0" t="n">
        <v>500</v>
      </c>
      <c r="N33" s="7" t="s">
        <v>5430</v>
      </c>
      <c r="O33" s="0" t="s">
        <v>5461</v>
      </c>
      <c r="P33" s="0" t="s">
        <v>5542</v>
      </c>
      <c r="Q33" s="0" t="s">
        <v>5433</v>
      </c>
      <c r="R33" s="0" t="s">
        <v>5543</v>
      </c>
      <c r="S33" s="0" t="s">
        <v>5423</v>
      </c>
      <c r="T33" s="0" t="s">
        <v>5410</v>
      </c>
      <c r="U33" s="0" t="s">
        <v>5469</v>
      </c>
      <c r="V33" s="0" t="s">
        <v>5410</v>
      </c>
      <c r="Y33" s="0" t="e">
        <v>#NAME?</v>
      </c>
      <c r="Z33" s="0" t="e">
        <f aca="false">COUNTIF(G:G,Y33)</f>
        <v>#NAME?</v>
      </c>
    </row>
    <row r="34" customFormat="false" ht="13.5" hidden="false" customHeight="false" outlineLevel="0" collapsed="false">
      <c r="A34" s="0" t="s">
        <v>102</v>
      </c>
      <c r="B34" s="0" t="s">
        <v>5539</v>
      </c>
      <c r="C34" s="0" t="n">
        <v>2019</v>
      </c>
      <c r="D34" s="0" t="s">
        <v>5540</v>
      </c>
      <c r="E34" s="0" t="s">
        <v>19</v>
      </c>
      <c r="F34" s="0" t="s">
        <v>31</v>
      </c>
      <c r="G34" s="0" t="s">
        <v>4624</v>
      </c>
      <c r="H34" s="0" t="s">
        <v>5406</v>
      </c>
      <c r="I34" s="0" t="s">
        <v>5407</v>
      </c>
      <c r="J34" s="0" t="n">
        <v>2</v>
      </c>
      <c r="K34" s="0" t="s">
        <v>5541</v>
      </c>
      <c r="L34" s="0" t="n">
        <v>140</v>
      </c>
      <c r="M34" s="0" t="n">
        <v>500</v>
      </c>
      <c r="N34" s="7" t="s">
        <v>5430</v>
      </c>
      <c r="O34" s="0" t="s">
        <v>5461</v>
      </c>
      <c r="P34" s="0" t="s">
        <v>5542</v>
      </c>
      <c r="Q34" s="0" t="s">
        <v>5433</v>
      </c>
      <c r="R34" s="0" t="s">
        <v>5543</v>
      </c>
      <c r="S34" s="0" t="s">
        <v>5423</v>
      </c>
      <c r="T34" s="0" t="s">
        <v>5410</v>
      </c>
      <c r="U34" s="0" t="s">
        <v>5469</v>
      </c>
      <c r="V34" s="0" t="s">
        <v>5410</v>
      </c>
      <c r="Y34" s="0" t="e">
        <v>#NAME?</v>
      </c>
      <c r="Z34" s="0" t="e">
        <f aca="false">COUNTIF(G:G,Y34)</f>
        <v>#NAME?</v>
      </c>
    </row>
    <row r="35" customFormat="false" ht="13.5" hidden="false" customHeight="false" outlineLevel="0" collapsed="false">
      <c r="A35" s="0" t="s">
        <v>105</v>
      </c>
      <c r="B35" s="0" t="s">
        <v>5544</v>
      </c>
      <c r="C35" s="0" t="n">
        <v>2021</v>
      </c>
      <c r="D35" s="0" t="s">
        <v>5405</v>
      </c>
      <c r="E35" s="0" t="s">
        <v>24</v>
      </c>
      <c r="F35" s="0" t="s">
        <v>31</v>
      </c>
      <c r="G35" s="0" t="s">
        <v>12</v>
      </c>
      <c r="H35" s="0" t="s">
        <v>5406</v>
      </c>
      <c r="I35" s="0" t="s">
        <v>5407</v>
      </c>
      <c r="J35" s="0" t="n">
        <v>2</v>
      </c>
      <c r="K35" s="0" t="s">
        <v>5408</v>
      </c>
      <c r="L35" s="0" t="n">
        <v>7</v>
      </c>
      <c r="M35" s="0" t="n">
        <v>14</v>
      </c>
      <c r="N35" s="7" t="s">
        <v>5409</v>
      </c>
      <c r="O35" s="0" t="s">
        <v>5410</v>
      </c>
      <c r="P35" s="0" t="s">
        <v>5410</v>
      </c>
      <c r="Q35" s="0" t="s">
        <v>5410</v>
      </c>
      <c r="R35" s="0" t="s">
        <v>5411</v>
      </c>
      <c r="S35" s="0" t="s">
        <v>5412</v>
      </c>
      <c r="T35" s="0" t="s">
        <v>5413</v>
      </c>
      <c r="U35" s="0" t="s">
        <v>5545</v>
      </c>
      <c r="Y35" s="0" t="e">
        <v>#NAME?</v>
      </c>
      <c r="Z35" s="0" t="e">
        <f aca="false">COUNTIF(G:G,Y35)</f>
        <v>#NAME?</v>
      </c>
    </row>
    <row r="36" customFormat="false" ht="13.5" hidden="false" customHeight="false" outlineLevel="0" collapsed="false">
      <c r="A36" s="0" t="s">
        <v>108</v>
      </c>
      <c r="B36" s="0" t="s">
        <v>5546</v>
      </c>
      <c r="C36" s="0" t="n">
        <v>2018</v>
      </c>
      <c r="D36" s="0" t="s">
        <v>5428</v>
      </c>
      <c r="E36" s="0" t="s">
        <v>19</v>
      </c>
      <c r="F36" s="0" t="s">
        <v>31</v>
      </c>
      <c r="G36" s="0" t="s">
        <v>370</v>
      </c>
      <c r="H36" s="0" t="s">
        <v>5406</v>
      </c>
      <c r="I36" s="0" t="s">
        <v>5407</v>
      </c>
      <c r="J36" s="0" t="n">
        <v>2</v>
      </c>
      <c r="K36" s="0" t="s">
        <v>5441</v>
      </c>
      <c r="L36" s="0" t="n">
        <v>20</v>
      </c>
      <c r="M36" s="0" t="n">
        <v>20</v>
      </c>
      <c r="N36" s="7" t="s">
        <v>5430</v>
      </c>
      <c r="O36" s="0" t="s">
        <v>5461</v>
      </c>
      <c r="P36" s="0" t="s">
        <v>5442</v>
      </c>
      <c r="Q36" s="0" t="s">
        <v>5433</v>
      </c>
      <c r="R36" s="0" t="s">
        <v>5443</v>
      </c>
      <c r="S36" s="0" t="s">
        <v>5547</v>
      </c>
      <c r="T36" s="0" t="s">
        <v>5413</v>
      </c>
      <c r="U36" s="0" t="s">
        <v>5548</v>
      </c>
      <c r="V36" s="0" t="s">
        <v>5415</v>
      </c>
      <c r="Y36" s="0" t="e">
        <v>#NAME?</v>
      </c>
      <c r="Z36" s="0" t="e">
        <f aca="false">COUNTIF(G:G,Y36)</f>
        <v>#NAME?</v>
      </c>
    </row>
    <row r="37" customFormat="false" ht="13.5" hidden="false" customHeight="false" outlineLevel="0" collapsed="false">
      <c r="A37" s="0" t="s">
        <v>108</v>
      </c>
      <c r="B37" s="0" t="s">
        <v>5546</v>
      </c>
      <c r="C37" s="0" t="n">
        <v>2018</v>
      </c>
      <c r="D37" s="0" t="s">
        <v>5428</v>
      </c>
      <c r="E37" s="0" t="s">
        <v>19</v>
      </c>
      <c r="F37" s="0" t="s">
        <v>31</v>
      </c>
      <c r="G37" s="0" t="s">
        <v>122</v>
      </c>
      <c r="H37" s="0" t="s">
        <v>5406</v>
      </c>
      <c r="I37" s="0" t="s">
        <v>5407</v>
      </c>
      <c r="J37" s="0" t="n">
        <v>2</v>
      </c>
      <c r="K37" s="0" t="s">
        <v>5441</v>
      </c>
      <c r="L37" s="0" t="n">
        <v>20</v>
      </c>
      <c r="M37" s="0" t="n">
        <v>20</v>
      </c>
      <c r="N37" s="7" t="s">
        <v>5430</v>
      </c>
      <c r="O37" s="0" t="s">
        <v>5461</v>
      </c>
      <c r="P37" s="0" t="s">
        <v>5442</v>
      </c>
      <c r="Q37" s="0" t="s">
        <v>5433</v>
      </c>
      <c r="R37" s="0" t="s">
        <v>5443</v>
      </c>
      <c r="S37" s="0" t="s">
        <v>5547</v>
      </c>
      <c r="T37" s="0" t="s">
        <v>5413</v>
      </c>
      <c r="U37" s="0" t="s">
        <v>5548</v>
      </c>
      <c r="V37" s="0" t="s">
        <v>5415</v>
      </c>
      <c r="Y37" s="0" t="e">
        <v>#NAME?</v>
      </c>
      <c r="Z37" s="0" t="e">
        <f aca="false">COUNTIF(G:G,Y37)</f>
        <v>#NAME?</v>
      </c>
    </row>
    <row r="38" customFormat="false" ht="13.5" hidden="false" customHeight="false" outlineLevel="0" collapsed="false">
      <c r="A38" s="0" t="s">
        <v>108</v>
      </c>
      <c r="B38" s="0" t="s">
        <v>5546</v>
      </c>
      <c r="C38" s="0" t="n">
        <v>2018</v>
      </c>
      <c r="D38" s="0" t="s">
        <v>5428</v>
      </c>
      <c r="E38" s="0" t="s">
        <v>19</v>
      </c>
      <c r="F38" s="0" t="s">
        <v>31</v>
      </c>
      <c r="G38" s="0" t="s">
        <v>400</v>
      </c>
      <c r="H38" s="0" t="s">
        <v>5406</v>
      </c>
      <c r="I38" s="0" t="s">
        <v>5407</v>
      </c>
      <c r="J38" s="0" t="n">
        <v>2</v>
      </c>
      <c r="K38" s="0" t="s">
        <v>5441</v>
      </c>
      <c r="L38" s="0" t="n">
        <v>20</v>
      </c>
      <c r="M38" s="0" t="n">
        <v>20</v>
      </c>
      <c r="N38" s="7" t="s">
        <v>5430</v>
      </c>
      <c r="O38" s="0" t="s">
        <v>5461</v>
      </c>
      <c r="P38" s="0" t="s">
        <v>5442</v>
      </c>
      <c r="Q38" s="0" t="s">
        <v>5433</v>
      </c>
      <c r="R38" s="0" t="s">
        <v>5443</v>
      </c>
      <c r="S38" s="0" t="s">
        <v>5547</v>
      </c>
      <c r="T38" s="0" t="s">
        <v>5413</v>
      </c>
      <c r="U38" s="0" t="s">
        <v>5549</v>
      </c>
      <c r="V38" s="0" t="s">
        <v>5464</v>
      </c>
      <c r="Y38" s="0" t="e">
        <v>#NAME?</v>
      </c>
      <c r="Z38" s="0" t="e">
        <f aca="false">COUNTIF(G:G,Y38)</f>
        <v>#NAME?</v>
      </c>
    </row>
    <row r="39" customFormat="false" ht="13.5" hidden="false" customHeight="false" outlineLevel="0" collapsed="false">
      <c r="A39" s="0" t="s">
        <v>111</v>
      </c>
      <c r="B39" s="0" t="s">
        <v>5550</v>
      </c>
      <c r="C39" s="0" t="n">
        <v>2015</v>
      </c>
      <c r="D39" s="0" t="s">
        <v>5551</v>
      </c>
      <c r="E39" s="0" t="s">
        <v>24</v>
      </c>
      <c r="F39" s="0" t="s">
        <v>31</v>
      </c>
      <c r="G39" s="0" t="s">
        <v>32</v>
      </c>
      <c r="H39" s="0" t="s">
        <v>5418</v>
      </c>
      <c r="I39" s="0" t="s">
        <v>5407</v>
      </c>
      <c r="J39" s="0" t="n">
        <v>2</v>
      </c>
      <c r="K39" s="0" t="s">
        <v>5408</v>
      </c>
      <c r="L39" s="0" t="n">
        <v>300</v>
      </c>
      <c r="M39" s="0" t="n">
        <v>1600</v>
      </c>
      <c r="N39" s="7" t="s">
        <v>5409</v>
      </c>
      <c r="O39" s="0" t="s">
        <v>5410</v>
      </c>
      <c r="P39" s="0" t="s">
        <v>5410</v>
      </c>
      <c r="Q39" s="0" t="s">
        <v>5410</v>
      </c>
      <c r="R39" s="0" t="s">
        <v>5434</v>
      </c>
      <c r="S39" s="0" t="s">
        <v>5552</v>
      </c>
      <c r="T39" s="0" t="s">
        <v>5413</v>
      </c>
      <c r="U39" s="0" t="s">
        <v>5553</v>
      </c>
      <c r="V39" s="0" t="s">
        <v>5415</v>
      </c>
      <c r="Y39" s="0" t="e">
        <v>#NAME?</v>
      </c>
      <c r="Z39" s="0" t="e">
        <f aca="false">COUNTIF(G:G,Y39)</f>
        <v>#NAME?</v>
      </c>
    </row>
    <row r="40" customFormat="false" ht="13.5" hidden="false" customHeight="false" outlineLevel="0" collapsed="false">
      <c r="A40" s="0" t="s">
        <v>114</v>
      </c>
      <c r="B40" s="0" t="s">
        <v>5554</v>
      </c>
      <c r="C40" s="0" t="n">
        <v>2020</v>
      </c>
      <c r="D40" s="0" t="s">
        <v>5555</v>
      </c>
      <c r="E40" s="0" t="s">
        <v>19</v>
      </c>
      <c r="F40" s="0" t="s">
        <v>31</v>
      </c>
      <c r="G40" s="0" t="s">
        <v>98</v>
      </c>
      <c r="H40" s="0" t="s">
        <v>5406</v>
      </c>
      <c r="I40" s="0" t="s">
        <v>5556</v>
      </c>
      <c r="J40" s="0" t="n">
        <v>2</v>
      </c>
      <c r="K40" s="0" t="s">
        <v>5557</v>
      </c>
      <c r="L40" s="0" t="n">
        <v>40</v>
      </c>
      <c r="M40" s="0" t="n">
        <v>120</v>
      </c>
      <c r="N40" s="7" t="s">
        <v>5430</v>
      </c>
      <c r="O40" s="0" t="s">
        <v>5461</v>
      </c>
      <c r="P40" s="0" t="s">
        <v>5442</v>
      </c>
      <c r="Q40" s="0" t="s">
        <v>5433</v>
      </c>
      <c r="R40" s="0" t="s">
        <v>5457</v>
      </c>
      <c r="S40" s="0" t="s">
        <v>5558</v>
      </c>
      <c r="T40" s="0" t="s">
        <v>5436</v>
      </c>
      <c r="U40" s="0" t="s">
        <v>5559</v>
      </c>
      <c r="V40" s="0" t="s">
        <v>5426</v>
      </c>
      <c r="Y40" s="0" t="e">
        <v>#NAME?</v>
      </c>
      <c r="Z40" s="0" t="e">
        <f aca="false">COUNTIF(G:G,Y40)</f>
        <v>#NAME?</v>
      </c>
    </row>
    <row r="41" customFormat="false" ht="13.5" hidden="false" customHeight="false" outlineLevel="0" collapsed="false">
      <c r="A41" s="0" t="s">
        <v>116</v>
      </c>
      <c r="B41" s="0" t="s">
        <v>5560</v>
      </c>
      <c r="C41" s="0" t="n">
        <v>2014</v>
      </c>
      <c r="D41" s="0" t="s">
        <v>5561</v>
      </c>
      <c r="E41" s="0" t="s">
        <v>19</v>
      </c>
      <c r="F41" s="0" t="s">
        <v>31</v>
      </c>
      <c r="G41" s="0" t="s">
        <v>56</v>
      </c>
      <c r="H41" s="0" t="s">
        <v>5418</v>
      </c>
      <c r="I41" s="0" t="s">
        <v>5407</v>
      </c>
      <c r="J41" s="0" t="n">
        <v>2</v>
      </c>
      <c r="K41" s="0" t="s">
        <v>5562</v>
      </c>
      <c r="L41" s="0" t="n">
        <v>50</v>
      </c>
      <c r="M41" s="0" t="n">
        <v>400</v>
      </c>
      <c r="N41" s="7" t="s">
        <v>5430</v>
      </c>
      <c r="O41" s="0" t="s">
        <v>5461</v>
      </c>
      <c r="P41" s="0" t="s">
        <v>5563</v>
      </c>
      <c r="Q41" s="0" t="s">
        <v>5433</v>
      </c>
      <c r="R41" s="0" t="s">
        <v>5564</v>
      </c>
      <c r="S41" s="0" t="s">
        <v>5423</v>
      </c>
      <c r="T41" s="0" t="s">
        <v>5410</v>
      </c>
      <c r="U41" s="0" t="s">
        <v>5469</v>
      </c>
      <c r="V41" s="0" t="s">
        <v>5410</v>
      </c>
      <c r="Y41" s="0" t="e">
        <v>#NAME?</v>
      </c>
      <c r="Z41" s="0" t="e">
        <f aca="false">COUNTIF(G:G,Y41)</f>
        <v>#NAME?</v>
      </c>
    </row>
    <row r="42" customFormat="false" ht="13.5" hidden="false" customHeight="false" outlineLevel="0" collapsed="false">
      <c r="A42" s="0" t="s">
        <v>116</v>
      </c>
      <c r="B42" s="0" t="s">
        <v>5560</v>
      </c>
      <c r="C42" s="0" t="n">
        <v>2014</v>
      </c>
      <c r="D42" s="0" t="s">
        <v>5561</v>
      </c>
      <c r="E42" s="0" t="s">
        <v>19</v>
      </c>
      <c r="F42" s="0" t="s">
        <v>31</v>
      </c>
      <c r="G42" s="0" t="s">
        <v>276</v>
      </c>
      <c r="H42" s="0" t="s">
        <v>5418</v>
      </c>
      <c r="I42" s="0" t="s">
        <v>5407</v>
      </c>
      <c r="J42" s="0" t="n">
        <v>2</v>
      </c>
      <c r="K42" s="0" t="s">
        <v>5562</v>
      </c>
      <c r="L42" s="0" t="n">
        <v>50</v>
      </c>
      <c r="M42" s="0" t="n">
        <v>400</v>
      </c>
      <c r="N42" s="7" t="s">
        <v>5430</v>
      </c>
      <c r="O42" s="0" t="s">
        <v>5461</v>
      </c>
      <c r="P42" s="0" t="s">
        <v>5563</v>
      </c>
      <c r="Q42" s="0" t="s">
        <v>5433</v>
      </c>
      <c r="R42" s="0" t="s">
        <v>5564</v>
      </c>
      <c r="S42" s="0" t="s">
        <v>5423</v>
      </c>
      <c r="T42" s="0" t="s">
        <v>5410</v>
      </c>
      <c r="U42" s="0" t="s">
        <v>5469</v>
      </c>
      <c r="V42" s="0" t="s">
        <v>5410</v>
      </c>
      <c r="Y42" s="0" t="e">
        <v>#NAME?</v>
      </c>
      <c r="Z42" s="0" t="e">
        <f aca="false">COUNTIF(G:G,Y42)</f>
        <v>#NAME?</v>
      </c>
    </row>
    <row r="43" customFormat="false" ht="13.5" hidden="false" customHeight="false" outlineLevel="0" collapsed="false">
      <c r="A43" s="0" t="s">
        <v>120</v>
      </c>
      <c r="B43" s="0" t="s">
        <v>5565</v>
      </c>
      <c r="C43" s="0" t="n">
        <v>2018</v>
      </c>
      <c r="D43" s="0" t="s">
        <v>5405</v>
      </c>
      <c r="E43" s="0" t="s">
        <v>24</v>
      </c>
      <c r="F43" s="0" t="s">
        <v>31</v>
      </c>
      <c r="G43" s="0" t="s">
        <v>122</v>
      </c>
      <c r="H43" s="0" t="s">
        <v>5406</v>
      </c>
      <c r="I43" s="0" t="s">
        <v>5407</v>
      </c>
      <c r="J43" s="0" t="n">
        <v>2</v>
      </c>
      <c r="K43" s="0" t="s">
        <v>5408</v>
      </c>
      <c r="L43" s="0" t="n">
        <v>0.25</v>
      </c>
      <c r="M43" s="0" t="n">
        <v>2</v>
      </c>
      <c r="N43" s="7" t="s">
        <v>5409</v>
      </c>
      <c r="O43" s="0" t="s">
        <v>5410</v>
      </c>
      <c r="P43" s="0" t="s">
        <v>5410</v>
      </c>
      <c r="Q43" s="0" t="s">
        <v>5410</v>
      </c>
      <c r="R43" s="0" t="s">
        <v>5566</v>
      </c>
      <c r="S43" s="0" t="s">
        <v>5547</v>
      </c>
      <c r="T43" s="0" t="s">
        <v>5413</v>
      </c>
      <c r="U43" s="0" t="s">
        <v>5567</v>
      </c>
      <c r="V43" s="0" t="s">
        <v>5415</v>
      </c>
      <c r="Y43" s="0" t="e">
        <v>#NAME?</v>
      </c>
      <c r="Z43" s="0" t="e">
        <f aca="false">COUNTIF(G:G,Y43)</f>
        <v>#NAME?</v>
      </c>
    </row>
    <row r="44" customFormat="false" ht="13.5" hidden="false" customHeight="false" outlineLevel="0" collapsed="false">
      <c r="A44" s="0" t="s">
        <v>123</v>
      </c>
      <c r="B44" s="0" t="s">
        <v>5568</v>
      </c>
      <c r="C44" s="0" t="n">
        <v>1975</v>
      </c>
      <c r="D44" s="0" t="s">
        <v>5515</v>
      </c>
      <c r="E44" s="0" t="s">
        <v>19</v>
      </c>
      <c r="F44" s="0" t="s">
        <v>31</v>
      </c>
      <c r="G44" s="0" t="s">
        <v>32</v>
      </c>
      <c r="H44" s="0" t="s">
        <v>5418</v>
      </c>
      <c r="I44" s="0" t="s">
        <v>5407</v>
      </c>
      <c r="J44" s="0" t="n">
        <v>3</v>
      </c>
      <c r="K44" s="0" t="s">
        <v>5569</v>
      </c>
      <c r="L44" s="0" t="n">
        <v>1</v>
      </c>
      <c r="M44" s="0" t="n">
        <v>400</v>
      </c>
      <c r="N44" s="7" t="s">
        <v>5430</v>
      </c>
      <c r="O44" s="0" t="s">
        <v>5487</v>
      </c>
      <c r="P44" s="0" t="s">
        <v>5535</v>
      </c>
      <c r="Q44" s="0" t="s">
        <v>5489</v>
      </c>
      <c r="R44" s="0" t="s">
        <v>5570</v>
      </c>
      <c r="S44" s="0" t="s">
        <v>5472</v>
      </c>
      <c r="T44" s="0" t="s">
        <v>5413</v>
      </c>
      <c r="U44" s="0" t="s">
        <v>5571</v>
      </c>
      <c r="V44" s="0" t="s">
        <v>5426</v>
      </c>
      <c r="Y44" s="0" t="e">
        <v>#NAME?</v>
      </c>
      <c r="Z44" s="0" t="e">
        <f aca="false">COUNTIF(G:G,Y44)</f>
        <v>#NAME?</v>
      </c>
    </row>
    <row r="45" customFormat="false" ht="13.5" hidden="false" customHeight="false" outlineLevel="0" collapsed="false">
      <c r="A45" s="0" t="s">
        <v>125</v>
      </c>
      <c r="B45" s="0" t="s">
        <v>5572</v>
      </c>
      <c r="C45" s="0" t="n">
        <v>2018</v>
      </c>
      <c r="D45" s="0" t="s">
        <v>5573</v>
      </c>
      <c r="E45" s="0" t="s">
        <v>24</v>
      </c>
      <c r="F45" s="0" t="s">
        <v>31</v>
      </c>
      <c r="G45" s="0" t="s">
        <v>12</v>
      </c>
      <c r="H45" s="0" t="s">
        <v>5406</v>
      </c>
      <c r="I45" s="0" t="s">
        <v>5407</v>
      </c>
      <c r="J45" s="0" t="n">
        <v>2</v>
      </c>
      <c r="K45" s="0" t="s">
        <v>5408</v>
      </c>
      <c r="L45" s="0" t="n">
        <v>0.8</v>
      </c>
      <c r="M45" s="0" t="n">
        <v>0.8</v>
      </c>
      <c r="N45" s="7" t="s">
        <v>5409</v>
      </c>
      <c r="O45" s="0" t="s">
        <v>5410</v>
      </c>
      <c r="P45" s="0" t="s">
        <v>5410</v>
      </c>
      <c r="Q45" s="0" t="s">
        <v>5410</v>
      </c>
      <c r="R45" s="0" t="s">
        <v>5574</v>
      </c>
      <c r="S45" s="0" t="s">
        <v>5552</v>
      </c>
      <c r="T45" s="0" t="s">
        <v>5413</v>
      </c>
      <c r="U45" s="0" t="s">
        <v>5497</v>
      </c>
      <c r="V45" s="0" t="s">
        <v>5415</v>
      </c>
      <c r="Y45" s="0" t="e">
        <v>#NAME?</v>
      </c>
      <c r="Z45" s="0" t="e">
        <f aca="false">COUNTIF(G:G,Y45)</f>
        <v>#NAME?</v>
      </c>
    </row>
    <row r="46" customFormat="false" ht="13.5" hidden="false" customHeight="false" outlineLevel="0" collapsed="false">
      <c r="A46" s="0" t="s">
        <v>129</v>
      </c>
      <c r="B46" s="0" t="s">
        <v>5533</v>
      </c>
      <c r="C46" s="0" t="n">
        <v>2013</v>
      </c>
      <c r="D46" s="0" t="s">
        <v>5479</v>
      </c>
      <c r="E46" s="0" t="s">
        <v>19</v>
      </c>
      <c r="F46" s="0" t="s">
        <v>31</v>
      </c>
      <c r="G46" s="0" t="s">
        <v>5440</v>
      </c>
      <c r="H46" s="0" t="s">
        <v>5418</v>
      </c>
      <c r="I46" s="0" t="s">
        <v>5407</v>
      </c>
      <c r="J46" s="0" t="n">
        <v>2</v>
      </c>
      <c r="K46" s="0" t="s">
        <v>5429</v>
      </c>
      <c r="L46" s="0" t="n">
        <v>50</v>
      </c>
      <c r="M46" s="0" t="n">
        <v>50</v>
      </c>
      <c r="N46" s="7" t="s">
        <v>5430</v>
      </c>
      <c r="O46" s="0" t="s">
        <v>5431</v>
      </c>
      <c r="P46" s="0" t="s">
        <v>5563</v>
      </c>
      <c r="Q46" s="0" t="s">
        <v>5433</v>
      </c>
      <c r="R46" s="0" t="s">
        <v>5575</v>
      </c>
      <c r="S46" s="0" t="s">
        <v>5576</v>
      </c>
      <c r="T46" s="0" t="s">
        <v>5413</v>
      </c>
      <c r="U46" s="0" t="s">
        <v>5577</v>
      </c>
      <c r="V46" s="0" t="s">
        <v>5578</v>
      </c>
      <c r="Y46" s="0" t="e">
        <v>#NAME?</v>
      </c>
      <c r="Z46" s="0" t="e">
        <f aca="false">COUNTIF(G:G,Y46)</f>
        <v>#NAME?</v>
      </c>
    </row>
    <row r="47" customFormat="false" ht="13.5" hidden="false" customHeight="false" outlineLevel="0" collapsed="false">
      <c r="A47" s="0" t="s">
        <v>132</v>
      </c>
      <c r="B47" s="0" t="s">
        <v>5579</v>
      </c>
      <c r="C47" s="0" t="n">
        <v>2016</v>
      </c>
      <c r="D47" s="0" t="s">
        <v>5479</v>
      </c>
      <c r="E47" s="0" t="s">
        <v>19</v>
      </c>
      <c r="F47" s="0" t="s">
        <v>15</v>
      </c>
      <c r="G47" s="0" t="s">
        <v>5580</v>
      </c>
      <c r="H47" s="0" t="s">
        <v>5418</v>
      </c>
      <c r="I47" s="0" t="s">
        <v>5407</v>
      </c>
      <c r="J47" s="0" t="n">
        <v>2</v>
      </c>
      <c r="K47" s="0" t="s">
        <v>5581</v>
      </c>
      <c r="L47" s="0" t="n">
        <v>0.25</v>
      </c>
      <c r="M47" s="0" t="n">
        <v>3</v>
      </c>
      <c r="N47" s="7" t="s">
        <v>5482</v>
      </c>
      <c r="O47" s="0" t="s">
        <v>5461</v>
      </c>
      <c r="P47" s="0" t="s">
        <v>5582</v>
      </c>
      <c r="Q47" s="0" t="s">
        <v>5433</v>
      </c>
      <c r="R47" s="0" t="s">
        <v>5408</v>
      </c>
      <c r="S47" s="0" t="s">
        <v>5547</v>
      </c>
      <c r="T47" s="0" t="s">
        <v>5436</v>
      </c>
      <c r="U47" s="0" t="s">
        <v>5583</v>
      </c>
      <c r="V47" s="0" t="s">
        <v>5584</v>
      </c>
      <c r="Y47" s="0" t="e">
        <v>#NAME?</v>
      </c>
      <c r="Z47" s="0" t="e">
        <f aca="false">COUNTIF(G:G,Y47)</f>
        <v>#NAME?</v>
      </c>
    </row>
    <row r="48" customFormat="false" ht="13.5" hidden="false" customHeight="false" outlineLevel="0" collapsed="false">
      <c r="A48" s="0" t="s">
        <v>135</v>
      </c>
      <c r="B48" s="0" t="s">
        <v>5585</v>
      </c>
      <c r="C48" s="0" t="n">
        <v>2005</v>
      </c>
      <c r="D48" s="0" t="s">
        <v>5586</v>
      </c>
      <c r="E48" s="0" t="s">
        <v>19</v>
      </c>
      <c r="F48" s="0" t="s">
        <v>31</v>
      </c>
      <c r="G48" s="0" t="s">
        <v>47</v>
      </c>
      <c r="H48" s="0" t="s">
        <v>5406</v>
      </c>
      <c r="I48" s="0" t="s">
        <v>5407</v>
      </c>
      <c r="J48" s="0" t="n">
        <v>4</v>
      </c>
      <c r="K48" s="0" t="s">
        <v>5587</v>
      </c>
      <c r="L48" s="0" t="n">
        <v>5</v>
      </c>
      <c r="M48" s="0" t="n">
        <v>90</v>
      </c>
      <c r="N48" s="7" t="s">
        <v>5430</v>
      </c>
      <c r="O48" s="0" t="s">
        <v>2224</v>
      </c>
      <c r="P48" s="0" t="s">
        <v>5462</v>
      </c>
      <c r="Q48" s="0" t="s">
        <v>5433</v>
      </c>
      <c r="R48" s="0" t="s">
        <v>5443</v>
      </c>
      <c r="S48" s="0" t="s">
        <v>5468</v>
      </c>
      <c r="T48" s="0" t="s">
        <v>5413</v>
      </c>
      <c r="U48" s="0" t="s">
        <v>5588</v>
      </c>
      <c r="V48" s="0" t="s">
        <v>5464</v>
      </c>
      <c r="Y48" s="0" t="e">
        <v>#NAME?</v>
      </c>
      <c r="Z48" s="0" t="e">
        <f aca="false">COUNTIF(G:G,Y48)</f>
        <v>#NAME?</v>
      </c>
    </row>
    <row r="49" customFormat="false" ht="13.5" hidden="false" customHeight="false" outlineLevel="0" collapsed="false">
      <c r="A49" s="0" t="s">
        <v>139</v>
      </c>
      <c r="B49" s="0" t="s">
        <v>5589</v>
      </c>
      <c r="C49" s="0" t="n">
        <v>1980</v>
      </c>
      <c r="D49" s="0" t="s">
        <v>5590</v>
      </c>
      <c r="E49" s="0" t="s">
        <v>19</v>
      </c>
      <c r="F49" s="0" t="s">
        <v>31</v>
      </c>
      <c r="G49" s="0" t="s">
        <v>181</v>
      </c>
      <c r="H49" s="0" t="s">
        <v>5406</v>
      </c>
      <c r="I49" s="0" t="s">
        <v>5407</v>
      </c>
      <c r="J49" s="0" t="n">
        <v>4</v>
      </c>
      <c r="K49" s="0" t="s">
        <v>5429</v>
      </c>
      <c r="L49" s="0" t="n">
        <v>0.1</v>
      </c>
      <c r="M49" s="0" t="n">
        <v>1</v>
      </c>
      <c r="N49" s="7" t="s">
        <v>5482</v>
      </c>
      <c r="O49" s="0" t="s">
        <v>5487</v>
      </c>
      <c r="P49" s="0" t="s">
        <v>5535</v>
      </c>
      <c r="Q49" s="0" t="s">
        <v>5489</v>
      </c>
      <c r="R49" s="0" t="s">
        <v>5411</v>
      </c>
      <c r="S49" s="0" t="s">
        <v>912</v>
      </c>
      <c r="T49" s="0" t="s">
        <v>5436</v>
      </c>
      <c r="U49" s="0" t="s">
        <v>5591</v>
      </c>
      <c r="V49" s="0" t="s">
        <v>5578</v>
      </c>
      <c r="Y49" s="0" t="e">
        <v>#NAME?</v>
      </c>
      <c r="Z49" s="0" t="e">
        <f aca="false">COUNTIF(G:G,Y49)</f>
        <v>#NAME?</v>
      </c>
    </row>
    <row r="50" customFormat="false" ht="13.5" hidden="false" customHeight="false" outlineLevel="0" collapsed="false">
      <c r="A50" s="0" t="s">
        <v>139</v>
      </c>
      <c r="B50" s="0" t="s">
        <v>5589</v>
      </c>
      <c r="C50" s="0" t="n">
        <v>1980</v>
      </c>
      <c r="D50" s="0" t="s">
        <v>5590</v>
      </c>
      <c r="E50" s="0" t="s">
        <v>19</v>
      </c>
      <c r="F50" s="0" t="s">
        <v>31</v>
      </c>
      <c r="G50" s="0" t="s">
        <v>5440</v>
      </c>
      <c r="H50" s="0" t="s">
        <v>5418</v>
      </c>
      <c r="I50" s="0" t="s">
        <v>5407</v>
      </c>
      <c r="J50" s="0" t="n">
        <v>4</v>
      </c>
      <c r="K50" s="0" t="s">
        <v>5429</v>
      </c>
      <c r="L50" s="0" t="n">
        <v>0.1</v>
      </c>
      <c r="M50" s="0" t="n">
        <v>1</v>
      </c>
      <c r="N50" s="7" t="s">
        <v>5482</v>
      </c>
      <c r="O50" s="0" t="s">
        <v>5487</v>
      </c>
      <c r="P50" s="0" t="s">
        <v>5535</v>
      </c>
      <c r="Q50" s="0" t="s">
        <v>5489</v>
      </c>
      <c r="R50" s="0" t="s">
        <v>5411</v>
      </c>
      <c r="S50" s="0" t="s">
        <v>912</v>
      </c>
      <c r="T50" s="0" t="s">
        <v>5436</v>
      </c>
      <c r="U50" s="0" t="s">
        <v>5591</v>
      </c>
      <c r="V50" s="0" t="s">
        <v>5578</v>
      </c>
      <c r="Y50" s="0" t="e">
        <v>#NAME?</v>
      </c>
      <c r="Z50" s="0" t="e">
        <f aca="false">COUNTIF(G:G,Y50)</f>
        <v>#NAME?</v>
      </c>
    </row>
    <row r="51" customFormat="false" ht="13.5" hidden="false" customHeight="false" outlineLevel="0" collapsed="false">
      <c r="A51" s="0" t="s">
        <v>139</v>
      </c>
      <c r="B51" s="0" t="s">
        <v>5589</v>
      </c>
      <c r="C51" s="0" t="n">
        <v>1980</v>
      </c>
      <c r="D51" s="0" t="s">
        <v>5590</v>
      </c>
      <c r="E51" s="0" t="s">
        <v>19</v>
      </c>
      <c r="F51" s="0" t="s">
        <v>31</v>
      </c>
      <c r="G51" s="0" t="s">
        <v>5592</v>
      </c>
      <c r="H51" s="0" t="s">
        <v>5418</v>
      </c>
      <c r="I51" s="0" t="s">
        <v>5407</v>
      </c>
      <c r="J51" s="0" t="n">
        <v>4</v>
      </c>
      <c r="K51" s="0" t="s">
        <v>5429</v>
      </c>
      <c r="L51" s="0" t="n">
        <v>0.1</v>
      </c>
      <c r="M51" s="0" t="n">
        <v>1</v>
      </c>
      <c r="N51" s="7" t="s">
        <v>5482</v>
      </c>
      <c r="O51" s="0" t="s">
        <v>5487</v>
      </c>
      <c r="P51" s="0" t="s">
        <v>5535</v>
      </c>
      <c r="Q51" s="0" t="s">
        <v>5489</v>
      </c>
      <c r="R51" s="0" t="s">
        <v>5411</v>
      </c>
      <c r="S51" s="0" t="s">
        <v>912</v>
      </c>
      <c r="T51" s="0" t="s">
        <v>5436</v>
      </c>
      <c r="U51" s="0" t="s">
        <v>5591</v>
      </c>
      <c r="V51" s="0" t="s">
        <v>5578</v>
      </c>
      <c r="Y51" s="0" t="e">
        <v>#NAME?</v>
      </c>
      <c r="Z51" s="0" t="e">
        <f aca="false">COUNTIF(G:G,Y51)</f>
        <v>#NAME?</v>
      </c>
    </row>
    <row r="52" customFormat="false" ht="13.5" hidden="false" customHeight="false" outlineLevel="0" collapsed="false">
      <c r="A52" s="0" t="s">
        <v>139</v>
      </c>
      <c r="B52" s="0" t="s">
        <v>5589</v>
      </c>
      <c r="C52" s="0" t="n">
        <v>1980</v>
      </c>
      <c r="D52" s="0" t="s">
        <v>5590</v>
      </c>
      <c r="E52" s="0" t="s">
        <v>19</v>
      </c>
      <c r="F52" s="0" t="s">
        <v>31</v>
      </c>
      <c r="G52" s="0" t="s">
        <v>2332</v>
      </c>
      <c r="H52" s="0" t="s">
        <v>5418</v>
      </c>
      <c r="I52" s="0" t="s">
        <v>5407</v>
      </c>
      <c r="J52" s="0" t="n">
        <v>4</v>
      </c>
      <c r="K52" s="0" t="s">
        <v>5429</v>
      </c>
      <c r="L52" s="0" t="n">
        <v>0.1</v>
      </c>
      <c r="M52" s="0" t="n">
        <v>1</v>
      </c>
      <c r="N52" s="7" t="s">
        <v>5482</v>
      </c>
      <c r="O52" s="0" t="s">
        <v>5487</v>
      </c>
      <c r="P52" s="0" t="s">
        <v>5535</v>
      </c>
      <c r="Q52" s="0" t="s">
        <v>5489</v>
      </c>
      <c r="R52" s="0" t="s">
        <v>5411</v>
      </c>
      <c r="S52" s="0" t="s">
        <v>912</v>
      </c>
      <c r="T52" s="0" t="s">
        <v>5436</v>
      </c>
      <c r="U52" s="0" t="s">
        <v>5591</v>
      </c>
      <c r="V52" s="0" t="s">
        <v>5578</v>
      </c>
      <c r="Y52" s="0" t="e">
        <v>#NAME?</v>
      </c>
      <c r="Z52" s="0" t="e">
        <f aca="false">COUNTIF(G:G,Y52)</f>
        <v>#NAME?</v>
      </c>
    </row>
    <row r="53" customFormat="false" ht="13.5" hidden="false" customHeight="false" outlineLevel="0" collapsed="false">
      <c r="A53" s="0" t="s">
        <v>139</v>
      </c>
      <c r="B53" s="0" t="s">
        <v>5589</v>
      </c>
      <c r="C53" s="0" t="n">
        <v>1980</v>
      </c>
      <c r="D53" s="0" t="s">
        <v>5590</v>
      </c>
      <c r="E53" s="0" t="s">
        <v>19</v>
      </c>
      <c r="F53" s="0" t="s">
        <v>31</v>
      </c>
      <c r="G53" s="0" t="s">
        <v>276</v>
      </c>
      <c r="H53" s="0" t="s">
        <v>5418</v>
      </c>
      <c r="I53" s="0" t="s">
        <v>5407</v>
      </c>
      <c r="J53" s="0" t="n">
        <v>2</v>
      </c>
      <c r="K53" s="0" t="s">
        <v>5429</v>
      </c>
      <c r="L53" s="0" t="n">
        <v>0.1</v>
      </c>
      <c r="M53" s="0" t="n">
        <v>1</v>
      </c>
      <c r="N53" s="7" t="s">
        <v>5482</v>
      </c>
      <c r="O53" s="0" t="s">
        <v>5487</v>
      </c>
      <c r="P53" s="0" t="s">
        <v>5535</v>
      </c>
      <c r="Q53" s="0" t="s">
        <v>5489</v>
      </c>
      <c r="R53" s="0" t="s">
        <v>5411</v>
      </c>
      <c r="S53" s="0" t="s">
        <v>912</v>
      </c>
      <c r="T53" s="0" t="s">
        <v>5436</v>
      </c>
      <c r="U53" s="0" t="s">
        <v>5591</v>
      </c>
      <c r="V53" s="0" t="s">
        <v>5578</v>
      </c>
      <c r="Y53" s="0" t="e">
        <v>#NAME?</v>
      </c>
      <c r="Z53" s="0" t="e">
        <f aca="false">COUNTIF(G:G,Y53)</f>
        <v>#NAME?</v>
      </c>
    </row>
    <row r="54" customFormat="false" ht="13.5" hidden="false" customHeight="false" outlineLevel="0" collapsed="false">
      <c r="A54" s="0" t="s">
        <v>139</v>
      </c>
      <c r="B54" s="0" t="s">
        <v>5589</v>
      </c>
      <c r="C54" s="0" t="n">
        <v>1980</v>
      </c>
      <c r="D54" s="0" t="s">
        <v>5590</v>
      </c>
      <c r="E54" s="0" t="s">
        <v>19</v>
      </c>
      <c r="F54" s="0" t="s">
        <v>31</v>
      </c>
      <c r="G54" s="0" t="s">
        <v>56</v>
      </c>
      <c r="H54" s="0" t="s">
        <v>5418</v>
      </c>
      <c r="I54" s="0" t="s">
        <v>5407</v>
      </c>
      <c r="J54" s="0" t="n">
        <v>2</v>
      </c>
      <c r="K54" s="0" t="s">
        <v>5429</v>
      </c>
      <c r="L54" s="0" t="n">
        <v>0.1</v>
      </c>
      <c r="M54" s="0" t="n">
        <v>1</v>
      </c>
      <c r="N54" s="7" t="s">
        <v>5482</v>
      </c>
      <c r="O54" s="0" t="s">
        <v>5487</v>
      </c>
      <c r="P54" s="0" t="s">
        <v>5535</v>
      </c>
      <c r="Q54" s="0" t="s">
        <v>5489</v>
      </c>
      <c r="R54" s="0" t="s">
        <v>5411</v>
      </c>
      <c r="S54" s="0" t="s">
        <v>912</v>
      </c>
      <c r="T54" s="0" t="s">
        <v>5436</v>
      </c>
      <c r="U54" s="0" t="s">
        <v>5591</v>
      </c>
      <c r="V54" s="0" t="s">
        <v>5578</v>
      </c>
      <c r="Y54" s="0" t="e">
        <v>#NAME?</v>
      </c>
      <c r="Z54" s="0" t="e">
        <f aca="false">COUNTIF(G:G,Y54)</f>
        <v>#NAME?</v>
      </c>
    </row>
    <row r="55" customFormat="false" ht="13.5" hidden="false" customHeight="false" outlineLevel="0" collapsed="false">
      <c r="A55" s="0" t="s">
        <v>139</v>
      </c>
      <c r="B55" s="0" t="s">
        <v>5589</v>
      </c>
      <c r="C55" s="0" t="n">
        <v>1980</v>
      </c>
      <c r="D55" s="0" t="s">
        <v>5590</v>
      </c>
      <c r="E55" s="0" t="s">
        <v>19</v>
      </c>
      <c r="F55" s="0" t="s">
        <v>31</v>
      </c>
      <c r="G55" s="0" t="s">
        <v>766</v>
      </c>
      <c r="H55" s="0" t="s">
        <v>5418</v>
      </c>
      <c r="I55" s="0" t="s">
        <v>5407</v>
      </c>
      <c r="J55" s="0" t="n">
        <v>2</v>
      </c>
      <c r="K55" s="0" t="s">
        <v>5429</v>
      </c>
      <c r="L55" s="0" t="n">
        <v>0.1</v>
      </c>
      <c r="M55" s="0" t="n">
        <v>1</v>
      </c>
      <c r="N55" s="7" t="s">
        <v>5482</v>
      </c>
      <c r="O55" s="0" t="s">
        <v>5487</v>
      </c>
      <c r="P55" s="0" t="s">
        <v>5535</v>
      </c>
      <c r="Q55" s="0" t="s">
        <v>5489</v>
      </c>
      <c r="R55" s="0" t="s">
        <v>5411</v>
      </c>
      <c r="S55" s="0" t="s">
        <v>912</v>
      </c>
      <c r="T55" s="0" t="s">
        <v>5436</v>
      </c>
      <c r="U55" s="0" t="s">
        <v>5591</v>
      </c>
      <c r="V55" s="0" t="s">
        <v>5578</v>
      </c>
      <c r="Y55" s="0" t="e">
        <v>#NAME?</v>
      </c>
      <c r="Z55" s="0" t="e">
        <f aca="false">COUNTIF(G:G,Y55)</f>
        <v>#NAME?</v>
      </c>
    </row>
    <row r="56" customFormat="false" ht="13.5" hidden="false" customHeight="false" outlineLevel="0" collapsed="false">
      <c r="A56" s="0" t="s">
        <v>142</v>
      </c>
      <c r="B56" s="0" t="s">
        <v>5593</v>
      </c>
      <c r="C56" s="0" t="n">
        <v>2017</v>
      </c>
      <c r="D56" s="0" t="s">
        <v>5499</v>
      </c>
      <c r="E56" s="0" t="s">
        <v>19</v>
      </c>
      <c r="F56" s="0" t="s">
        <v>31</v>
      </c>
      <c r="G56" s="0" t="s">
        <v>5594</v>
      </c>
      <c r="H56" s="0" t="s">
        <v>5406</v>
      </c>
      <c r="I56" s="0" t="s">
        <v>5407</v>
      </c>
      <c r="J56" s="0" t="n">
        <v>2</v>
      </c>
      <c r="K56" s="0" t="s">
        <v>5441</v>
      </c>
      <c r="L56" s="0" t="n">
        <v>100</v>
      </c>
      <c r="M56" s="0" t="n">
        <v>250</v>
      </c>
      <c r="N56" s="7" t="s">
        <v>5430</v>
      </c>
      <c r="O56" s="0" t="s">
        <v>5461</v>
      </c>
      <c r="P56" s="0" t="s">
        <v>5595</v>
      </c>
      <c r="Q56" s="0" t="s">
        <v>5433</v>
      </c>
      <c r="R56" s="0" t="s">
        <v>5596</v>
      </c>
      <c r="S56" s="0" t="s">
        <v>5597</v>
      </c>
      <c r="T56" s="0" t="s">
        <v>5413</v>
      </c>
      <c r="U56" s="0" t="s">
        <v>5598</v>
      </c>
      <c r="V56" s="0" t="s">
        <v>5599</v>
      </c>
      <c r="Y56" s="0" t="e">
        <v>#NAME?</v>
      </c>
      <c r="Z56" s="0" t="e">
        <f aca="false">COUNTIF(G:G,Y56)</f>
        <v>#NAME?</v>
      </c>
    </row>
    <row r="57" customFormat="false" ht="13.5" hidden="false" customHeight="false" outlineLevel="0" collapsed="false">
      <c r="A57" s="0" t="s">
        <v>145</v>
      </c>
      <c r="B57" s="0" t="s">
        <v>5600</v>
      </c>
      <c r="C57" s="0" t="n">
        <v>2020</v>
      </c>
      <c r="D57" s="0" t="s">
        <v>5479</v>
      </c>
      <c r="E57" s="0" t="s">
        <v>19</v>
      </c>
      <c r="F57" s="0" t="s">
        <v>31</v>
      </c>
      <c r="G57" s="0" t="s">
        <v>98</v>
      </c>
      <c r="H57" s="0" t="s">
        <v>5406</v>
      </c>
      <c r="I57" s="0" t="s">
        <v>5407</v>
      </c>
      <c r="J57" s="0" t="n">
        <v>2</v>
      </c>
      <c r="K57" s="0" t="s">
        <v>5601</v>
      </c>
      <c r="L57" s="0" t="n">
        <v>30</v>
      </c>
      <c r="M57" s="0" t="n">
        <v>80</v>
      </c>
      <c r="N57" s="7" t="s">
        <v>5430</v>
      </c>
      <c r="O57" s="0" t="s">
        <v>5602</v>
      </c>
      <c r="P57" s="0" t="s">
        <v>5462</v>
      </c>
      <c r="Q57" s="0" t="s">
        <v>5489</v>
      </c>
      <c r="R57" s="0" t="s">
        <v>5603</v>
      </c>
      <c r="S57" s="0" t="s">
        <v>5597</v>
      </c>
      <c r="T57" s="0" t="s">
        <v>5436</v>
      </c>
      <c r="U57" s="0" t="s">
        <v>5604</v>
      </c>
      <c r="V57" s="0" t="s">
        <v>5464</v>
      </c>
      <c r="Y57" s="0" t="e">
        <v>#NAME?</v>
      </c>
      <c r="Z57" s="0" t="e">
        <f aca="false">COUNTIF(G:G,Y57)</f>
        <v>#NAME?</v>
      </c>
    </row>
    <row r="58" customFormat="false" ht="13.5" hidden="false" customHeight="false" outlineLevel="0" collapsed="false">
      <c r="A58" s="0" t="s">
        <v>145</v>
      </c>
      <c r="B58" s="0" t="s">
        <v>5600</v>
      </c>
      <c r="C58" s="0" t="n">
        <v>2020</v>
      </c>
      <c r="D58" s="0" t="s">
        <v>5479</v>
      </c>
      <c r="E58" s="0" t="s">
        <v>19</v>
      </c>
      <c r="F58" s="0" t="s">
        <v>31</v>
      </c>
      <c r="G58" s="0" t="s">
        <v>2890</v>
      </c>
      <c r="H58" s="0" t="s">
        <v>5406</v>
      </c>
      <c r="I58" s="0" t="s">
        <v>5407</v>
      </c>
      <c r="J58" s="0" t="n">
        <v>2</v>
      </c>
      <c r="K58" s="0" t="s">
        <v>5601</v>
      </c>
      <c r="L58" s="0" t="n">
        <v>80</v>
      </c>
      <c r="M58" s="0" t="n">
        <v>100</v>
      </c>
      <c r="N58" s="7" t="s">
        <v>5430</v>
      </c>
      <c r="O58" s="0" t="s">
        <v>5602</v>
      </c>
      <c r="P58" s="0" t="s">
        <v>5462</v>
      </c>
      <c r="Q58" s="0" t="s">
        <v>5489</v>
      </c>
      <c r="R58" s="0" t="s">
        <v>5603</v>
      </c>
      <c r="S58" s="0" t="s">
        <v>5597</v>
      </c>
      <c r="T58" s="0" t="s">
        <v>5436</v>
      </c>
      <c r="U58" s="0" t="s">
        <v>5604</v>
      </c>
      <c r="V58" s="0" t="s">
        <v>5464</v>
      </c>
      <c r="Y58" s="0" t="e">
        <v>#NAME?</v>
      </c>
      <c r="Z58" s="0" t="e">
        <f aca="false">COUNTIF(G:G,Y58)</f>
        <v>#NAME?</v>
      </c>
    </row>
    <row r="59" customFormat="false" ht="13.5" hidden="false" customHeight="false" outlineLevel="0" collapsed="false">
      <c r="A59" s="0" t="s">
        <v>148</v>
      </c>
      <c r="B59" s="0" t="s">
        <v>5605</v>
      </c>
      <c r="C59" s="0" t="n">
        <v>2014</v>
      </c>
      <c r="D59" s="0" t="s">
        <v>5606</v>
      </c>
      <c r="E59" s="0" t="s">
        <v>24</v>
      </c>
      <c r="F59" s="0" t="s">
        <v>31</v>
      </c>
      <c r="G59" s="0" t="s">
        <v>150</v>
      </c>
      <c r="H59" s="0" t="s">
        <v>5406</v>
      </c>
      <c r="I59" s="0" t="s">
        <v>5407</v>
      </c>
      <c r="J59" s="0" t="n">
        <v>2</v>
      </c>
      <c r="K59" s="0" t="s">
        <v>5408</v>
      </c>
      <c r="L59" s="0" t="n">
        <v>1.5</v>
      </c>
      <c r="M59" s="0" t="n">
        <v>2.5</v>
      </c>
      <c r="N59" s="7" t="s">
        <v>5409</v>
      </c>
      <c r="O59" s="0" t="s">
        <v>5410</v>
      </c>
      <c r="P59" s="0" t="s">
        <v>5410</v>
      </c>
      <c r="Q59" s="0" t="s">
        <v>5410</v>
      </c>
      <c r="R59" s="0" t="s">
        <v>5607</v>
      </c>
      <c r="S59" s="0" t="s">
        <v>5608</v>
      </c>
      <c r="T59" s="0" t="s">
        <v>5436</v>
      </c>
      <c r="U59" s="0" t="s">
        <v>5609</v>
      </c>
      <c r="V59" s="0" t="s">
        <v>5415</v>
      </c>
      <c r="Y59" s="0" t="e">
        <v>#NAME?</v>
      </c>
      <c r="Z59" s="0" t="e">
        <f aca="false">COUNTIF(G:G,Y59)</f>
        <v>#NAME?</v>
      </c>
    </row>
    <row r="60" customFormat="false" ht="13.5" hidden="false" customHeight="false" outlineLevel="0" collapsed="false">
      <c r="A60" s="0" t="s">
        <v>151</v>
      </c>
      <c r="B60" s="0" t="s">
        <v>5610</v>
      </c>
      <c r="C60" s="0" t="n">
        <v>2015</v>
      </c>
      <c r="D60" s="0" t="s">
        <v>5606</v>
      </c>
      <c r="E60" s="0" t="s">
        <v>19</v>
      </c>
      <c r="F60" s="0" t="s">
        <v>31</v>
      </c>
      <c r="G60" s="0" t="s">
        <v>153</v>
      </c>
      <c r="H60" s="0" t="s">
        <v>5406</v>
      </c>
      <c r="I60" s="0" t="s">
        <v>5407</v>
      </c>
      <c r="J60" s="0" t="n">
        <v>2</v>
      </c>
      <c r="K60" s="0" t="s">
        <v>5441</v>
      </c>
      <c r="L60" s="0" t="n">
        <v>35</v>
      </c>
      <c r="M60" s="0" t="n">
        <v>55</v>
      </c>
      <c r="N60" s="7" t="s">
        <v>5430</v>
      </c>
      <c r="O60" s="0" t="s">
        <v>5461</v>
      </c>
      <c r="P60" s="0" t="s">
        <v>5535</v>
      </c>
      <c r="Q60" s="0" t="s">
        <v>5433</v>
      </c>
      <c r="R60" s="0" t="s">
        <v>5496</v>
      </c>
      <c r="S60" s="0" t="s">
        <v>5597</v>
      </c>
      <c r="T60" s="0" t="s">
        <v>5413</v>
      </c>
      <c r="U60" s="0" t="s">
        <v>5611</v>
      </c>
      <c r="V60" s="0" t="s">
        <v>5415</v>
      </c>
      <c r="Y60" s="0" t="e">
        <v>#NAME?</v>
      </c>
      <c r="Z60" s="0" t="e">
        <f aca="false">COUNTIF(G:G,Y60)</f>
        <v>#NAME?</v>
      </c>
    </row>
    <row r="61" customFormat="false" ht="13.5" hidden="false" customHeight="false" outlineLevel="0" collapsed="false">
      <c r="A61" s="0" t="s">
        <v>154</v>
      </c>
      <c r="B61" s="0" t="s">
        <v>5612</v>
      </c>
      <c r="C61" s="0" t="n">
        <v>2010</v>
      </c>
      <c r="D61" s="0" t="s">
        <v>5613</v>
      </c>
      <c r="E61" s="0" t="s">
        <v>19</v>
      </c>
      <c r="F61" s="0" t="s">
        <v>31</v>
      </c>
      <c r="G61" s="0" t="s">
        <v>59</v>
      </c>
      <c r="H61" s="0" t="s">
        <v>5418</v>
      </c>
      <c r="I61" s="0" t="s">
        <v>5407</v>
      </c>
      <c r="J61" s="0" t="n">
        <v>2</v>
      </c>
      <c r="K61" s="0" t="s">
        <v>5614</v>
      </c>
      <c r="L61" s="0" t="n">
        <v>100</v>
      </c>
      <c r="M61" s="0" t="n">
        <v>450</v>
      </c>
      <c r="N61" s="7" t="s">
        <v>5430</v>
      </c>
      <c r="O61" s="0" t="s">
        <v>2224</v>
      </c>
      <c r="P61" s="0" t="s">
        <v>5442</v>
      </c>
      <c r="Q61" s="0" t="s">
        <v>5433</v>
      </c>
      <c r="R61" s="0" t="s">
        <v>5615</v>
      </c>
      <c r="S61" s="0" t="s">
        <v>5472</v>
      </c>
      <c r="T61" s="0" t="s">
        <v>5410</v>
      </c>
      <c r="U61" s="0" t="s">
        <v>5410</v>
      </c>
      <c r="V61" s="0" t="s">
        <v>5410</v>
      </c>
      <c r="Y61" s="0" t="e">
        <v>#NAME?</v>
      </c>
      <c r="Z61" s="0" t="e">
        <f aca="false">COUNTIF(G:G,Y61)</f>
        <v>#NAME?</v>
      </c>
    </row>
    <row r="62" customFormat="false" ht="13.5" hidden="false" customHeight="false" outlineLevel="0" collapsed="false">
      <c r="A62" s="0" t="s">
        <v>156</v>
      </c>
      <c r="B62" s="0" t="s">
        <v>5616</v>
      </c>
      <c r="C62" s="0" t="n">
        <v>1984</v>
      </c>
      <c r="D62" s="0" t="s">
        <v>5515</v>
      </c>
      <c r="E62" s="0" t="s">
        <v>19</v>
      </c>
      <c r="F62" s="0" t="s">
        <v>31</v>
      </c>
      <c r="G62" s="0" t="s">
        <v>5617</v>
      </c>
      <c r="H62" s="0" t="s">
        <v>5406</v>
      </c>
      <c r="I62" s="0" t="s">
        <v>5407</v>
      </c>
      <c r="J62" s="0" t="n">
        <v>5</v>
      </c>
      <c r="K62" s="0" t="s">
        <v>5618</v>
      </c>
      <c r="L62" s="0" t="n">
        <v>40</v>
      </c>
      <c r="M62" s="0" t="n">
        <v>140</v>
      </c>
      <c r="N62" s="7" t="s">
        <v>5430</v>
      </c>
      <c r="O62" s="0" t="s">
        <v>5487</v>
      </c>
      <c r="P62" s="0" t="s">
        <v>5619</v>
      </c>
      <c r="Q62" s="0" t="s">
        <v>5489</v>
      </c>
      <c r="R62" s="0" t="s">
        <v>5620</v>
      </c>
      <c r="S62" s="0" t="s">
        <v>5423</v>
      </c>
      <c r="T62" s="0" t="s">
        <v>5413</v>
      </c>
      <c r="U62" s="0" t="s">
        <v>5621</v>
      </c>
      <c r="V62" s="0" t="s">
        <v>5464</v>
      </c>
      <c r="Y62" s="0" t="e">
        <v>#NAME?</v>
      </c>
      <c r="Z62" s="0" t="e">
        <f aca="false">COUNTIF(G:G,Y62)</f>
        <v>#NAME?</v>
      </c>
    </row>
    <row r="63" customFormat="false" ht="13.5" hidden="false" customHeight="false" outlineLevel="0" collapsed="false">
      <c r="A63" s="0" t="s">
        <v>159</v>
      </c>
      <c r="B63" s="0" t="s">
        <v>5622</v>
      </c>
      <c r="C63" s="0" t="n">
        <v>2016</v>
      </c>
      <c r="D63" s="0" t="s">
        <v>5459</v>
      </c>
      <c r="E63" s="0" t="s">
        <v>19</v>
      </c>
      <c r="F63" s="0" t="s">
        <v>31</v>
      </c>
      <c r="G63" s="0" t="s">
        <v>47</v>
      </c>
      <c r="H63" s="0" t="s">
        <v>5406</v>
      </c>
      <c r="I63" s="0" t="s">
        <v>5407</v>
      </c>
      <c r="J63" s="0" t="n">
        <v>2</v>
      </c>
      <c r="K63" s="0" t="s">
        <v>5460</v>
      </c>
      <c r="L63" s="0" t="n">
        <v>20</v>
      </c>
      <c r="M63" s="0" t="n">
        <v>40</v>
      </c>
      <c r="N63" s="7" t="s">
        <v>5430</v>
      </c>
      <c r="O63" s="0" t="s">
        <v>5461</v>
      </c>
      <c r="P63" s="0" t="s">
        <v>5623</v>
      </c>
      <c r="Q63" s="0" t="s">
        <v>5433</v>
      </c>
      <c r="R63" s="0" t="s">
        <v>5434</v>
      </c>
      <c r="S63" s="0" t="s">
        <v>5552</v>
      </c>
      <c r="T63" s="0" t="s">
        <v>5413</v>
      </c>
      <c r="U63" s="0" t="s">
        <v>5624</v>
      </c>
      <c r="V63" s="0" t="s">
        <v>5464</v>
      </c>
      <c r="Y63" s="0" t="e">
        <v>#NAME?</v>
      </c>
      <c r="Z63" s="0" t="e">
        <f aca="false">COUNTIF(G:G,Y63)</f>
        <v>#NAME?</v>
      </c>
    </row>
    <row r="64" customFormat="false" ht="13.5" hidden="false" customHeight="false" outlineLevel="0" collapsed="false">
      <c r="A64" s="0" t="s">
        <v>165</v>
      </c>
      <c r="B64" s="0" t="s">
        <v>5625</v>
      </c>
      <c r="C64" s="0" t="n">
        <v>2021</v>
      </c>
      <c r="D64" s="0" t="s">
        <v>5499</v>
      </c>
      <c r="E64" s="0" t="s">
        <v>19</v>
      </c>
      <c r="F64" s="0" t="s">
        <v>31</v>
      </c>
      <c r="G64" s="0" t="s">
        <v>5580</v>
      </c>
      <c r="H64" s="0" t="s">
        <v>5418</v>
      </c>
      <c r="I64" s="0" t="s">
        <v>5407</v>
      </c>
      <c r="J64" s="0" t="n">
        <v>3</v>
      </c>
      <c r="K64" s="0" t="s">
        <v>5626</v>
      </c>
      <c r="L64" s="0" t="n">
        <v>0.25</v>
      </c>
      <c r="M64" s="0" t="n">
        <v>3</v>
      </c>
      <c r="N64" s="7" t="s">
        <v>5482</v>
      </c>
      <c r="O64" s="0" t="s">
        <v>5461</v>
      </c>
      <c r="P64" s="0" t="s">
        <v>5582</v>
      </c>
      <c r="Q64" s="0" t="s">
        <v>5433</v>
      </c>
      <c r="R64" s="0" t="s">
        <v>5408</v>
      </c>
      <c r="S64" s="0" t="s">
        <v>5547</v>
      </c>
      <c r="T64" s="0" t="s">
        <v>5436</v>
      </c>
      <c r="U64" s="0" t="s">
        <v>5583</v>
      </c>
      <c r="V64" s="0" t="s">
        <v>5584</v>
      </c>
      <c r="Y64" s="0" t="e">
        <v>#NAME?</v>
      </c>
      <c r="Z64" s="0" t="e">
        <f aca="false">COUNTIF(G:G,Y64)</f>
        <v>#NAME?</v>
      </c>
    </row>
    <row r="65" customFormat="false" ht="13.5" hidden="false" customHeight="false" outlineLevel="0" collapsed="false">
      <c r="A65" s="0" t="s">
        <v>167</v>
      </c>
      <c r="B65" s="0" t="s">
        <v>5627</v>
      </c>
      <c r="C65" s="0" t="n">
        <v>2020</v>
      </c>
      <c r="D65" s="0" t="s">
        <v>5521</v>
      </c>
      <c r="E65" s="0" t="s">
        <v>19</v>
      </c>
      <c r="F65" s="0" t="s">
        <v>31</v>
      </c>
      <c r="G65" s="0" t="s">
        <v>150</v>
      </c>
      <c r="H65" s="0" t="s">
        <v>5406</v>
      </c>
      <c r="I65" s="0" t="s">
        <v>5407</v>
      </c>
      <c r="J65" s="0" t="n">
        <v>3</v>
      </c>
      <c r="K65" s="0" t="s">
        <v>5628</v>
      </c>
      <c r="L65" s="0" t="n">
        <v>50</v>
      </c>
      <c r="M65" s="0" t="n">
        <v>80</v>
      </c>
      <c r="N65" s="7" t="s">
        <v>5430</v>
      </c>
      <c r="O65" s="0" t="s">
        <v>5461</v>
      </c>
      <c r="P65" s="0" t="s">
        <v>5488</v>
      </c>
      <c r="Q65" s="0" t="s">
        <v>5433</v>
      </c>
      <c r="R65" s="0" t="s">
        <v>5443</v>
      </c>
      <c r="S65" s="0" t="s">
        <v>5552</v>
      </c>
      <c r="T65" s="0" t="s">
        <v>5413</v>
      </c>
      <c r="U65" s="0" t="s">
        <v>5629</v>
      </c>
      <c r="V65" s="0" t="s">
        <v>5415</v>
      </c>
      <c r="Y65" s="0" t="e">
        <v>#NAME?</v>
      </c>
      <c r="Z65" s="0" t="e">
        <f aca="false">COUNTIF(G:G,Y65)</f>
        <v>#NAME?</v>
      </c>
    </row>
    <row r="66" customFormat="false" ht="13.5" hidden="false" customHeight="false" outlineLevel="0" collapsed="false">
      <c r="A66" s="0" t="s">
        <v>173</v>
      </c>
      <c r="B66" s="0" t="s">
        <v>5630</v>
      </c>
      <c r="C66" s="0" t="n">
        <v>2008</v>
      </c>
      <c r="D66" s="0" t="s">
        <v>5631</v>
      </c>
      <c r="E66" s="0" t="s">
        <v>19</v>
      </c>
      <c r="F66" s="0" t="s">
        <v>31</v>
      </c>
      <c r="G66" s="0" t="s">
        <v>12</v>
      </c>
      <c r="H66" s="0" t="s">
        <v>5406</v>
      </c>
      <c r="I66" s="0" t="s">
        <v>5407</v>
      </c>
      <c r="J66" s="0" t="n">
        <v>3</v>
      </c>
      <c r="K66" s="0" t="s">
        <v>5441</v>
      </c>
      <c r="L66" s="0" t="n">
        <v>10</v>
      </c>
      <c r="M66" s="0" t="n">
        <v>100</v>
      </c>
      <c r="N66" s="7" t="s">
        <v>5430</v>
      </c>
      <c r="O66" s="0" t="s">
        <v>5461</v>
      </c>
      <c r="P66" s="0" t="s">
        <v>5462</v>
      </c>
      <c r="Q66" s="0" t="s">
        <v>5433</v>
      </c>
      <c r="R66" s="0" t="s">
        <v>5564</v>
      </c>
      <c r="S66" s="0" t="s">
        <v>5412</v>
      </c>
      <c r="T66" s="0" t="s">
        <v>5413</v>
      </c>
      <c r="U66" s="0" t="s">
        <v>5632</v>
      </c>
      <c r="V66" s="0" t="s">
        <v>5415</v>
      </c>
      <c r="Y66" s="0" t="e">
        <v>#NAME?</v>
      </c>
      <c r="Z66" s="0" t="e">
        <f aca="false">COUNTIF(G:G,Y66)</f>
        <v>#NAME?</v>
      </c>
    </row>
    <row r="67" customFormat="false" ht="13.5" hidden="false" customHeight="false" outlineLevel="0" collapsed="false">
      <c r="A67" s="0" t="s">
        <v>177</v>
      </c>
      <c r="B67" s="0" t="s">
        <v>5633</v>
      </c>
      <c r="C67" s="0" t="n">
        <v>2019</v>
      </c>
      <c r="D67" s="0" t="s">
        <v>5551</v>
      </c>
      <c r="E67" s="0" t="s">
        <v>19</v>
      </c>
      <c r="F67" s="0" t="s">
        <v>31</v>
      </c>
      <c r="G67" s="0" t="s">
        <v>56</v>
      </c>
      <c r="H67" s="0" t="s">
        <v>5418</v>
      </c>
      <c r="I67" s="0" t="s">
        <v>5407</v>
      </c>
      <c r="J67" s="0" t="n">
        <v>2</v>
      </c>
      <c r="K67" s="0" t="s">
        <v>5429</v>
      </c>
      <c r="L67" s="0" t="n">
        <v>150</v>
      </c>
      <c r="M67" s="0" t="n">
        <v>400</v>
      </c>
      <c r="N67" s="7" t="s">
        <v>5430</v>
      </c>
      <c r="O67" s="0" t="s">
        <v>5431</v>
      </c>
      <c r="P67" s="0" t="s">
        <v>5432</v>
      </c>
      <c r="Q67" s="0" t="s">
        <v>5433</v>
      </c>
      <c r="R67" s="0" t="s">
        <v>5434</v>
      </c>
      <c r="S67" s="0" t="s">
        <v>5547</v>
      </c>
      <c r="T67" s="0" t="s">
        <v>5492</v>
      </c>
      <c r="U67" s="0" t="s">
        <v>5634</v>
      </c>
      <c r="V67" s="0" t="s">
        <v>5415</v>
      </c>
      <c r="Y67" s="0" t="e">
        <v>#NAME?</v>
      </c>
      <c r="Z67" s="0" t="e">
        <f aca="false">COUNTIF(G:G,Y67)</f>
        <v>#NAME?</v>
      </c>
    </row>
    <row r="68" customFormat="false" ht="13.5" hidden="false" customHeight="false" outlineLevel="0" collapsed="false">
      <c r="A68" s="0" t="s">
        <v>179</v>
      </c>
      <c r="B68" s="0" t="s">
        <v>5635</v>
      </c>
      <c r="C68" s="0" t="n">
        <v>2020</v>
      </c>
      <c r="D68" s="0" t="s">
        <v>5636</v>
      </c>
      <c r="E68" s="0" t="s">
        <v>19</v>
      </c>
      <c r="F68" s="0" t="s">
        <v>31</v>
      </c>
      <c r="G68" s="0" t="s">
        <v>181</v>
      </c>
      <c r="H68" s="0" t="s">
        <v>5406</v>
      </c>
      <c r="I68" s="0" t="s">
        <v>5407</v>
      </c>
      <c r="J68" s="0" t="n">
        <v>3</v>
      </c>
      <c r="K68" s="0" t="s">
        <v>5637</v>
      </c>
      <c r="L68" s="0" t="n">
        <v>25</v>
      </c>
      <c r="M68" s="0" t="n">
        <v>150</v>
      </c>
      <c r="N68" s="7" t="s">
        <v>5430</v>
      </c>
      <c r="O68" s="0" t="s">
        <v>2224</v>
      </c>
      <c r="P68" s="0" t="s">
        <v>5563</v>
      </c>
      <c r="Q68" s="0" t="s">
        <v>5433</v>
      </c>
      <c r="R68" s="0" t="s">
        <v>5638</v>
      </c>
      <c r="S68" s="0" t="s">
        <v>5639</v>
      </c>
      <c r="T68" s="0" t="s">
        <v>5413</v>
      </c>
      <c r="U68" s="0" t="s">
        <v>5640</v>
      </c>
      <c r="V68" s="0" t="s">
        <v>5578</v>
      </c>
      <c r="Y68" s="0" t="e">
        <v>#NAME?</v>
      </c>
      <c r="Z68" s="0" t="e">
        <f aca="false">COUNTIF(G:G,Y68)</f>
        <v>#NAME?</v>
      </c>
    </row>
    <row r="69" customFormat="false" ht="13.5" hidden="false" customHeight="false" outlineLevel="0" collapsed="false">
      <c r="A69" s="0" t="s">
        <v>182</v>
      </c>
      <c r="B69" s="0" t="s">
        <v>5641</v>
      </c>
      <c r="C69" s="0" t="n">
        <v>2020</v>
      </c>
      <c r="D69" s="0" t="s">
        <v>5459</v>
      </c>
      <c r="E69" s="0" t="s">
        <v>19</v>
      </c>
      <c r="F69" s="0" t="s">
        <v>31</v>
      </c>
      <c r="G69" s="0" t="s">
        <v>5642</v>
      </c>
      <c r="H69" s="0" t="s">
        <v>5406</v>
      </c>
      <c r="I69" s="0" t="s">
        <v>5407</v>
      </c>
      <c r="J69" s="0" t="n">
        <v>4</v>
      </c>
      <c r="K69" s="0" t="s">
        <v>5441</v>
      </c>
      <c r="L69" s="0" t="n">
        <v>1</v>
      </c>
      <c r="M69" s="0" t="n">
        <v>1</v>
      </c>
      <c r="N69" s="7" t="s">
        <v>5482</v>
      </c>
      <c r="O69" s="0" t="s">
        <v>2224</v>
      </c>
      <c r="P69" s="0" t="s">
        <v>5525</v>
      </c>
      <c r="Q69" s="0" t="s">
        <v>5433</v>
      </c>
      <c r="R69" s="0" t="s">
        <v>5496</v>
      </c>
      <c r="S69" s="0" t="s">
        <v>5472</v>
      </c>
      <c r="T69" s="0" t="s">
        <v>5410</v>
      </c>
      <c r="U69" s="0" t="s">
        <v>5410</v>
      </c>
      <c r="V69" s="0" t="s">
        <v>5410</v>
      </c>
      <c r="Y69" s="0" t="e">
        <v>#NAME?</v>
      </c>
      <c r="Z69" s="0" t="e">
        <f aca="false">COUNTIF(G:G,Y69)</f>
        <v>#NAME?</v>
      </c>
    </row>
    <row r="70" customFormat="false" ht="13.5" hidden="false" customHeight="false" outlineLevel="0" collapsed="false">
      <c r="A70" s="0" t="s">
        <v>184</v>
      </c>
      <c r="B70" s="0" t="s">
        <v>5643</v>
      </c>
      <c r="C70" s="0" t="n">
        <v>2018</v>
      </c>
      <c r="D70" s="0" t="s">
        <v>5428</v>
      </c>
      <c r="E70" s="0" t="s">
        <v>19</v>
      </c>
      <c r="F70" s="0" t="s">
        <v>31</v>
      </c>
      <c r="G70" s="0" t="s">
        <v>5440</v>
      </c>
      <c r="H70" s="0" t="s">
        <v>5418</v>
      </c>
      <c r="I70" s="0" t="s">
        <v>5407</v>
      </c>
      <c r="J70" s="0" t="n">
        <v>2</v>
      </c>
      <c r="K70" s="0" t="s">
        <v>5441</v>
      </c>
      <c r="L70" s="0" t="n">
        <v>70</v>
      </c>
      <c r="M70" s="0" t="n">
        <v>100</v>
      </c>
      <c r="N70" s="7" t="s">
        <v>5430</v>
      </c>
      <c r="O70" s="0" t="s">
        <v>5461</v>
      </c>
      <c r="P70" s="0" t="s">
        <v>5442</v>
      </c>
      <c r="Q70" s="0" t="s">
        <v>5433</v>
      </c>
      <c r="R70" s="0" t="s">
        <v>5443</v>
      </c>
      <c r="S70" s="0" t="s">
        <v>5644</v>
      </c>
      <c r="T70" s="0" t="s">
        <v>5436</v>
      </c>
      <c r="U70" s="0" t="s">
        <v>5645</v>
      </c>
      <c r="V70" s="0" t="s">
        <v>5578</v>
      </c>
      <c r="Y70" s="0" t="e">
        <v>#NAME?</v>
      </c>
      <c r="Z70" s="0" t="e">
        <f aca="false">COUNTIF(G:G,Y70)</f>
        <v>#NAME?</v>
      </c>
    </row>
    <row r="71" customFormat="false" ht="13.5" hidden="false" customHeight="false" outlineLevel="0" collapsed="false">
      <c r="A71" s="0" t="s">
        <v>5646</v>
      </c>
      <c r="B71" s="0" t="s">
        <v>5647</v>
      </c>
      <c r="C71" s="0" t="n">
        <v>2012</v>
      </c>
      <c r="D71" s="0" t="s">
        <v>5613</v>
      </c>
      <c r="E71" s="0" t="s">
        <v>19</v>
      </c>
      <c r="F71" s="0" t="s">
        <v>31</v>
      </c>
      <c r="G71" s="0" t="s">
        <v>5648</v>
      </c>
      <c r="H71" s="0" t="s">
        <v>5406</v>
      </c>
      <c r="I71" s="0" t="s">
        <v>5407</v>
      </c>
      <c r="J71" s="0" t="n">
        <v>3</v>
      </c>
      <c r="K71" s="0" t="s">
        <v>5441</v>
      </c>
      <c r="L71" s="0" t="n">
        <v>70</v>
      </c>
      <c r="M71" s="0" t="n">
        <v>150</v>
      </c>
      <c r="N71" s="7" t="s">
        <v>5430</v>
      </c>
      <c r="O71" s="0" t="s">
        <v>5461</v>
      </c>
      <c r="P71" s="0" t="s">
        <v>5442</v>
      </c>
      <c r="Q71" s="0" t="s">
        <v>5433</v>
      </c>
      <c r="R71" s="0" t="s">
        <v>5443</v>
      </c>
      <c r="S71" s="0" t="s">
        <v>5644</v>
      </c>
      <c r="T71" s="0" t="s">
        <v>5436</v>
      </c>
      <c r="U71" s="0" t="s">
        <v>5649</v>
      </c>
      <c r="V71" s="0" t="s">
        <v>5578</v>
      </c>
      <c r="Y71" s="0" t="e">
        <v>#NAME?</v>
      </c>
      <c r="Z71" s="0" t="e">
        <f aca="false">COUNTIF(G:G,Y71)</f>
        <v>#NAME?</v>
      </c>
    </row>
    <row r="72" customFormat="false" ht="13.5" hidden="false" customHeight="false" outlineLevel="0" collapsed="false">
      <c r="A72" s="0" t="s">
        <v>187</v>
      </c>
      <c r="B72" s="0" t="s">
        <v>5650</v>
      </c>
      <c r="C72" s="0" t="n">
        <v>2012</v>
      </c>
      <c r="D72" s="0" t="s">
        <v>5439</v>
      </c>
      <c r="E72" s="0" t="s">
        <v>24</v>
      </c>
      <c r="F72" s="0" t="s">
        <v>31</v>
      </c>
      <c r="G72" s="0" t="s">
        <v>47</v>
      </c>
      <c r="H72" s="0" t="s">
        <v>5406</v>
      </c>
      <c r="I72" s="0" t="s">
        <v>5407</v>
      </c>
      <c r="J72" s="0" t="n">
        <v>2</v>
      </c>
      <c r="K72" s="0" t="s">
        <v>5651</v>
      </c>
      <c r="L72" s="0" t="n">
        <v>80</v>
      </c>
      <c r="M72" s="0" t="n">
        <v>300</v>
      </c>
      <c r="N72" s="7" t="s">
        <v>5409</v>
      </c>
      <c r="O72" s="0" t="s">
        <v>5410</v>
      </c>
      <c r="P72" s="0" t="s">
        <v>5652</v>
      </c>
      <c r="Q72" s="0" t="s">
        <v>5410</v>
      </c>
      <c r="R72" s="0" t="s">
        <v>5653</v>
      </c>
      <c r="S72" s="0" t="s">
        <v>5552</v>
      </c>
      <c r="T72" s="0" t="s">
        <v>5413</v>
      </c>
      <c r="U72" s="0" t="s">
        <v>5654</v>
      </c>
      <c r="V72" s="0" t="s">
        <v>5464</v>
      </c>
      <c r="Y72" s="0" t="e">
        <v>#NAME?</v>
      </c>
      <c r="Z72" s="0" t="e">
        <f aca="false">COUNTIF(G:G,Y72)</f>
        <v>#NAME?</v>
      </c>
    </row>
    <row r="73" customFormat="false" ht="13.5" hidden="false" customHeight="false" outlineLevel="0" collapsed="false">
      <c r="A73" s="0" t="s">
        <v>190</v>
      </c>
      <c r="B73" s="0" t="s">
        <v>5655</v>
      </c>
      <c r="C73" s="0" t="n">
        <v>1979</v>
      </c>
      <c r="D73" s="0" t="s">
        <v>5656</v>
      </c>
      <c r="E73" s="0" t="s">
        <v>19</v>
      </c>
      <c r="F73" s="0" t="s">
        <v>31</v>
      </c>
      <c r="G73" s="0" t="s">
        <v>5657</v>
      </c>
      <c r="H73" s="0" t="s">
        <v>5418</v>
      </c>
      <c r="I73" s="0" t="s">
        <v>5407</v>
      </c>
      <c r="J73" s="0" t="n">
        <v>11</v>
      </c>
      <c r="K73" s="0" t="s">
        <v>5519</v>
      </c>
      <c r="L73" s="0" t="n">
        <v>0.1</v>
      </c>
      <c r="M73" s="0" t="n">
        <v>0.8</v>
      </c>
      <c r="N73" s="7" t="s">
        <v>5482</v>
      </c>
      <c r="O73" s="0" t="s">
        <v>5487</v>
      </c>
      <c r="P73" s="0" t="s">
        <v>5476</v>
      </c>
      <c r="Q73" s="0" t="s">
        <v>5489</v>
      </c>
      <c r="R73" s="0" t="s">
        <v>5658</v>
      </c>
      <c r="S73" s="0" t="s">
        <v>5423</v>
      </c>
      <c r="T73" s="0" t="s">
        <v>5410</v>
      </c>
      <c r="U73" s="0" t="s">
        <v>5659</v>
      </c>
      <c r="V73" s="0" t="s">
        <v>5660</v>
      </c>
      <c r="Y73" s="0" t="e">
        <v>#NAME?</v>
      </c>
      <c r="Z73" s="0" t="e">
        <f aca="false">COUNTIF(G:G,Y73)</f>
        <v>#NAME?</v>
      </c>
    </row>
    <row r="74" customFormat="false" ht="13.5" hidden="false" customHeight="false" outlineLevel="0" collapsed="false">
      <c r="A74" s="0" t="s">
        <v>190</v>
      </c>
      <c r="B74" s="0" t="s">
        <v>5655</v>
      </c>
      <c r="C74" s="0" t="n">
        <v>1979</v>
      </c>
      <c r="D74" s="0" t="s">
        <v>5656</v>
      </c>
      <c r="E74" s="0" t="s">
        <v>19</v>
      </c>
      <c r="F74" s="0" t="s">
        <v>31</v>
      </c>
      <c r="G74" s="0" t="s">
        <v>5592</v>
      </c>
      <c r="H74" s="0" t="s">
        <v>5418</v>
      </c>
      <c r="I74" s="0" t="s">
        <v>5407</v>
      </c>
      <c r="J74" s="0" t="n">
        <v>11</v>
      </c>
      <c r="K74" s="0" t="s">
        <v>5519</v>
      </c>
      <c r="L74" s="0" t="n">
        <v>0.1</v>
      </c>
      <c r="M74" s="0" t="n">
        <v>0.8</v>
      </c>
      <c r="N74" s="7" t="s">
        <v>5482</v>
      </c>
      <c r="O74" s="0" t="s">
        <v>5487</v>
      </c>
      <c r="P74" s="0" t="s">
        <v>5476</v>
      </c>
      <c r="Q74" s="0" t="s">
        <v>5489</v>
      </c>
      <c r="R74" s="0" t="s">
        <v>5661</v>
      </c>
      <c r="S74" s="0" t="s">
        <v>5423</v>
      </c>
      <c r="T74" s="0" t="s">
        <v>5410</v>
      </c>
      <c r="U74" s="0" t="s">
        <v>5659</v>
      </c>
      <c r="V74" s="0" t="s">
        <v>5660</v>
      </c>
      <c r="Y74" s="0" t="e">
        <v>#NAME?</v>
      </c>
      <c r="Z74" s="0" t="e">
        <f aca="false">COUNTIF(G:G,Y74)</f>
        <v>#NAME?</v>
      </c>
    </row>
    <row r="75" customFormat="false" ht="13.5" hidden="false" customHeight="false" outlineLevel="0" collapsed="false">
      <c r="A75" s="0" t="s">
        <v>193</v>
      </c>
      <c r="B75" s="0" t="s">
        <v>5662</v>
      </c>
      <c r="C75" s="0" t="n">
        <v>2017</v>
      </c>
      <c r="D75" s="0" t="s">
        <v>5613</v>
      </c>
      <c r="E75" s="0" t="s">
        <v>19</v>
      </c>
      <c r="F75" s="0" t="s">
        <v>31</v>
      </c>
      <c r="G75" s="0" t="s">
        <v>1043</v>
      </c>
      <c r="H75" s="0" t="s">
        <v>5406</v>
      </c>
      <c r="I75" s="0" t="s">
        <v>5407</v>
      </c>
      <c r="J75" s="0" t="n">
        <v>2</v>
      </c>
      <c r="K75" s="0" t="s">
        <v>5663</v>
      </c>
      <c r="L75" s="0" t="n">
        <v>50</v>
      </c>
      <c r="M75" s="0" t="n">
        <v>300</v>
      </c>
      <c r="N75" s="7" t="s">
        <v>5430</v>
      </c>
      <c r="O75" s="0" t="s">
        <v>5461</v>
      </c>
      <c r="P75" s="0" t="s">
        <v>5563</v>
      </c>
      <c r="Q75" s="0" t="s">
        <v>5433</v>
      </c>
      <c r="R75" s="0" t="s">
        <v>5434</v>
      </c>
      <c r="S75" s="0" t="s">
        <v>5664</v>
      </c>
      <c r="T75" s="0" t="s">
        <v>5413</v>
      </c>
      <c r="U75" s="0" t="s">
        <v>5665</v>
      </c>
      <c r="V75" s="0" t="s">
        <v>5415</v>
      </c>
      <c r="Y75" s="0" t="e">
        <v>#NAME?</v>
      </c>
      <c r="Z75" s="0" t="e">
        <f aca="false">COUNTIF(G:G,Y75)</f>
        <v>#NAME?</v>
      </c>
    </row>
    <row r="76" customFormat="false" ht="13.5" hidden="false" customHeight="false" outlineLevel="0" collapsed="false">
      <c r="A76" s="0" t="s">
        <v>195</v>
      </c>
      <c r="B76" s="0" t="s">
        <v>5666</v>
      </c>
      <c r="C76" s="0" t="n">
        <v>2017</v>
      </c>
      <c r="D76" s="0" t="s">
        <v>5439</v>
      </c>
      <c r="E76" s="0" t="s">
        <v>19</v>
      </c>
      <c r="F76" s="0" t="s">
        <v>31</v>
      </c>
      <c r="G76" s="0" t="s">
        <v>682</v>
      </c>
      <c r="H76" s="0" t="s">
        <v>5418</v>
      </c>
      <c r="I76" s="0" t="s">
        <v>5407</v>
      </c>
      <c r="J76" s="0" t="n">
        <v>3</v>
      </c>
      <c r="K76" s="0" t="s">
        <v>5667</v>
      </c>
      <c r="L76" s="0" t="n">
        <v>200</v>
      </c>
      <c r="M76" s="0" t="n">
        <v>200</v>
      </c>
      <c r="N76" s="7" t="s">
        <v>5430</v>
      </c>
      <c r="O76" s="0" t="s">
        <v>5461</v>
      </c>
      <c r="P76" s="0" t="s">
        <v>5442</v>
      </c>
      <c r="Q76" s="0" t="s">
        <v>5433</v>
      </c>
      <c r="R76" s="0" t="s">
        <v>5564</v>
      </c>
      <c r="S76" s="0" t="s">
        <v>5668</v>
      </c>
      <c r="T76" s="0" t="s">
        <v>5436</v>
      </c>
      <c r="U76" s="0" t="s">
        <v>5669</v>
      </c>
      <c r="V76" s="0" t="s">
        <v>5599</v>
      </c>
      <c r="Y76" s="0" t="e">
        <v>#NAME?</v>
      </c>
      <c r="Z76" s="0" t="e">
        <f aca="false">COUNTIF(G:G,Y76)</f>
        <v>#NAME?</v>
      </c>
    </row>
    <row r="77" customFormat="false" ht="13.5" hidden="false" customHeight="false" outlineLevel="0" collapsed="false">
      <c r="A77" s="0" t="s">
        <v>198</v>
      </c>
      <c r="B77" s="0" t="s">
        <v>5670</v>
      </c>
      <c r="C77" s="0" t="n">
        <v>2009</v>
      </c>
      <c r="D77" s="0" t="s">
        <v>5479</v>
      </c>
      <c r="E77" s="0" t="s">
        <v>19</v>
      </c>
      <c r="F77" s="0" t="s">
        <v>31</v>
      </c>
      <c r="G77" s="0" t="s">
        <v>5671</v>
      </c>
      <c r="H77" s="0" t="s">
        <v>5418</v>
      </c>
      <c r="I77" s="0" t="s">
        <v>5407</v>
      </c>
      <c r="J77" s="0" t="n">
        <v>2</v>
      </c>
      <c r="K77" s="0" t="s">
        <v>5569</v>
      </c>
      <c r="L77" s="0" t="n">
        <v>30</v>
      </c>
      <c r="M77" s="0" t="n">
        <v>120</v>
      </c>
      <c r="N77" s="7" t="s">
        <v>5430</v>
      </c>
      <c r="O77" s="0" t="s">
        <v>5487</v>
      </c>
      <c r="P77" s="0" t="s">
        <v>5462</v>
      </c>
      <c r="Q77" s="0" t="s">
        <v>5489</v>
      </c>
      <c r="R77" s="0" t="s">
        <v>5672</v>
      </c>
      <c r="S77" s="0" t="s">
        <v>5423</v>
      </c>
      <c r="T77" s="0" t="s">
        <v>5413</v>
      </c>
      <c r="U77" s="0" t="s">
        <v>5673</v>
      </c>
      <c r="V77" s="0" t="s">
        <v>5426</v>
      </c>
      <c r="Y77" s="0" t="e">
        <v>#NAME?</v>
      </c>
      <c r="Z77" s="0" t="e">
        <f aca="false">COUNTIF(G:G,Y77)</f>
        <v>#NAME?</v>
      </c>
    </row>
    <row r="78" customFormat="false" ht="13.5" hidden="false" customHeight="false" outlineLevel="0" collapsed="false">
      <c r="A78" s="0" t="s">
        <v>201</v>
      </c>
      <c r="B78" s="0" t="s">
        <v>5674</v>
      </c>
      <c r="C78" s="0" t="n">
        <v>2012</v>
      </c>
      <c r="D78" s="0" t="s">
        <v>5459</v>
      </c>
      <c r="E78" s="0" t="s">
        <v>19</v>
      </c>
      <c r="F78" s="0" t="s">
        <v>31</v>
      </c>
      <c r="G78" s="0" t="s">
        <v>32</v>
      </c>
      <c r="H78" s="0" t="s">
        <v>5418</v>
      </c>
      <c r="I78" s="0" t="s">
        <v>5407</v>
      </c>
      <c r="J78" s="0" t="n">
        <v>2</v>
      </c>
      <c r="K78" s="0" t="s">
        <v>5460</v>
      </c>
      <c r="L78" s="0" t="n">
        <v>5</v>
      </c>
      <c r="M78" s="0" t="n">
        <v>50</v>
      </c>
      <c r="N78" s="7" t="s">
        <v>5430</v>
      </c>
      <c r="O78" s="0" t="s">
        <v>5431</v>
      </c>
      <c r="P78" s="0" t="s">
        <v>5623</v>
      </c>
      <c r="Q78" s="0" t="s">
        <v>5433</v>
      </c>
      <c r="R78" s="0" t="s">
        <v>5564</v>
      </c>
      <c r="S78" s="0" t="s">
        <v>5472</v>
      </c>
      <c r="T78" s="0" t="s">
        <v>5413</v>
      </c>
      <c r="U78" s="0" t="s">
        <v>5675</v>
      </c>
      <c r="V78" s="0" t="s">
        <v>5599</v>
      </c>
      <c r="Y78" s="0" t="e">
        <v>#NAME?</v>
      </c>
      <c r="Z78" s="0" t="e">
        <f aca="false">COUNTIF(G:G,Y78)</f>
        <v>#NAME?</v>
      </c>
    </row>
    <row r="79" customFormat="false" ht="13.5" hidden="false" customHeight="false" outlineLevel="0" collapsed="false">
      <c r="A79" s="0" t="s">
        <v>203</v>
      </c>
      <c r="B79" s="0" t="s">
        <v>5676</v>
      </c>
      <c r="C79" s="0" t="n">
        <v>1998</v>
      </c>
      <c r="D79" s="0" t="s">
        <v>5479</v>
      </c>
      <c r="E79" s="0" t="s">
        <v>19</v>
      </c>
      <c r="F79" s="0" t="s">
        <v>31</v>
      </c>
      <c r="G79" s="0" t="s">
        <v>5677</v>
      </c>
      <c r="H79" s="0" t="s">
        <v>5418</v>
      </c>
      <c r="I79" s="0" t="s">
        <v>5407</v>
      </c>
      <c r="J79" s="0" t="n">
        <v>2</v>
      </c>
      <c r="K79" s="0" t="s">
        <v>5511</v>
      </c>
      <c r="L79" s="0" t="n">
        <v>10</v>
      </c>
      <c r="M79" s="0" t="n">
        <v>20</v>
      </c>
      <c r="N79" s="7" t="s">
        <v>5430</v>
      </c>
      <c r="O79" s="0" t="s">
        <v>5461</v>
      </c>
      <c r="P79" s="0" t="s">
        <v>5432</v>
      </c>
      <c r="Q79" s="0" t="s">
        <v>5433</v>
      </c>
      <c r="R79" s="0" t="s">
        <v>5678</v>
      </c>
      <c r="S79" s="0" t="s">
        <v>5679</v>
      </c>
      <c r="T79" s="0" t="s">
        <v>5436</v>
      </c>
      <c r="U79" s="0" t="s">
        <v>5680</v>
      </c>
      <c r="V79" s="0" t="s">
        <v>5426</v>
      </c>
      <c r="Y79" s="0" t="e">
        <v>#NAME?</v>
      </c>
      <c r="Z79" s="0" t="e">
        <f aca="false">COUNTIF(G:G,Y79)</f>
        <v>#NAME?</v>
      </c>
    </row>
    <row r="80" customFormat="false" ht="13.5" hidden="false" customHeight="false" outlineLevel="0" collapsed="false">
      <c r="A80" s="0" t="s">
        <v>206</v>
      </c>
      <c r="B80" s="0" t="s">
        <v>5681</v>
      </c>
      <c r="C80" s="0" t="n">
        <v>2011</v>
      </c>
      <c r="D80" s="0" t="s">
        <v>5606</v>
      </c>
      <c r="E80" s="0" t="s">
        <v>19</v>
      </c>
      <c r="F80" s="0" t="s">
        <v>31</v>
      </c>
      <c r="G80" s="0" t="s">
        <v>5682</v>
      </c>
      <c r="H80" s="0" t="s">
        <v>5418</v>
      </c>
      <c r="I80" s="0" t="s">
        <v>5407</v>
      </c>
      <c r="J80" s="0" t="n">
        <v>2</v>
      </c>
      <c r="K80" s="0" t="s">
        <v>5460</v>
      </c>
      <c r="L80" s="0" t="n">
        <v>20</v>
      </c>
      <c r="M80" s="0" t="n">
        <v>40</v>
      </c>
      <c r="N80" s="7" t="s">
        <v>5430</v>
      </c>
      <c r="O80" s="0" t="s">
        <v>2224</v>
      </c>
      <c r="P80" s="0" t="s">
        <v>5432</v>
      </c>
      <c r="Q80" s="0" t="s">
        <v>2224</v>
      </c>
      <c r="R80" s="0" t="s">
        <v>5683</v>
      </c>
      <c r="S80" s="0" t="s">
        <v>5684</v>
      </c>
      <c r="T80" s="0" t="s">
        <v>5413</v>
      </c>
      <c r="U80" s="0" t="s">
        <v>5685</v>
      </c>
      <c r="V80" s="0" t="s">
        <v>5578</v>
      </c>
      <c r="Y80" s="0" t="e">
        <v>#NAME?</v>
      </c>
      <c r="Z80" s="0" t="e">
        <f aca="false">COUNTIF(G:G,Y80)</f>
        <v>#NAME?</v>
      </c>
    </row>
    <row r="81" customFormat="false" ht="13.5" hidden="false" customHeight="false" outlineLevel="0" collapsed="false">
      <c r="A81" s="0" t="s">
        <v>212</v>
      </c>
      <c r="B81" s="0" t="s">
        <v>5686</v>
      </c>
      <c r="C81" s="0" t="n">
        <v>1996</v>
      </c>
      <c r="D81" s="0" t="s">
        <v>5479</v>
      </c>
      <c r="E81" s="0" t="s">
        <v>19</v>
      </c>
      <c r="F81" s="0" t="s">
        <v>31</v>
      </c>
      <c r="G81" s="0" t="s">
        <v>32</v>
      </c>
      <c r="H81" s="0" t="s">
        <v>5418</v>
      </c>
      <c r="I81" s="0" t="s">
        <v>5407</v>
      </c>
      <c r="J81" s="0" t="n">
        <v>2</v>
      </c>
      <c r="K81" s="0" t="s">
        <v>5687</v>
      </c>
      <c r="L81" s="0" t="n">
        <v>10</v>
      </c>
      <c r="M81" s="0" t="n">
        <v>50</v>
      </c>
      <c r="N81" s="7" t="s">
        <v>5430</v>
      </c>
      <c r="O81" s="0" t="s">
        <v>5487</v>
      </c>
      <c r="P81" s="0" t="s">
        <v>5535</v>
      </c>
      <c r="Q81" s="0" t="s">
        <v>5489</v>
      </c>
      <c r="R81" s="0" t="s">
        <v>5688</v>
      </c>
      <c r="S81" s="0" t="s">
        <v>5423</v>
      </c>
      <c r="T81" s="0" t="s">
        <v>5689</v>
      </c>
      <c r="U81" s="0" t="s">
        <v>5690</v>
      </c>
      <c r="V81" s="0" t="s">
        <v>5426</v>
      </c>
      <c r="Y81" s="0" t="e">
        <v>#NAME?</v>
      </c>
      <c r="Z81" s="0" t="e">
        <f aca="false">COUNTIF(G:G,Y81)</f>
        <v>#NAME?</v>
      </c>
    </row>
    <row r="82" customFormat="false" ht="13.5" hidden="false" customHeight="false" outlineLevel="0" collapsed="false">
      <c r="A82" s="0" t="s">
        <v>214</v>
      </c>
      <c r="B82" s="0" t="s">
        <v>5691</v>
      </c>
      <c r="C82" s="0" t="n">
        <v>2015</v>
      </c>
      <c r="D82" s="0" t="s">
        <v>5459</v>
      </c>
      <c r="E82" s="0" t="s">
        <v>19</v>
      </c>
      <c r="F82" s="0" t="s">
        <v>15</v>
      </c>
      <c r="G82" s="0" t="s">
        <v>36</v>
      </c>
      <c r="H82" s="0" t="s">
        <v>5418</v>
      </c>
      <c r="I82" s="0" t="s">
        <v>5407</v>
      </c>
      <c r="J82" s="0" t="n">
        <v>2</v>
      </c>
      <c r="K82" s="0" t="s">
        <v>5663</v>
      </c>
      <c r="L82" s="0" t="n">
        <v>200</v>
      </c>
      <c r="M82" s="0" t="n">
        <v>200</v>
      </c>
      <c r="N82" s="7" t="s">
        <v>5430</v>
      </c>
      <c r="O82" s="0" t="s">
        <v>2224</v>
      </c>
      <c r="P82" s="0" t="s">
        <v>5692</v>
      </c>
      <c r="Q82" s="0" t="s">
        <v>5433</v>
      </c>
      <c r="R82" s="0" t="s">
        <v>5408</v>
      </c>
      <c r="S82" s="0" t="s">
        <v>5693</v>
      </c>
      <c r="T82" s="0" t="s">
        <v>5436</v>
      </c>
      <c r="U82" s="0" t="s">
        <v>5469</v>
      </c>
      <c r="V82" s="0" t="s">
        <v>5426</v>
      </c>
      <c r="Y82" s="0" t="e">
        <v>#NAME?</v>
      </c>
      <c r="Z82" s="0" t="e">
        <f aca="false">COUNTIF(G:G,Y82)</f>
        <v>#NAME?</v>
      </c>
    </row>
    <row r="83" customFormat="false" ht="13.5" hidden="false" customHeight="false" outlineLevel="0" collapsed="false">
      <c r="A83" s="0" t="s">
        <v>217</v>
      </c>
      <c r="B83" s="0" t="s">
        <v>5694</v>
      </c>
      <c r="C83" s="0" t="n">
        <v>1988</v>
      </c>
      <c r="D83" s="0" t="s">
        <v>5515</v>
      </c>
      <c r="E83" s="0" t="s">
        <v>19</v>
      </c>
      <c r="F83" s="0" t="s">
        <v>31</v>
      </c>
      <c r="G83" s="0" t="s">
        <v>219</v>
      </c>
      <c r="H83" s="0" t="s">
        <v>5418</v>
      </c>
      <c r="I83" s="0" t="s">
        <v>5407</v>
      </c>
      <c r="J83" s="0" t="n">
        <v>5</v>
      </c>
      <c r="K83" s="0" t="s">
        <v>5695</v>
      </c>
      <c r="L83" s="0" t="n">
        <v>30</v>
      </c>
      <c r="M83" s="0" t="n">
        <v>40</v>
      </c>
      <c r="N83" s="7" t="s">
        <v>5482</v>
      </c>
      <c r="O83" s="0" t="s">
        <v>2224</v>
      </c>
      <c r="P83" s="0" t="s">
        <v>5535</v>
      </c>
      <c r="Q83" s="0" t="s">
        <v>5489</v>
      </c>
      <c r="R83" s="0" t="s">
        <v>5696</v>
      </c>
      <c r="S83" s="0" t="s">
        <v>5423</v>
      </c>
      <c r="T83" s="0" t="s">
        <v>5413</v>
      </c>
      <c r="U83" s="0" t="s">
        <v>5697</v>
      </c>
      <c r="V83" s="0" t="s">
        <v>5426</v>
      </c>
      <c r="Y83" s="0" t="e">
        <v>#NAME?</v>
      </c>
      <c r="Z83" s="0" t="e">
        <f aca="false">COUNTIF(G:G,Y83)</f>
        <v>#NAME?</v>
      </c>
    </row>
    <row r="84" customFormat="false" ht="13.5" hidden="false" customHeight="false" outlineLevel="0" collapsed="false">
      <c r="A84" s="0" t="s">
        <v>220</v>
      </c>
      <c r="B84" s="0" t="s">
        <v>5698</v>
      </c>
      <c r="C84" s="0" t="n">
        <v>2010</v>
      </c>
      <c r="D84" s="0" t="s">
        <v>5479</v>
      </c>
      <c r="E84" s="0" t="s">
        <v>19</v>
      </c>
      <c r="F84" s="0" t="s">
        <v>31</v>
      </c>
      <c r="G84" s="0" t="s">
        <v>47</v>
      </c>
      <c r="H84" s="0" t="s">
        <v>5406</v>
      </c>
      <c r="I84" s="0" t="s">
        <v>5407</v>
      </c>
      <c r="J84" s="0" t="n">
        <v>2</v>
      </c>
      <c r="K84" s="0" t="s">
        <v>5460</v>
      </c>
      <c r="L84" s="0" t="n">
        <v>30</v>
      </c>
      <c r="M84" s="0" t="n">
        <v>100</v>
      </c>
      <c r="N84" s="7" t="s">
        <v>5430</v>
      </c>
      <c r="O84" s="0" t="s">
        <v>5487</v>
      </c>
      <c r="P84" s="0" t="s">
        <v>5535</v>
      </c>
      <c r="Q84" s="0" t="s">
        <v>5489</v>
      </c>
      <c r="R84" s="0" t="s">
        <v>5434</v>
      </c>
      <c r="S84" s="0" t="s">
        <v>5423</v>
      </c>
      <c r="T84" s="0" t="s">
        <v>5689</v>
      </c>
      <c r="U84" s="0" t="s">
        <v>5690</v>
      </c>
      <c r="V84" s="0" t="s">
        <v>5426</v>
      </c>
      <c r="Y84" s="0" t="e">
        <v>#NAME?</v>
      </c>
      <c r="Z84" s="0" t="e">
        <f aca="false">COUNTIF(G:G,Y84)</f>
        <v>#NAME?</v>
      </c>
    </row>
    <row r="85" customFormat="false" ht="13.5" hidden="false" customHeight="false" outlineLevel="0" collapsed="false">
      <c r="A85" s="0" t="s">
        <v>222</v>
      </c>
      <c r="B85" s="0" t="s">
        <v>5699</v>
      </c>
      <c r="C85" s="0" t="n">
        <v>2020</v>
      </c>
      <c r="D85" s="0" t="s">
        <v>5636</v>
      </c>
      <c r="E85" s="0" t="s">
        <v>19</v>
      </c>
      <c r="F85" s="0" t="s">
        <v>31</v>
      </c>
      <c r="G85" s="0" t="s">
        <v>1043</v>
      </c>
      <c r="H85" s="0" t="s">
        <v>5406</v>
      </c>
      <c r="I85" s="0" t="s">
        <v>5407</v>
      </c>
      <c r="J85" s="0" t="n">
        <v>5</v>
      </c>
      <c r="K85" s="0" t="s">
        <v>5460</v>
      </c>
      <c r="L85" s="0" t="n">
        <v>300</v>
      </c>
      <c r="M85" s="0" t="n">
        <v>300</v>
      </c>
      <c r="N85" s="7" t="s">
        <v>5430</v>
      </c>
      <c r="O85" s="0" t="s">
        <v>2224</v>
      </c>
      <c r="P85" s="0" t="s">
        <v>5467</v>
      </c>
      <c r="Q85" s="0" t="s">
        <v>5433</v>
      </c>
      <c r="R85" s="0" t="s">
        <v>5434</v>
      </c>
      <c r="S85" s="0" t="s">
        <v>5472</v>
      </c>
      <c r="T85" s="0" t="s">
        <v>5410</v>
      </c>
      <c r="U85" s="0" t="s">
        <v>5469</v>
      </c>
      <c r="V85" s="0" t="s">
        <v>5415</v>
      </c>
      <c r="Y85" s="0" t="e">
        <v>#NAME?</v>
      </c>
      <c r="Z85" s="0" t="e">
        <f aca="false">COUNTIF(G:G,Y85)</f>
        <v>#NAME?</v>
      </c>
    </row>
    <row r="86" customFormat="false" ht="13.5" hidden="false" customHeight="false" outlineLevel="0" collapsed="false">
      <c r="A86" s="0" t="s">
        <v>224</v>
      </c>
      <c r="B86" s="0" t="s">
        <v>5700</v>
      </c>
      <c r="C86" s="0" t="n">
        <v>1993</v>
      </c>
      <c r="D86" s="0" t="s">
        <v>5515</v>
      </c>
      <c r="E86" s="0" t="s">
        <v>19</v>
      </c>
      <c r="F86" s="0" t="s">
        <v>31</v>
      </c>
      <c r="G86" s="0" t="s">
        <v>226</v>
      </c>
      <c r="H86" s="0" t="s">
        <v>5406</v>
      </c>
      <c r="I86" s="0" t="s">
        <v>5407</v>
      </c>
      <c r="J86" s="0" t="n">
        <v>3</v>
      </c>
      <c r="K86" s="0" t="s">
        <v>5701</v>
      </c>
      <c r="L86" s="0" t="n">
        <v>50</v>
      </c>
      <c r="M86" s="0" t="n">
        <v>600</v>
      </c>
      <c r="N86" s="7" t="s">
        <v>5430</v>
      </c>
      <c r="O86" s="0" t="s">
        <v>5461</v>
      </c>
      <c r="P86" s="0" t="s">
        <v>5702</v>
      </c>
      <c r="Q86" s="0" t="s">
        <v>5433</v>
      </c>
      <c r="R86" s="0" t="s">
        <v>5457</v>
      </c>
      <c r="S86" s="0" t="s">
        <v>5472</v>
      </c>
      <c r="T86" s="0" t="s">
        <v>5413</v>
      </c>
      <c r="U86" s="0" t="s">
        <v>5703</v>
      </c>
      <c r="V86" s="0" t="s">
        <v>5464</v>
      </c>
      <c r="W86" s="0" t="s">
        <v>5704</v>
      </c>
      <c r="Y86" s="0" t="e">
        <v>#NAME?</v>
      </c>
      <c r="Z86" s="0" t="e">
        <f aca="false">COUNTIF(G:G,Y86)</f>
        <v>#NAME?</v>
      </c>
    </row>
    <row r="87" customFormat="false" ht="13.5" hidden="false" customHeight="false" outlineLevel="0" collapsed="false">
      <c r="A87" s="0" t="s">
        <v>227</v>
      </c>
      <c r="B87" s="0" t="s">
        <v>5705</v>
      </c>
      <c r="C87" s="0" t="n">
        <v>2016</v>
      </c>
      <c r="D87" s="0" t="s">
        <v>5459</v>
      </c>
      <c r="E87" s="0" t="s">
        <v>24</v>
      </c>
      <c r="F87" s="0" t="s">
        <v>31</v>
      </c>
      <c r="G87" s="0" t="s">
        <v>5706</v>
      </c>
      <c r="H87" s="0" t="s">
        <v>5418</v>
      </c>
      <c r="I87" s="0" t="s">
        <v>5407</v>
      </c>
      <c r="J87" s="0" t="n">
        <v>2</v>
      </c>
      <c r="K87" s="0" t="s">
        <v>5477</v>
      </c>
      <c r="L87" s="0" t="n">
        <v>60</v>
      </c>
      <c r="M87" s="0" t="n">
        <v>820</v>
      </c>
      <c r="N87" s="7" t="s">
        <v>5707</v>
      </c>
      <c r="O87" s="0" t="s">
        <v>5410</v>
      </c>
      <c r="P87" s="0" t="s">
        <v>5543</v>
      </c>
      <c r="Q87" s="0" t="s">
        <v>5410</v>
      </c>
      <c r="R87" s="0" t="s">
        <v>5443</v>
      </c>
      <c r="S87" s="0" t="s">
        <v>5423</v>
      </c>
      <c r="T87" s="0" t="s">
        <v>5410</v>
      </c>
      <c r="U87" s="0" t="s">
        <v>5469</v>
      </c>
      <c r="V87" s="0" t="s">
        <v>5426</v>
      </c>
      <c r="Y87" s="0" t="e">
        <v>#NAME?</v>
      </c>
      <c r="Z87" s="0" t="e">
        <f aca="false">COUNTIF(G:G,Y87)</f>
        <v>#NAME?</v>
      </c>
    </row>
    <row r="88" customFormat="false" ht="13.5" hidden="false" customHeight="false" outlineLevel="0" collapsed="false">
      <c r="A88" s="0" t="s">
        <v>227</v>
      </c>
      <c r="B88" s="0" t="s">
        <v>5705</v>
      </c>
      <c r="C88" s="0" t="n">
        <v>2016</v>
      </c>
      <c r="D88" s="0" t="s">
        <v>5459</v>
      </c>
      <c r="E88" s="0" t="s">
        <v>24</v>
      </c>
      <c r="F88" s="0" t="s">
        <v>31</v>
      </c>
      <c r="G88" s="0" t="s">
        <v>98</v>
      </c>
      <c r="H88" s="0" t="s">
        <v>5406</v>
      </c>
      <c r="I88" s="0" t="s">
        <v>5407</v>
      </c>
      <c r="J88" s="0" t="n">
        <v>2</v>
      </c>
      <c r="K88" s="0" t="s">
        <v>5477</v>
      </c>
      <c r="L88" s="0" t="n">
        <v>60</v>
      </c>
      <c r="M88" s="0" t="n">
        <v>820</v>
      </c>
      <c r="N88" s="7" t="s">
        <v>5707</v>
      </c>
      <c r="O88" s="0" t="s">
        <v>5410</v>
      </c>
      <c r="P88" s="0" t="s">
        <v>5543</v>
      </c>
      <c r="Q88" s="0" t="s">
        <v>5410</v>
      </c>
      <c r="R88" s="0" t="s">
        <v>5443</v>
      </c>
      <c r="S88" s="0" t="s">
        <v>5423</v>
      </c>
      <c r="T88" s="0" t="s">
        <v>5410</v>
      </c>
      <c r="U88" s="0" t="s">
        <v>5469</v>
      </c>
      <c r="V88" s="0" t="s">
        <v>5426</v>
      </c>
      <c r="Y88" s="0" t="e">
        <v>#NAME?</v>
      </c>
      <c r="Z88" s="0" t="e">
        <f aca="false">COUNTIF(G:G,Y88)</f>
        <v>#NAME?</v>
      </c>
    </row>
    <row r="89" customFormat="false" ht="13.5" hidden="false" customHeight="false" outlineLevel="0" collapsed="false">
      <c r="A89" s="0" t="s">
        <v>230</v>
      </c>
      <c r="B89" s="0" t="s">
        <v>5708</v>
      </c>
      <c r="C89" s="0" t="n">
        <v>2005</v>
      </c>
      <c r="D89" s="0" t="s">
        <v>5479</v>
      </c>
      <c r="E89" s="0" t="s">
        <v>19</v>
      </c>
      <c r="F89" s="0" t="s">
        <v>31</v>
      </c>
      <c r="G89" s="0" t="s">
        <v>12</v>
      </c>
      <c r="H89" s="0" t="s">
        <v>5406</v>
      </c>
      <c r="I89" s="0" t="s">
        <v>5709</v>
      </c>
      <c r="J89" s="0" t="n">
        <v>56</v>
      </c>
      <c r="K89" s="0" t="s">
        <v>5710</v>
      </c>
      <c r="L89" s="0" t="n">
        <v>4</v>
      </c>
      <c r="M89" s="0" t="n">
        <v>400</v>
      </c>
      <c r="N89" s="7" t="s">
        <v>5430</v>
      </c>
      <c r="O89" s="0" t="s">
        <v>5487</v>
      </c>
      <c r="P89" s="0" t="s">
        <v>5462</v>
      </c>
      <c r="Q89" s="0" t="s">
        <v>5489</v>
      </c>
      <c r="R89" s="0" t="s">
        <v>5711</v>
      </c>
      <c r="S89" s="0" t="s">
        <v>5552</v>
      </c>
      <c r="T89" s="0" t="s">
        <v>5436</v>
      </c>
      <c r="U89" s="0" t="s">
        <v>5712</v>
      </c>
      <c r="V89" s="0" t="s">
        <v>5415</v>
      </c>
      <c r="Y89" s="0" t="e">
        <v>#NAME?</v>
      </c>
      <c r="Z89" s="0" t="e">
        <f aca="false">COUNTIF(G:G,Y89)</f>
        <v>#NAME?</v>
      </c>
    </row>
    <row r="90" customFormat="false" ht="13.5" hidden="false" customHeight="false" outlineLevel="0" collapsed="false">
      <c r="A90" s="0" t="s">
        <v>232</v>
      </c>
      <c r="B90" s="0" t="s">
        <v>5670</v>
      </c>
      <c r="C90" s="0" t="n">
        <v>2015</v>
      </c>
      <c r="D90" s="0" t="s">
        <v>5479</v>
      </c>
      <c r="E90" s="0" t="s">
        <v>19</v>
      </c>
      <c r="F90" s="0" t="s">
        <v>31</v>
      </c>
      <c r="G90" s="0" t="s">
        <v>5671</v>
      </c>
      <c r="H90" s="0" t="s">
        <v>5418</v>
      </c>
      <c r="I90" s="0" t="s">
        <v>5407</v>
      </c>
      <c r="J90" s="0" t="n">
        <v>4</v>
      </c>
      <c r="K90" s="0" t="s">
        <v>5569</v>
      </c>
      <c r="L90" s="0" t="n">
        <v>10</v>
      </c>
      <c r="M90" s="0" t="n">
        <v>120</v>
      </c>
      <c r="N90" s="7" t="s">
        <v>5430</v>
      </c>
      <c r="O90" s="0" t="s">
        <v>5487</v>
      </c>
      <c r="P90" s="0" t="s">
        <v>5462</v>
      </c>
      <c r="Q90" s="0" t="s">
        <v>5489</v>
      </c>
      <c r="R90" s="0" t="s">
        <v>5713</v>
      </c>
      <c r="S90" s="0" t="s">
        <v>5684</v>
      </c>
      <c r="T90" s="0" t="s">
        <v>5413</v>
      </c>
      <c r="U90" s="0" t="s">
        <v>5714</v>
      </c>
      <c r="V90" s="0" t="s">
        <v>5426</v>
      </c>
      <c r="Y90" s="0" t="e">
        <v>#NAME?</v>
      </c>
      <c r="Z90" s="0" t="e">
        <f aca="false">COUNTIF(G:G,Y90)</f>
        <v>#NAME?</v>
      </c>
    </row>
    <row r="91" customFormat="false" ht="13.5" hidden="false" customHeight="false" outlineLevel="0" collapsed="false">
      <c r="A91" s="0" t="s">
        <v>235</v>
      </c>
      <c r="B91" s="0" t="s">
        <v>5715</v>
      </c>
      <c r="C91" s="0" t="n">
        <v>2006</v>
      </c>
      <c r="D91" s="0" t="s">
        <v>5479</v>
      </c>
      <c r="E91" s="0" t="s">
        <v>19</v>
      </c>
      <c r="F91" s="0" t="s">
        <v>31</v>
      </c>
      <c r="G91" s="0" t="s">
        <v>47</v>
      </c>
      <c r="H91" s="0" t="s">
        <v>5406</v>
      </c>
      <c r="I91" s="0" t="s">
        <v>5407</v>
      </c>
      <c r="J91" s="0" t="n">
        <v>2</v>
      </c>
      <c r="K91" s="0" t="s">
        <v>5716</v>
      </c>
      <c r="L91" s="0" t="n">
        <v>50</v>
      </c>
      <c r="M91" s="0" t="n">
        <v>150</v>
      </c>
      <c r="N91" s="7" t="s">
        <v>5430</v>
      </c>
      <c r="O91" s="0" t="s">
        <v>5487</v>
      </c>
      <c r="P91" s="0" t="s">
        <v>5462</v>
      </c>
      <c r="Q91" s="0" t="s">
        <v>5489</v>
      </c>
      <c r="R91" s="0" t="s">
        <v>5717</v>
      </c>
      <c r="S91" s="0" t="s">
        <v>5684</v>
      </c>
      <c r="T91" s="0" t="s">
        <v>5413</v>
      </c>
      <c r="U91" s="0" t="s">
        <v>5718</v>
      </c>
      <c r="V91" s="0" t="s">
        <v>5426</v>
      </c>
      <c r="Y91" s="0" t="e">
        <v>#NAME?</v>
      </c>
      <c r="Z91" s="0" t="e">
        <f aca="false">COUNTIF(G:G,Y91)</f>
        <v>#NAME?</v>
      </c>
    </row>
    <row r="92" customFormat="false" ht="13.5" hidden="false" customHeight="false" outlineLevel="0" collapsed="false">
      <c r="A92" s="0" t="s">
        <v>237</v>
      </c>
      <c r="B92" s="0" t="s">
        <v>5719</v>
      </c>
      <c r="C92" s="0" t="n">
        <v>2012</v>
      </c>
      <c r="D92" s="0" t="s">
        <v>5459</v>
      </c>
      <c r="E92" s="0" t="s">
        <v>19</v>
      </c>
      <c r="F92" s="0" t="s">
        <v>31</v>
      </c>
      <c r="G92" s="0" t="s">
        <v>150</v>
      </c>
      <c r="H92" s="0" t="s">
        <v>5406</v>
      </c>
      <c r="I92" s="0" t="s">
        <v>5407</v>
      </c>
      <c r="J92" s="0" t="n">
        <v>2</v>
      </c>
      <c r="K92" s="0" t="s">
        <v>5477</v>
      </c>
      <c r="L92" s="0" t="n">
        <v>5</v>
      </c>
      <c r="M92" s="0" t="n">
        <v>150</v>
      </c>
      <c r="N92" s="7" t="s">
        <v>5430</v>
      </c>
      <c r="O92" s="0" t="s">
        <v>2224</v>
      </c>
      <c r="P92" s="0" t="s">
        <v>2224</v>
      </c>
      <c r="Q92" s="0" t="s">
        <v>5433</v>
      </c>
      <c r="R92" s="0" t="s">
        <v>5720</v>
      </c>
      <c r="S92" s="0" t="s">
        <v>5721</v>
      </c>
      <c r="T92" s="0" t="s">
        <v>5436</v>
      </c>
      <c r="U92" s="0" t="s">
        <v>5722</v>
      </c>
      <c r="V92" s="0" t="s">
        <v>5415</v>
      </c>
      <c r="Y92" s="0" t="e">
        <v>#NAME?</v>
      </c>
      <c r="Z92" s="0" t="e">
        <f aca="false">COUNTIF(G:G,Y92)</f>
        <v>#NAME?</v>
      </c>
    </row>
    <row r="93" customFormat="false" ht="13.5" hidden="false" customHeight="false" outlineLevel="0" collapsed="false">
      <c r="A93" s="0" t="s">
        <v>239</v>
      </c>
      <c r="B93" s="0" t="s">
        <v>5723</v>
      </c>
      <c r="C93" s="0" t="n">
        <v>1988</v>
      </c>
      <c r="D93" s="0" t="s">
        <v>5656</v>
      </c>
      <c r="E93" s="0" t="s">
        <v>19</v>
      </c>
      <c r="F93" s="0" t="s">
        <v>31</v>
      </c>
      <c r="G93" s="0" t="s">
        <v>5724</v>
      </c>
      <c r="H93" s="0" t="s">
        <v>5418</v>
      </c>
      <c r="I93" s="0" t="s">
        <v>5725</v>
      </c>
      <c r="J93" s="0" t="n">
        <v>2</v>
      </c>
      <c r="K93" s="0" t="s">
        <v>5519</v>
      </c>
      <c r="L93" s="0" t="n">
        <v>10</v>
      </c>
      <c r="M93" s="0" t="n">
        <v>500</v>
      </c>
      <c r="N93" s="7" t="s">
        <v>5430</v>
      </c>
      <c r="O93" s="0" t="s">
        <v>5487</v>
      </c>
      <c r="P93" s="0" t="s">
        <v>5535</v>
      </c>
      <c r="Q93" s="0" t="s">
        <v>5489</v>
      </c>
      <c r="R93" s="0" t="s">
        <v>5726</v>
      </c>
      <c r="S93" s="0" t="s">
        <v>5423</v>
      </c>
      <c r="T93" s="0" t="s">
        <v>5424</v>
      </c>
      <c r="U93" s="0" t="s">
        <v>5727</v>
      </c>
      <c r="V93" s="0" t="s">
        <v>5660</v>
      </c>
      <c r="Y93" s="0" t="e">
        <v>#NAME?</v>
      </c>
      <c r="Z93" s="0" t="e">
        <f aca="false">COUNTIF(G:G,Y93)</f>
        <v>#NAME?</v>
      </c>
    </row>
    <row r="94" customFormat="false" ht="13.5" hidden="false" customHeight="false" outlineLevel="0" collapsed="false">
      <c r="A94" s="0" t="s">
        <v>242</v>
      </c>
      <c r="B94" s="0" t="s">
        <v>5728</v>
      </c>
      <c r="C94" s="0" t="n">
        <v>1991</v>
      </c>
      <c r="D94" s="0" t="s">
        <v>5729</v>
      </c>
      <c r="E94" s="0" t="s">
        <v>19</v>
      </c>
      <c r="F94" s="0" t="s">
        <v>31</v>
      </c>
      <c r="G94" s="0" t="s">
        <v>56</v>
      </c>
      <c r="H94" s="0" t="s">
        <v>5418</v>
      </c>
      <c r="I94" s="0" t="s">
        <v>5407</v>
      </c>
      <c r="J94" s="0" t="n">
        <v>3</v>
      </c>
      <c r="K94" s="0" t="s">
        <v>5519</v>
      </c>
      <c r="L94" s="0" t="n">
        <v>50</v>
      </c>
      <c r="M94" s="0" t="n">
        <v>500</v>
      </c>
      <c r="N94" s="7" t="s">
        <v>5430</v>
      </c>
      <c r="O94" s="0" t="s">
        <v>5487</v>
      </c>
      <c r="P94" s="0" t="s">
        <v>5462</v>
      </c>
      <c r="Q94" s="0" t="s">
        <v>5489</v>
      </c>
      <c r="R94" s="0" t="s">
        <v>5726</v>
      </c>
      <c r="S94" s="0" t="s">
        <v>5423</v>
      </c>
      <c r="T94" s="0" t="s">
        <v>5424</v>
      </c>
      <c r="U94" s="0" t="s">
        <v>5730</v>
      </c>
      <c r="V94" s="0" t="s">
        <v>5660</v>
      </c>
      <c r="Y94" s="0" t="e">
        <v>#NAME?</v>
      </c>
      <c r="Z94" s="0" t="e">
        <f aca="false">COUNTIF(G:G,Y94)</f>
        <v>#NAME?</v>
      </c>
    </row>
    <row r="95" customFormat="false" ht="13.5" hidden="false" customHeight="false" outlineLevel="0" collapsed="false">
      <c r="A95" s="0" t="s">
        <v>242</v>
      </c>
      <c r="B95" s="0" t="s">
        <v>5728</v>
      </c>
      <c r="C95" s="0" t="n">
        <v>1991</v>
      </c>
      <c r="D95" s="0" t="s">
        <v>5729</v>
      </c>
      <c r="E95" s="0" t="s">
        <v>19</v>
      </c>
      <c r="F95" s="0" t="s">
        <v>31</v>
      </c>
      <c r="G95" s="0" t="s">
        <v>766</v>
      </c>
      <c r="H95" s="0" t="s">
        <v>5418</v>
      </c>
      <c r="I95" s="0" t="s">
        <v>5407</v>
      </c>
      <c r="J95" s="0" t="n">
        <v>3</v>
      </c>
      <c r="K95" s="0" t="s">
        <v>5519</v>
      </c>
      <c r="L95" s="0" t="n">
        <v>50</v>
      </c>
      <c r="M95" s="0" t="n">
        <v>500</v>
      </c>
      <c r="N95" s="7" t="s">
        <v>5430</v>
      </c>
      <c r="O95" s="0" t="s">
        <v>5487</v>
      </c>
      <c r="P95" s="0" t="s">
        <v>5462</v>
      </c>
      <c r="Q95" s="0" t="s">
        <v>5489</v>
      </c>
      <c r="R95" s="0" t="s">
        <v>5726</v>
      </c>
      <c r="S95" s="0" t="s">
        <v>5423</v>
      </c>
      <c r="T95" s="0" t="s">
        <v>5424</v>
      </c>
      <c r="U95" s="0" t="s">
        <v>5731</v>
      </c>
      <c r="V95" s="0" t="s">
        <v>5660</v>
      </c>
      <c r="Y95" s="0" t="e">
        <v>#NAME?</v>
      </c>
      <c r="Z95" s="0" t="e">
        <f aca="false">COUNTIF(G:G,Y95)</f>
        <v>#NAME?</v>
      </c>
    </row>
    <row r="96" customFormat="false" ht="13.5" hidden="false" customHeight="false" outlineLevel="0" collapsed="false">
      <c r="A96" s="0" t="s">
        <v>242</v>
      </c>
      <c r="B96" s="0" t="s">
        <v>5728</v>
      </c>
      <c r="C96" s="0" t="n">
        <v>1991</v>
      </c>
      <c r="D96" s="0" t="s">
        <v>5729</v>
      </c>
      <c r="E96" s="0" t="s">
        <v>19</v>
      </c>
      <c r="F96" s="0" t="s">
        <v>31</v>
      </c>
      <c r="G96" s="0" t="s">
        <v>5732</v>
      </c>
      <c r="H96" s="0" t="s">
        <v>5418</v>
      </c>
      <c r="I96" s="0" t="s">
        <v>5407</v>
      </c>
      <c r="J96" s="0" t="n">
        <v>2</v>
      </c>
      <c r="K96" s="0" t="s">
        <v>5519</v>
      </c>
      <c r="L96" s="0" t="n">
        <v>50</v>
      </c>
      <c r="M96" s="0" t="n">
        <v>500</v>
      </c>
      <c r="N96" s="7" t="s">
        <v>5430</v>
      </c>
      <c r="O96" s="0" t="s">
        <v>5487</v>
      </c>
      <c r="P96" s="0" t="s">
        <v>5462</v>
      </c>
      <c r="Q96" s="0" t="s">
        <v>5489</v>
      </c>
      <c r="R96" s="0" t="s">
        <v>5726</v>
      </c>
      <c r="S96" s="0" t="s">
        <v>5423</v>
      </c>
      <c r="T96" s="0" t="s">
        <v>5424</v>
      </c>
      <c r="U96" s="0" t="s">
        <v>5730</v>
      </c>
      <c r="V96" s="0" t="s">
        <v>5660</v>
      </c>
      <c r="Y96" s="0" t="e">
        <v>#NAME?</v>
      </c>
      <c r="Z96" s="0" t="e">
        <f aca="false">COUNTIF(G:G,Y96)</f>
        <v>#NAME?</v>
      </c>
    </row>
    <row r="97" customFormat="false" ht="13.5" hidden="false" customHeight="false" outlineLevel="0" collapsed="false">
      <c r="A97" s="0" t="s">
        <v>245</v>
      </c>
      <c r="B97" s="0" t="s">
        <v>5733</v>
      </c>
      <c r="C97" s="0" t="n">
        <v>2021</v>
      </c>
      <c r="D97" s="0" t="s">
        <v>5551</v>
      </c>
      <c r="E97" s="0" t="s">
        <v>19</v>
      </c>
      <c r="F97" s="0" t="s">
        <v>31</v>
      </c>
      <c r="G97" s="0" t="s">
        <v>32</v>
      </c>
      <c r="H97" s="0" t="s">
        <v>5418</v>
      </c>
      <c r="I97" s="0" t="s">
        <v>5407</v>
      </c>
      <c r="J97" s="0" t="n">
        <v>2</v>
      </c>
      <c r="K97" s="0" t="s">
        <v>5734</v>
      </c>
      <c r="L97" s="0" t="n">
        <v>10</v>
      </c>
      <c r="M97" s="0" t="n">
        <v>30</v>
      </c>
      <c r="N97" s="7" t="s">
        <v>5430</v>
      </c>
      <c r="O97" s="0" t="s">
        <v>2224</v>
      </c>
      <c r="P97" s="0" t="s">
        <v>5735</v>
      </c>
      <c r="Q97" s="0" t="s">
        <v>5433</v>
      </c>
      <c r="R97" s="0" t="s">
        <v>5713</v>
      </c>
      <c r="S97" s="0" t="s">
        <v>5736</v>
      </c>
      <c r="T97" s="0" t="s">
        <v>5413</v>
      </c>
      <c r="U97" s="0" t="s">
        <v>5737</v>
      </c>
      <c r="V97" s="0" t="s">
        <v>5578</v>
      </c>
      <c r="Y97" s="0" t="e">
        <v>#NAME?</v>
      </c>
      <c r="Z97" s="0" t="e">
        <f aca="false">COUNTIF(G:G,Y97)</f>
        <v>#NAME?</v>
      </c>
    </row>
    <row r="98" customFormat="false" ht="13.5" hidden="false" customHeight="false" outlineLevel="0" collapsed="false">
      <c r="A98" s="0" t="s">
        <v>247</v>
      </c>
      <c r="B98" s="0" t="s">
        <v>5738</v>
      </c>
      <c r="C98" s="0" t="n">
        <v>2019</v>
      </c>
      <c r="D98" s="0" t="s">
        <v>5405</v>
      </c>
      <c r="E98" s="0" t="s">
        <v>19</v>
      </c>
      <c r="F98" s="0" t="s">
        <v>31</v>
      </c>
      <c r="G98" s="0" t="s">
        <v>249</v>
      </c>
      <c r="H98" s="0" t="s">
        <v>5406</v>
      </c>
      <c r="I98" s="0" t="s">
        <v>5407</v>
      </c>
      <c r="J98" s="0" t="n">
        <v>2</v>
      </c>
      <c r="K98" s="0" t="s">
        <v>5460</v>
      </c>
      <c r="L98" s="0" t="n">
        <v>25</v>
      </c>
      <c r="M98" s="0" t="n">
        <v>75</v>
      </c>
      <c r="N98" s="7" t="s">
        <v>5430</v>
      </c>
      <c r="O98" s="0" t="s">
        <v>5461</v>
      </c>
      <c r="P98" s="0" t="s">
        <v>5739</v>
      </c>
      <c r="Q98" s="0" t="s">
        <v>5433</v>
      </c>
      <c r="R98" s="0" t="s">
        <v>5740</v>
      </c>
      <c r="S98" s="0" t="s">
        <v>5741</v>
      </c>
      <c r="T98" s="0" t="s">
        <v>5436</v>
      </c>
      <c r="U98" s="0" t="s">
        <v>5742</v>
      </c>
      <c r="V98" s="0" t="s">
        <v>5464</v>
      </c>
      <c r="Y98" s="0" t="e">
        <v>#NAME?</v>
      </c>
      <c r="Z98" s="0" t="e">
        <f aca="false">COUNTIF(G:G,Y98)</f>
        <v>#NAME?</v>
      </c>
    </row>
    <row r="99" customFormat="false" ht="13.5" hidden="false" customHeight="false" outlineLevel="0" collapsed="false">
      <c r="A99" s="0" t="s">
        <v>250</v>
      </c>
      <c r="B99" s="0" t="s">
        <v>5743</v>
      </c>
      <c r="C99" s="0" t="n">
        <v>2020</v>
      </c>
      <c r="D99" s="0" t="s">
        <v>5428</v>
      </c>
      <c r="E99" s="0" t="s">
        <v>19</v>
      </c>
      <c r="F99" s="0" t="s">
        <v>31</v>
      </c>
      <c r="G99" s="0" t="s">
        <v>2890</v>
      </c>
      <c r="H99" s="0" t="s">
        <v>5406</v>
      </c>
      <c r="I99" s="0" t="s">
        <v>5407</v>
      </c>
      <c r="J99" s="8" t="n">
        <v>3</v>
      </c>
      <c r="K99" s="0" t="s">
        <v>5601</v>
      </c>
      <c r="L99" s="0" t="n">
        <v>15</v>
      </c>
      <c r="M99" s="0" t="n">
        <v>120</v>
      </c>
      <c r="N99" s="7" t="s">
        <v>5430</v>
      </c>
      <c r="O99" s="0" t="s">
        <v>5461</v>
      </c>
      <c r="P99" s="0" t="s">
        <v>5563</v>
      </c>
      <c r="Q99" s="0" t="s">
        <v>5433</v>
      </c>
      <c r="R99" s="0" t="s">
        <v>5678</v>
      </c>
      <c r="S99" s="0" t="s">
        <v>5644</v>
      </c>
      <c r="T99" s="0" t="s">
        <v>5436</v>
      </c>
      <c r="U99" s="0" t="s">
        <v>5744</v>
      </c>
      <c r="V99" s="0" t="s">
        <v>5426</v>
      </c>
      <c r="Y99" s="0" t="e">
        <v>#NAME?</v>
      </c>
      <c r="Z99" s="0" t="e">
        <f aca="false">COUNTIF(G:G,Y99)</f>
        <v>#NAME?</v>
      </c>
    </row>
    <row r="100" customFormat="false" ht="13.5" hidden="false" customHeight="false" outlineLevel="0" collapsed="false">
      <c r="A100" s="0" t="s">
        <v>253</v>
      </c>
      <c r="B100" s="0" t="s">
        <v>5745</v>
      </c>
      <c r="C100" s="0" t="n">
        <v>2019</v>
      </c>
      <c r="D100" s="0" t="s">
        <v>5521</v>
      </c>
      <c r="E100" s="0" t="s">
        <v>19</v>
      </c>
      <c r="F100" s="0" t="s">
        <v>31</v>
      </c>
      <c r="G100" s="0" t="s">
        <v>150</v>
      </c>
      <c r="H100" s="0" t="s">
        <v>5406</v>
      </c>
      <c r="I100" s="0" t="s">
        <v>5407</v>
      </c>
      <c r="J100" s="0" t="n">
        <v>2</v>
      </c>
      <c r="K100" s="0" t="s">
        <v>5716</v>
      </c>
      <c r="L100" s="0" t="n">
        <v>130</v>
      </c>
      <c r="M100" s="0" t="n">
        <v>130</v>
      </c>
      <c r="N100" s="7" t="s">
        <v>5430</v>
      </c>
      <c r="O100" s="0" t="s">
        <v>5461</v>
      </c>
      <c r="P100" s="0" t="s">
        <v>5516</v>
      </c>
      <c r="Q100" s="0" t="s">
        <v>5433</v>
      </c>
      <c r="R100" s="0" t="s">
        <v>5443</v>
      </c>
      <c r="S100" s="0" t="s">
        <v>5721</v>
      </c>
      <c r="T100" s="0" t="s">
        <v>5436</v>
      </c>
      <c r="U100" s="0" t="s">
        <v>5746</v>
      </c>
      <c r="V100" s="0" t="s">
        <v>5415</v>
      </c>
      <c r="Y100" s="0" t="e">
        <v>#NAME?</v>
      </c>
      <c r="Z100" s="0" t="e">
        <f aca="false">COUNTIF(G:G,Y100)</f>
        <v>#NAME?</v>
      </c>
    </row>
    <row r="101" customFormat="false" ht="13.5" hidden="false" customHeight="false" outlineLevel="0" collapsed="false">
      <c r="A101" s="0" t="s">
        <v>255</v>
      </c>
      <c r="B101" s="0" t="s">
        <v>5524</v>
      </c>
      <c r="C101" s="0" t="n">
        <v>2012</v>
      </c>
      <c r="D101" s="0" t="s">
        <v>5466</v>
      </c>
      <c r="E101" s="0" t="s">
        <v>19</v>
      </c>
      <c r="F101" s="0" t="s">
        <v>31</v>
      </c>
      <c r="G101" s="0" t="s">
        <v>47</v>
      </c>
      <c r="H101" s="0" t="s">
        <v>5406</v>
      </c>
      <c r="I101" s="0" t="s">
        <v>5407</v>
      </c>
      <c r="J101" s="0" t="n">
        <v>2</v>
      </c>
      <c r="K101" s="0" t="s">
        <v>5429</v>
      </c>
      <c r="L101" s="0" t="n">
        <v>83</v>
      </c>
      <c r="M101" s="0" t="n">
        <v>316</v>
      </c>
      <c r="N101" s="7" t="s">
        <v>5430</v>
      </c>
      <c r="O101" s="0" t="s">
        <v>5431</v>
      </c>
      <c r="P101" s="0" t="s">
        <v>5542</v>
      </c>
      <c r="Q101" s="0" t="s">
        <v>5433</v>
      </c>
      <c r="R101" s="0" t="s">
        <v>5434</v>
      </c>
      <c r="S101" s="0" t="s">
        <v>5684</v>
      </c>
      <c r="T101" s="0" t="s">
        <v>5413</v>
      </c>
      <c r="U101" s="0" t="s">
        <v>5747</v>
      </c>
      <c r="V101" s="0" t="s">
        <v>5464</v>
      </c>
      <c r="Y101" s="0" t="e">
        <v>#NAME?</v>
      </c>
      <c r="Z101" s="0" t="e">
        <f aca="false">COUNTIF(G:G,Y101)</f>
        <v>#NAME?</v>
      </c>
    </row>
    <row r="102" customFormat="false" ht="13.5" hidden="false" customHeight="false" outlineLevel="0" collapsed="false">
      <c r="A102" s="0" t="s">
        <v>257</v>
      </c>
      <c r="B102" s="0" t="s">
        <v>5748</v>
      </c>
      <c r="C102" s="0" t="n">
        <v>2000</v>
      </c>
      <c r="D102" s="0" t="s">
        <v>5479</v>
      </c>
      <c r="E102" s="0" t="s">
        <v>19</v>
      </c>
      <c r="F102" s="0" t="s">
        <v>31</v>
      </c>
      <c r="G102" s="0" t="s">
        <v>47</v>
      </c>
      <c r="H102" s="0" t="s">
        <v>5406</v>
      </c>
      <c r="I102" s="0" t="s">
        <v>5407</v>
      </c>
      <c r="J102" s="0" t="n">
        <v>2</v>
      </c>
      <c r="K102" s="0" t="s">
        <v>5695</v>
      </c>
      <c r="L102" s="0" t="n">
        <v>25</v>
      </c>
      <c r="M102" s="0" t="n">
        <v>300</v>
      </c>
      <c r="N102" s="7" t="s">
        <v>5430</v>
      </c>
      <c r="O102" s="0" t="s">
        <v>2224</v>
      </c>
      <c r="P102" s="0" t="s">
        <v>5735</v>
      </c>
      <c r="Q102" s="0" t="s">
        <v>5433</v>
      </c>
      <c r="R102" s="0" t="s">
        <v>5749</v>
      </c>
      <c r="S102" s="0" t="s">
        <v>5684</v>
      </c>
      <c r="T102" s="0" t="s">
        <v>5413</v>
      </c>
      <c r="U102" s="0" t="s">
        <v>5750</v>
      </c>
      <c r="V102" s="0" t="s">
        <v>5464</v>
      </c>
      <c r="Y102" s="0" t="e">
        <v>#NAME?</v>
      </c>
      <c r="Z102" s="0" t="e">
        <f aca="false">COUNTIF(G:G,Y102)</f>
        <v>#NAME?</v>
      </c>
    </row>
    <row r="103" customFormat="false" ht="13.5" hidden="false" customHeight="false" outlineLevel="0" collapsed="false">
      <c r="A103" s="0" t="s">
        <v>259</v>
      </c>
      <c r="B103" s="0" t="s">
        <v>5751</v>
      </c>
      <c r="C103" s="0" t="n">
        <v>2007</v>
      </c>
      <c r="D103" s="0" t="s">
        <v>5459</v>
      </c>
      <c r="E103" s="0" t="s">
        <v>19</v>
      </c>
      <c r="F103" s="0" t="s">
        <v>31</v>
      </c>
      <c r="G103" s="0" t="s">
        <v>47</v>
      </c>
      <c r="H103" s="0" t="s">
        <v>5406</v>
      </c>
      <c r="I103" s="0" t="s">
        <v>5407</v>
      </c>
      <c r="J103" s="0" t="n">
        <v>2</v>
      </c>
      <c r="K103" s="0" t="s">
        <v>5441</v>
      </c>
      <c r="L103" s="0" t="n">
        <v>20</v>
      </c>
      <c r="M103" s="0" t="n">
        <v>150</v>
      </c>
      <c r="N103" s="7" t="s">
        <v>5430</v>
      </c>
      <c r="O103" s="0" t="s">
        <v>5461</v>
      </c>
      <c r="P103" s="0" t="s">
        <v>5735</v>
      </c>
      <c r="Q103" s="0" t="s">
        <v>5433</v>
      </c>
      <c r="R103" s="0" t="s">
        <v>5752</v>
      </c>
      <c r="S103" s="0" t="s">
        <v>5472</v>
      </c>
      <c r="T103" s="0" t="s">
        <v>5413</v>
      </c>
      <c r="U103" s="0" t="s">
        <v>5753</v>
      </c>
      <c r="V103" s="0" t="s">
        <v>5464</v>
      </c>
      <c r="W103" s="0" t="s">
        <v>5754</v>
      </c>
      <c r="Y103" s="0" t="e">
        <v>#NAME?</v>
      </c>
      <c r="Z103" s="0" t="e">
        <f aca="false">COUNTIF(G:G,Y103)</f>
        <v>#NAME?</v>
      </c>
    </row>
    <row r="104" customFormat="false" ht="13.5" hidden="false" customHeight="false" outlineLevel="0" collapsed="false">
      <c r="A104" s="0" t="s">
        <v>261</v>
      </c>
      <c r="B104" s="0" t="s">
        <v>5755</v>
      </c>
      <c r="C104" s="0" t="n">
        <v>2005</v>
      </c>
      <c r="D104" s="0" t="s">
        <v>5479</v>
      </c>
      <c r="E104" s="0" t="s">
        <v>19</v>
      </c>
      <c r="F104" s="0" t="s">
        <v>31</v>
      </c>
      <c r="G104" s="0" t="s">
        <v>263</v>
      </c>
      <c r="H104" s="0" t="s">
        <v>5406</v>
      </c>
      <c r="I104" s="0" t="s">
        <v>5407</v>
      </c>
      <c r="J104" s="0" t="n">
        <v>2</v>
      </c>
      <c r="K104" s="0" t="s">
        <v>5716</v>
      </c>
      <c r="L104" s="0" t="n">
        <v>80</v>
      </c>
      <c r="M104" s="0" t="n">
        <v>150</v>
      </c>
      <c r="N104" s="7" t="s">
        <v>5430</v>
      </c>
      <c r="O104" s="0" t="s">
        <v>5487</v>
      </c>
      <c r="P104" s="0" t="s">
        <v>5462</v>
      </c>
      <c r="Q104" s="0" t="s">
        <v>5489</v>
      </c>
      <c r="R104" s="0" t="s">
        <v>5638</v>
      </c>
      <c r="S104" s="0" t="s">
        <v>5684</v>
      </c>
      <c r="T104" s="0" t="s">
        <v>5689</v>
      </c>
      <c r="U104" s="0" t="s">
        <v>5756</v>
      </c>
      <c r="V104" s="0" t="s">
        <v>5426</v>
      </c>
      <c r="Y104" s="0" t="e">
        <v>#NAME?</v>
      </c>
      <c r="Z104" s="0" t="e">
        <f aca="false">COUNTIF(G:G,Y104)</f>
        <v>#NAME?</v>
      </c>
    </row>
    <row r="105" customFormat="false" ht="13.5" hidden="false" customHeight="false" outlineLevel="0" collapsed="false">
      <c r="A105" s="0" t="s">
        <v>264</v>
      </c>
      <c r="B105" s="0" t="s">
        <v>5757</v>
      </c>
      <c r="C105" s="0" t="n">
        <v>2017</v>
      </c>
      <c r="D105" s="0" t="s">
        <v>5758</v>
      </c>
      <c r="E105" s="0" t="s">
        <v>24</v>
      </c>
      <c r="F105" s="0" t="s">
        <v>31</v>
      </c>
      <c r="G105" s="0" t="s">
        <v>5759</v>
      </c>
      <c r="H105" s="0" t="s">
        <v>5406</v>
      </c>
      <c r="I105" s="0" t="s">
        <v>5760</v>
      </c>
      <c r="J105" s="0" t="n">
        <v>4</v>
      </c>
      <c r="K105" s="0" t="s">
        <v>5441</v>
      </c>
      <c r="L105" s="0" t="n">
        <v>1</v>
      </c>
      <c r="M105" s="0" t="n">
        <v>30</v>
      </c>
      <c r="N105" s="7" t="s">
        <v>5409</v>
      </c>
      <c r="O105" s="0" t="s">
        <v>5410</v>
      </c>
      <c r="P105" s="0" t="s">
        <v>5761</v>
      </c>
      <c r="Q105" s="0" t="s">
        <v>5410</v>
      </c>
      <c r="R105" s="0" t="s">
        <v>5762</v>
      </c>
      <c r="S105" s="0" t="s">
        <v>5763</v>
      </c>
      <c r="T105" s="0" t="s">
        <v>5413</v>
      </c>
      <c r="U105" s="0" t="s">
        <v>5764</v>
      </c>
      <c r="V105" s="0" t="s">
        <v>5415</v>
      </c>
      <c r="Y105" s="0" t="e">
        <v>#NAME?</v>
      </c>
      <c r="Z105" s="0" t="e">
        <f aca="false">COUNTIF(G:G,Y105)</f>
        <v>#NAME?</v>
      </c>
    </row>
    <row r="106" customFormat="false" ht="13.5" hidden="false" customHeight="false" outlineLevel="0" collapsed="false">
      <c r="A106" s="0" t="s">
        <v>264</v>
      </c>
      <c r="B106" s="0" t="s">
        <v>5757</v>
      </c>
      <c r="C106" s="0" t="n">
        <v>2017</v>
      </c>
      <c r="D106" s="0" t="s">
        <v>5758</v>
      </c>
      <c r="E106" s="0" t="s">
        <v>19</v>
      </c>
      <c r="F106" s="0" t="s">
        <v>31</v>
      </c>
      <c r="G106" s="0" t="s">
        <v>5759</v>
      </c>
      <c r="H106" s="0" t="s">
        <v>5406</v>
      </c>
      <c r="I106" s="0" t="s">
        <v>5760</v>
      </c>
      <c r="J106" s="0" t="n">
        <v>4</v>
      </c>
      <c r="K106" s="0" t="s">
        <v>5765</v>
      </c>
      <c r="L106" s="0" t="n">
        <v>60</v>
      </c>
      <c r="M106" s="0" t="n">
        <v>80</v>
      </c>
      <c r="N106" s="7" t="s">
        <v>5430</v>
      </c>
      <c r="O106" s="0" t="s">
        <v>5602</v>
      </c>
      <c r="P106" s="0" t="s">
        <v>5442</v>
      </c>
      <c r="Q106" s="0" t="s">
        <v>5489</v>
      </c>
      <c r="R106" s="0" t="s">
        <v>5762</v>
      </c>
      <c r="S106" s="0" t="s">
        <v>5763</v>
      </c>
      <c r="T106" s="0" t="s">
        <v>5413</v>
      </c>
      <c r="U106" s="0" t="s">
        <v>5764</v>
      </c>
      <c r="V106" s="0" t="s">
        <v>5415</v>
      </c>
      <c r="Y106" s="0" t="e">
        <v>#NAME?</v>
      </c>
      <c r="Z106" s="0" t="e">
        <f aca="false">COUNTIF(G:G,Y106)</f>
        <v>#NAME?</v>
      </c>
    </row>
    <row r="107" customFormat="false" ht="13.5" hidden="false" customHeight="false" outlineLevel="0" collapsed="false">
      <c r="A107" s="0" t="s">
        <v>268</v>
      </c>
      <c r="B107" s="0" t="s">
        <v>5766</v>
      </c>
      <c r="C107" s="0" t="n">
        <v>2017</v>
      </c>
      <c r="D107" s="0" t="s">
        <v>5551</v>
      </c>
      <c r="E107" s="0" t="s">
        <v>19</v>
      </c>
      <c r="F107" s="0" t="s">
        <v>31</v>
      </c>
      <c r="G107" s="0" t="s">
        <v>36</v>
      </c>
      <c r="H107" s="0" t="s">
        <v>5418</v>
      </c>
      <c r="I107" s="0" t="s">
        <v>5407</v>
      </c>
      <c r="J107" s="0" t="n">
        <v>2</v>
      </c>
      <c r="K107" s="0" t="s">
        <v>5429</v>
      </c>
      <c r="L107" s="0" t="n">
        <v>10</v>
      </c>
      <c r="M107" s="0" t="n">
        <v>40</v>
      </c>
      <c r="N107" s="7" t="s">
        <v>5430</v>
      </c>
      <c r="O107" s="0" t="s">
        <v>5431</v>
      </c>
      <c r="P107" s="0" t="s">
        <v>5563</v>
      </c>
      <c r="Q107" s="0" t="s">
        <v>5433</v>
      </c>
      <c r="R107" s="0" t="s">
        <v>5496</v>
      </c>
      <c r="S107" s="0" t="s">
        <v>5684</v>
      </c>
      <c r="T107" s="0" t="s">
        <v>5413</v>
      </c>
      <c r="U107" s="0" t="s">
        <v>5767</v>
      </c>
      <c r="V107" s="0" t="s">
        <v>5464</v>
      </c>
      <c r="Y107" s="0" t="e">
        <v>#NAME?</v>
      </c>
      <c r="Z107" s="0" t="e">
        <f aca="false">COUNTIF(G:G,Y107)</f>
        <v>#NAME?</v>
      </c>
    </row>
    <row r="108" customFormat="false" ht="13.5" hidden="false" customHeight="false" outlineLevel="0" collapsed="false">
      <c r="A108" s="0" t="s">
        <v>268</v>
      </c>
      <c r="B108" s="0" t="s">
        <v>5766</v>
      </c>
      <c r="C108" s="0" t="n">
        <v>2017</v>
      </c>
      <c r="D108" s="0" t="s">
        <v>5551</v>
      </c>
      <c r="E108" s="0" t="s">
        <v>19</v>
      </c>
      <c r="F108" s="0" t="s">
        <v>31</v>
      </c>
      <c r="G108" s="0" t="s">
        <v>766</v>
      </c>
      <c r="H108" s="0" t="s">
        <v>5418</v>
      </c>
      <c r="I108" s="0" t="s">
        <v>5407</v>
      </c>
      <c r="J108" s="0" t="n">
        <v>2</v>
      </c>
      <c r="K108" s="0" t="s">
        <v>5429</v>
      </c>
      <c r="L108" s="0" t="n">
        <v>10</v>
      </c>
      <c r="M108" s="0" t="n">
        <v>40</v>
      </c>
      <c r="N108" s="7" t="s">
        <v>5430</v>
      </c>
      <c r="O108" s="0" t="s">
        <v>5431</v>
      </c>
      <c r="P108" s="0" t="s">
        <v>5563</v>
      </c>
      <c r="Q108" s="0" t="s">
        <v>5433</v>
      </c>
      <c r="R108" s="0" t="s">
        <v>5496</v>
      </c>
      <c r="S108" s="0" t="s">
        <v>5684</v>
      </c>
      <c r="T108" s="0" t="s">
        <v>5413</v>
      </c>
      <c r="U108" s="0" t="s">
        <v>5767</v>
      </c>
      <c r="V108" s="0" t="s">
        <v>5464</v>
      </c>
      <c r="Y108" s="0" t="e">
        <v>#NAME?</v>
      </c>
      <c r="Z108" s="0" t="e">
        <f aca="false">COUNTIF(G:G,Y108)</f>
        <v>#NAME?</v>
      </c>
    </row>
    <row r="109" customFormat="false" ht="13.5" hidden="false" customHeight="false" outlineLevel="0" collapsed="false">
      <c r="A109" s="0" t="s">
        <v>271</v>
      </c>
      <c r="B109" s="0" t="s">
        <v>5768</v>
      </c>
      <c r="C109" s="0" t="n">
        <v>2008</v>
      </c>
      <c r="D109" s="0" t="s">
        <v>5515</v>
      </c>
      <c r="E109" s="0" t="s">
        <v>19</v>
      </c>
      <c r="F109" s="0" t="s">
        <v>31</v>
      </c>
      <c r="G109" s="0" t="s">
        <v>1116</v>
      </c>
      <c r="H109" s="0" t="s">
        <v>5406</v>
      </c>
      <c r="I109" s="0" t="s">
        <v>5407</v>
      </c>
      <c r="J109" s="0" t="n">
        <v>2</v>
      </c>
      <c r="K109" s="0" t="s">
        <v>5441</v>
      </c>
      <c r="L109" s="0" t="n">
        <v>50</v>
      </c>
      <c r="M109" s="0" t="n">
        <v>200</v>
      </c>
      <c r="N109" s="7" t="s">
        <v>5430</v>
      </c>
      <c r="O109" s="0" t="s">
        <v>2224</v>
      </c>
      <c r="P109" s="0" t="s">
        <v>5619</v>
      </c>
      <c r="Q109" s="0" t="s">
        <v>5433</v>
      </c>
      <c r="R109" s="0" t="s">
        <v>5434</v>
      </c>
      <c r="S109" s="0" t="s">
        <v>5684</v>
      </c>
      <c r="T109" s="0" t="s">
        <v>5413</v>
      </c>
      <c r="U109" s="0" t="s">
        <v>5769</v>
      </c>
      <c r="V109" s="0" t="s">
        <v>5464</v>
      </c>
      <c r="W109" s="0" t="s">
        <v>5770</v>
      </c>
      <c r="Y109" s="0" t="e">
        <v>#NAME?</v>
      </c>
      <c r="Z109" s="0" t="e">
        <f aca="false">COUNTIF(G:G,Y109)</f>
        <v>#NAME?</v>
      </c>
    </row>
    <row r="110" customFormat="false" ht="13.5" hidden="false" customHeight="false" outlineLevel="0" collapsed="false">
      <c r="A110" s="0" t="s">
        <v>274</v>
      </c>
      <c r="B110" s="0" t="s">
        <v>5771</v>
      </c>
      <c r="C110" s="0" t="n">
        <v>2011</v>
      </c>
      <c r="D110" s="0" t="s">
        <v>5772</v>
      </c>
      <c r="E110" s="0" t="s">
        <v>19</v>
      </c>
      <c r="F110" s="0" t="s">
        <v>31</v>
      </c>
      <c r="G110" s="0" t="s">
        <v>276</v>
      </c>
      <c r="H110" s="0" t="s">
        <v>5418</v>
      </c>
      <c r="I110" s="0" t="s">
        <v>5407</v>
      </c>
      <c r="J110" s="0" t="n">
        <v>2</v>
      </c>
      <c r="K110" s="0" t="s">
        <v>5441</v>
      </c>
      <c r="L110" s="0" t="n">
        <v>1</v>
      </c>
      <c r="M110" s="0" t="n">
        <v>1.5</v>
      </c>
      <c r="N110" s="7" t="s">
        <v>5482</v>
      </c>
      <c r="O110" s="0" t="s">
        <v>5461</v>
      </c>
      <c r="P110" s="0" t="s">
        <v>5432</v>
      </c>
      <c r="Q110" s="0" t="s">
        <v>5433</v>
      </c>
      <c r="R110" s="0" t="s">
        <v>5434</v>
      </c>
      <c r="S110" s="0" t="s">
        <v>5773</v>
      </c>
      <c r="T110" s="0" t="s">
        <v>5413</v>
      </c>
      <c r="U110" s="0" t="s">
        <v>5774</v>
      </c>
      <c r="V110" s="0" t="s">
        <v>5578</v>
      </c>
      <c r="Y110" s="0" t="e">
        <v>#NAME?</v>
      </c>
      <c r="Z110" s="0" t="e">
        <f aca="false">COUNTIF(G:G,Y110)</f>
        <v>#NAME?</v>
      </c>
    </row>
    <row r="111" customFormat="false" ht="13.5" hidden="false" customHeight="false" outlineLevel="0" collapsed="false">
      <c r="A111" s="0" t="s">
        <v>285</v>
      </c>
      <c r="B111" s="0" t="s">
        <v>5775</v>
      </c>
      <c r="C111" s="0" t="n">
        <v>2017</v>
      </c>
      <c r="D111" s="0" t="s">
        <v>5428</v>
      </c>
      <c r="E111" s="0" t="s">
        <v>19</v>
      </c>
      <c r="F111" s="0" t="s">
        <v>31</v>
      </c>
      <c r="G111" s="0" t="s">
        <v>12</v>
      </c>
      <c r="H111" s="0" t="s">
        <v>5406</v>
      </c>
      <c r="I111" s="0" t="s">
        <v>5407</v>
      </c>
      <c r="J111" s="0" t="n">
        <v>2</v>
      </c>
      <c r="K111" s="0" t="s">
        <v>5441</v>
      </c>
      <c r="L111" s="0" t="n">
        <v>89</v>
      </c>
      <c r="M111" s="0" t="n">
        <v>89</v>
      </c>
      <c r="N111" s="7" t="s">
        <v>5430</v>
      </c>
      <c r="O111" s="0" t="s">
        <v>5461</v>
      </c>
      <c r="P111" s="0" t="s">
        <v>5488</v>
      </c>
      <c r="Q111" s="0" t="s">
        <v>5433</v>
      </c>
      <c r="R111" s="0" t="s">
        <v>5776</v>
      </c>
      <c r="S111" s="0" t="s">
        <v>5777</v>
      </c>
      <c r="T111" s="0" t="s">
        <v>5413</v>
      </c>
      <c r="U111" s="0" t="s">
        <v>5469</v>
      </c>
      <c r="V111" s="0" t="s">
        <v>5415</v>
      </c>
      <c r="Y111" s="0" t="e">
        <v>#NAME?</v>
      </c>
      <c r="Z111" s="0" t="e">
        <f aca="false">COUNTIF(G:G,Y111)</f>
        <v>#NAME?</v>
      </c>
    </row>
    <row r="112" customFormat="false" ht="13.5" hidden="false" customHeight="false" outlineLevel="0" collapsed="false">
      <c r="A112" s="0" t="s">
        <v>285</v>
      </c>
      <c r="B112" s="0" t="s">
        <v>5775</v>
      </c>
      <c r="C112" s="0" t="n">
        <v>2017</v>
      </c>
      <c r="D112" s="0" t="s">
        <v>5428</v>
      </c>
      <c r="E112" s="0" t="s">
        <v>19</v>
      </c>
      <c r="F112" s="0" t="s">
        <v>31</v>
      </c>
      <c r="G112" s="0" t="s">
        <v>728</v>
      </c>
      <c r="H112" s="0" t="s">
        <v>5406</v>
      </c>
      <c r="I112" s="0" t="s">
        <v>5407</v>
      </c>
      <c r="J112" s="0" t="n">
        <v>2</v>
      </c>
      <c r="K112" s="0" t="s">
        <v>5441</v>
      </c>
      <c r="L112" s="0" t="n">
        <v>57</v>
      </c>
      <c r="M112" s="0" t="n">
        <v>57</v>
      </c>
      <c r="N112" s="7" t="s">
        <v>5430</v>
      </c>
      <c r="O112" s="0" t="s">
        <v>5461</v>
      </c>
      <c r="P112" s="0" t="s">
        <v>5488</v>
      </c>
      <c r="Q112" s="0" t="s">
        <v>5433</v>
      </c>
      <c r="R112" s="0" t="s">
        <v>5776</v>
      </c>
      <c r="S112" s="0" t="s">
        <v>5777</v>
      </c>
      <c r="T112" s="0" t="s">
        <v>5413</v>
      </c>
      <c r="U112" s="0" t="s">
        <v>5469</v>
      </c>
      <c r="V112" s="0" t="s">
        <v>5415</v>
      </c>
      <c r="Y112" s="0" t="e">
        <v>#NAME?</v>
      </c>
      <c r="Z112" s="0" t="e">
        <f aca="false">COUNTIF(G:G,Y112)</f>
        <v>#NAME?</v>
      </c>
    </row>
    <row r="113" customFormat="false" ht="13.5" hidden="false" customHeight="false" outlineLevel="0" collapsed="false">
      <c r="A113" s="0" t="s">
        <v>288</v>
      </c>
      <c r="B113" s="0" t="s">
        <v>5778</v>
      </c>
      <c r="C113" s="0" t="n">
        <v>2000</v>
      </c>
      <c r="D113" s="0" t="s">
        <v>5515</v>
      </c>
      <c r="E113" s="0" t="s">
        <v>19</v>
      </c>
      <c r="F113" s="0" t="s">
        <v>31</v>
      </c>
      <c r="G113" s="0" t="s">
        <v>407</v>
      </c>
      <c r="H113" s="0" t="s">
        <v>5418</v>
      </c>
      <c r="I113" s="0" t="s">
        <v>5407</v>
      </c>
      <c r="J113" s="0" t="n">
        <v>3</v>
      </c>
      <c r="K113" s="0" t="s">
        <v>5779</v>
      </c>
      <c r="L113" s="0" t="n">
        <v>10</v>
      </c>
      <c r="M113" s="0" t="n">
        <v>25</v>
      </c>
      <c r="N113" s="7" t="s">
        <v>5430</v>
      </c>
      <c r="O113" s="0" t="s">
        <v>2224</v>
      </c>
      <c r="P113" s="0" t="s">
        <v>5535</v>
      </c>
      <c r="Q113" s="0" t="s">
        <v>5433</v>
      </c>
      <c r="R113" s="0" t="s">
        <v>5780</v>
      </c>
      <c r="S113" s="0" t="s">
        <v>5781</v>
      </c>
      <c r="T113" s="0" t="s">
        <v>5413</v>
      </c>
      <c r="U113" s="0" t="s">
        <v>5782</v>
      </c>
      <c r="V113" s="0" t="s">
        <v>5426</v>
      </c>
      <c r="Y113" s="0" t="e">
        <v>#NAME?</v>
      </c>
      <c r="Z113" s="0" t="e">
        <f aca="false">COUNTIF(G:G,Y113)</f>
        <v>#NAME?</v>
      </c>
    </row>
    <row r="114" customFormat="false" ht="13.5" hidden="false" customHeight="false" outlineLevel="0" collapsed="false">
      <c r="A114" s="0" t="s">
        <v>291</v>
      </c>
      <c r="B114" s="0" t="s">
        <v>5783</v>
      </c>
      <c r="C114" s="0" t="n">
        <v>1996</v>
      </c>
      <c r="D114" s="0" t="s">
        <v>5479</v>
      </c>
      <c r="E114" s="0" t="s">
        <v>19</v>
      </c>
      <c r="F114" s="0" t="s">
        <v>31</v>
      </c>
      <c r="G114" s="0" t="s">
        <v>32</v>
      </c>
      <c r="H114" s="0" t="s">
        <v>5418</v>
      </c>
      <c r="I114" s="0" t="s">
        <v>5407</v>
      </c>
      <c r="J114" s="0" t="n">
        <v>2</v>
      </c>
      <c r="K114" s="0" t="s">
        <v>5784</v>
      </c>
      <c r="L114" s="0" t="n">
        <v>40</v>
      </c>
      <c r="M114" s="0" t="n">
        <v>50</v>
      </c>
      <c r="N114" s="7" t="s">
        <v>5430</v>
      </c>
      <c r="O114" s="0" t="s">
        <v>5487</v>
      </c>
      <c r="P114" s="0" t="s">
        <v>5535</v>
      </c>
      <c r="Q114" s="0" t="s">
        <v>5489</v>
      </c>
      <c r="R114" s="0" t="s">
        <v>5785</v>
      </c>
      <c r="S114" s="0" t="s">
        <v>5684</v>
      </c>
      <c r="T114" s="0" t="s">
        <v>5413</v>
      </c>
      <c r="U114" s="0" t="s">
        <v>5786</v>
      </c>
      <c r="V114" s="0" t="s">
        <v>5426</v>
      </c>
      <c r="Y114" s="0" t="e">
        <v>#NAME?</v>
      </c>
      <c r="Z114" s="0" t="e">
        <f aca="false">COUNTIF(G:G,Y114)</f>
        <v>#NAME?</v>
      </c>
    </row>
    <row r="115" customFormat="false" ht="13.5" hidden="false" customHeight="false" outlineLevel="0" collapsed="false">
      <c r="A115" s="0" t="s">
        <v>293</v>
      </c>
      <c r="B115" s="0" t="s">
        <v>5787</v>
      </c>
      <c r="C115" s="0" t="n">
        <v>2012</v>
      </c>
      <c r="D115" s="0" t="s">
        <v>5528</v>
      </c>
      <c r="E115" s="0" t="s">
        <v>19</v>
      </c>
      <c r="F115" s="0" t="s">
        <v>31</v>
      </c>
      <c r="G115" s="0" t="s">
        <v>12</v>
      </c>
      <c r="H115" s="0" t="s">
        <v>5406</v>
      </c>
      <c r="I115" s="0" t="s">
        <v>5407</v>
      </c>
      <c r="J115" s="0" t="n">
        <v>1</v>
      </c>
      <c r="K115" s="0" t="s">
        <v>5441</v>
      </c>
      <c r="L115" s="0" t="n">
        <v>50</v>
      </c>
      <c r="M115" s="0" t="n">
        <v>300</v>
      </c>
      <c r="N115" s="7" t="s">
        <v>5430</v>
      </c>
      <c r="O115" s="0" t="s">
        <v>5461</v>
      </c>
      <c r="P115" s="0" t="s">
        <v>5535</v>
      </c>
      <c r="Q115" s="0" t="s">
        <v>5433</v>
      </c>
      <c r="R115" s="0" t="s">
        <v>5434</v>
      </c>
      <c r="S115" s="0" t="s">
        <v>5468</v>
      </c>
      <c r="T115" s="0" t="s">
        <v>5413</v>
      </c>
      <c r="U115" s="0" t="s">
        <v>5712</v>
      </c>
      <c r="V115" s="0" t="s">
        <v>5415</v>
      </c>
      <c r="Y115" s="0" t="e">
        <v>#NAME?</v>
      </c>
      <c r="Z115" s="0" t="e">
        <f aca="false">COUNTIF(G:G,Y115)</f>
        <v>#NAME?</v>
      </c>
    </row>
    <row r="116" customFormat="false" ht="13.5" hidden="false" customHeight="false" outlineLevel="0" collapsed="false">
      <c r="A116" s="0" t="s">
        <v>295</v>
      </c>
      <c r="B116" s="0" t="s">
        <v>5738</v>
      </c>
      <c r="C116" s="0" t="n">
        <v>2016</v>
      </c>
      <c r="D116" s="0" t="s">
        <v>5613</v>
      </c>
      <c r="E116" s="0" t="s">
        <v>19</v>
      </c>
      <c r="F116" s="0" t="s">
        <v>31</v>
      </c>
      <c r="G116" s="0" t="s">
        <v>5788</v>
      </c>
      <c r="H116" s="0" t="s">
        <v>5406</v>
      </c>
      <c r="I116" s="0" t="s">
        <v>5407</v>
      </c>
      <c r="J116" s="0" t="n">
        <v>2</v>
      </c>
      <c r="K116" s="0" t="s">
        <v>5460</v>
      </c>
      <c r="L116" s="0" t="n">
        <v>25</v>
      </c>
      <c r="M116" s="0" t="n">
        <v>75</v>
      </c>
      <c r="N116" s="7" t="s">
        <v>5430</v>
      </c>
      <c r="O116" s="0" t="s">
        <v>5461</v>
      </c>
      <c r="P116" s="0" t="s">
        <v>5739</v>
      </c>
      <c r="Q116" s="0" t="s">
        <v>5433</v>
      </c>
      <c r="R116" s="0" t="s">
        <v>5740</v>
      </c>
      <c r="S116" s="0" t="s">
        <v>5741</v>
      </c>
      <c r="T116" s="0" t="s">
        <v>5436</v>
      </c>
      <c r="U116" s="0" t="s">
        <v>5789</v>
      </c>
      <c r="V116" s="0" t="s">
        <v>5415</v>
      </c>
      <c r="Y116" s="0" t="e">
        <v>#NAME?</v>
      </c>
      <c r="Z116" s="0" t="e">
        <f aca="false">COUNTIF(G:G,Y116)</f>
        <v>#NAME?</v>
      </c>
    </row>
    <row r="117" customFormat="false" ht="13.5" hidden="false" customHeight="false" outlineLevel="0" collapsed="false">
      <c r="A117" s="0" t="s">
        <v>298</v>
      </c>
      <c r="B117" s="0" t="s">
        <v>5790</v>
      </c>
      <c r="C117" s="0" t="n">
        <v>2017</v>
      </c>
      <c r="D117" s="0" t="s">
        <v>5515</v>
      </c>
      <c r="E117" s="0" t="s">
        <v>19</v>
      </c>
      <c r="F117" s="0" t="s">
        <v>31</v>
      </c>
      <c r="G117" s="0" t="s">
        <v>2890</v>
      </c>
      <c r="H117" s="0" t="s">
        <v>5406</v>
      </c>
      <c r="I117" s="0" t="s">
        <v>5407</v>
      </c>
      <c r="J117" s="0" t="n">
        <v>2</v>
      </c>
      <c r="K117" s="0" t="s">
        <v>5460</v>
      </c>
      <c r="L117" s="0" t="n">
        <v>10</v>
      </c>
      <c r="M117" s="0" t="n">
        <v>100</v>
      </c>
      <c r="N117" s="7" t="s">
        <v>5430</v>
      </c>
      <c r="O117" s="0" t="s">
        <v>2224</v>
      </c>
      <c r="P117" s="0" t="s">
        <v>5735</v>
      </c>
      <c r="Q117" s="0" t="s">
        <v>2224</v>
      </c>
      <c r="R117" s="0" t="s">
        <v>5791</v>
      </c>
      <c r="S117" s="0" t="s">
        <v>5423</v>
      </c>
      <c r="T117" s="0" t="s">
        <v>5413</v>
      </c>
      <c r="U117" s="0" t="s">
        <v>5792</v>
      </c>
      <c r="V117" s="0" t="s">
        <v>5426</v>
      </c>
      <c r="Y117" s="0" t="e">
        <v>#NAME?</v>
      </c>
      <c r="Z117" s="0" t="e">
        <f aca="false">COUNTIF(G:G,Y117)</f>
        <v>#NAME?</v>
      </c>
    </row>
    <row r="118" customFormat="false" ht="13.5" hidden="false" customHeight="false" outlineLevel="0" collapsed="false">
      <c r="A118" s="0" t="s">
        <v>301</v>
      </c>
      <c r="B118" s="0" t="s">
        <v>5793</v>
      </c>
      <c r="C118" s="0" t="n">
        <v>1997</v>
      </c>
      <c r="D118" s="0" t="s">
        <v>5479</v>
      </c>
      <c r="E118" s="0" t="s">
        <v>19</v>
      </c>
      <c r="F118" s="0" t="s">
        <v>31</v>
      </c>
      <c r="G118" s="0" t="s">
        <v>47</v>
      </c>
      <c r="H118" s="0" t="s">
        <v>5406</v>
      </c>
      <c r="I118" s="0" t="s">
        <v>5407</v>
      </c>
      <c r="J118" s="0" t="n">
        <v>3</v>
      </c>
      <c r="K118" s="0" t="s">
        <v>2224</v>
      </c>
      <c r="L118" s="0" t="n">
        <v>20</v>
      </c>
      <c r="M118" s="0" t="n">
        <v>50</v>
      </c>
      <c r="N118" s="7" t="s">
        <v>5430</v>
      </c>
      <c r="O118" s="0" t="s">
        <v>5461</v>
      </c>
      <c r="P118" s="0" t="s">
        <v>5432</v>
      </c>
      <c r="Q118" s="0" t="s">
        <v>5433</v>
      </c>
      <c r="R118" s="0" t="s">
        <v>5794</v>
      </c>
      <c r="S118" s="0" t="s">
        <v>5468</v>
      </c>
      <c r="T118" s="0" t="s">
        <v>5413</v>
      </c>
      <c r="U118" s="0" t="s">
        <v>5795</v>
      </c>
      <c r="V118" s="0" t="s">
        <v>5464</v>
      </c>
      <c r="Y118" s="0" t="e">
        <v>#NAME?</v>
      </c>
      <c r="Z118" s="0" t="e">
        <f aca="false">COUNTIF(G:G,Y118)</f>
        <v>#NAME?</v>
      </c>
    </row>
    <row r="119" customFormat="false" ht="13.5" hidden="false" customHeight="false" outlineLevel="0" collapsed="false">
      <c r="A119" s="0" t="s">
        <v>303</v>
      </c>
      <c r="B119" s="0" t="s">
        <v>5796</v>
      </c>
      <c r="C119" s="0" t="n">
        <v>2017</v>
      </c>
      <c r="D119" s="0" t="s">
        <v>5459</v>
      </c>
      <c r="E119" s="0" t="s">
        <v>19</v>
      </c>
      <c r="F119" s="0" t="s">
        <v>31</v>
      </c>
      <c r="G119" s="0" t="s">
        <v>47</v>
      </c>
      <c r="H119" s="0" t="s">
        <v>5406</v>
      </c>
      <c r="I119" s="0" t="s">
        <v>5407</v>
      </c>
      <c r="J119" s="0" t="n">
        <v>2</v>
      </c>
      <c r="K119" s="0" t="s">
        <v>5601</v>
      </c>
      <c r="L119" s="0" t="n">
        <v>8</v>
      </c>
      <c r="M119" s="0" t="n">
        <v>150</v>
      </c>
      <c r="N119" s="7" t="s">
        <v>5430</v>
      </c>
      <c r="O119" s="0" t="s">
        <v>5461</v>
      </c>
      <c r="P119" s="0" t="s">
        <v>5619</v>
      </c>
      <c r="Q119" s="0" t="s">
        <v>5433</v>
      </c>
      <c r="R119" s="0" t="s">
        <v>5564</v>
      </c>
      <c r="S119" s="0" t="s">
        <v>5472</v>
      </c>
      <c r="T119" s="0" t="s">
        <v>5413</v>
      </c>
      <c r="U119" s="0" t="s">
        <v>5797</v>
      </c>
      <c r="V119" s="0" t="s">
        <v>5599</v>
      </c>
      <c r="Y119" s="0" t="e">
        <v>#NAME?</v>
      </c>
      <c r="Z119" s="0" t="e">
        <f aca="false">COUNTIF(G:G,Y119)</f>
        <v>#NAME?</v>
      </c>
    </row>
    <row r="120" customFormat="false" ht="13.5" hidden="false" customHeight="false" outlineLevel="0" collapsed="false">
      <c r="A120" s="0" t="s">
        <v>305</v>
      </c>
      <c r="B120" s="0" t="s">
        <v>5691</v>
      </c>
      <c r="C120" s="0" t="n">
        <v>2019</v>
      </c>
      <c r="D120" s="0" t="s">
        <v>5459</v>
      </c>
      <c r="E120" s="0" t="s">
        <v>19</v>
      </c>
      <c r="F120" s="0" t="s">
        <v>31</v>
      </c>
      <c r="G120" s="0" t="s">
        <v>307</v>
      </c>
      <c r="H120" s="0" t="s">
        <v>5406</v>
      </c>
      <c r="I120" s="0" t="s">
        <v>5407</v>
      </c>
      <c r="J120" s="0" t="n">
        <v>2</v>
      </c>
      <c r="K120" s="0" t="s">
        <v>5601</v>
      </c>
      <c r="L120" s="0" t="n">
        <v>10</v>
      </c>
      <c r="M120" s="0" t="n">
        <v>150</v>
      </c>
      <c r="N120" s="7" t="s">
        <v>5430</v>
      </c>
      <c r="O120" s="0" t="s">
        <v>2224</v>
      </c>
      <c r="P120" s="0" t="s">
        <v>2224</v>
      </c>
      <c r="Q120" s="0" t="s">
        <v>5433</v>
      </c>
      <c r="R120" s="0" t="s">
        <v>5434</v>
      </c>
      <c r="S120" s="0" t="s">
        <v>5644</v>
      </c>
      <c r="T120" s="0" t="s">
        <v>5436</v>
      </c>
      <c r="U120" s="0" t="s">
        <v>5798</v>
      </c>
      <c r="V120" s="0" t="s">
        <v>5464</v>
      </c>
      <c r="Y120" s="0" t="e">
        <v>#NAME?</v>
      </c>
      <c r="Z120" s="0" t="e">
        <f aca="false">COUNTIF(G:G,Y120)</f>
        <v>#NAME?</v>
      </c>
    </row>
    <row r="121" customFormat="false" ht="13.5" hidden="false" customHeight="false" outlineLevel="0" collapsed="false">
      <c r="A121" s="0" t="s">
        <v>308</v>
      </c>
      <c r="B121" s="0" t="s">
        <v>5799</v>
      </c>
      <c r="C121" s="0" t="n">
        <v>2018</v>
      </c>
      <c r="D121" s="0" t="s">
        <v>5470</v>
      </c>
      <c r="E121" s="0" t="s">
        <v>19</v>
      </c>
      <c r="F121" s="0" t="s">
        <v>31</v>
      </c>
      <c r="G121" s="0" t="s">
        <v>122</v>
      </c>
      <c r="H121" s="0" t="s">
        <v>5406</v>
      </c>
      <c r="I121" s="0" t="s">
        <v>5407</v>
      </c>
      <c r="J121" s="0" t="n">
        <v>2</v>
      </c>
      <c r="K121" s="0" t="s">
        <v>5441</v>
      </c>
      <c r="L121" s="0" t="n">
        <v>10</v>
      </c>
      <c r="M121" s="0" t="n">
        <v>200</v>
      </c>
      <c r="N121" s="7" t="s">
        <v>5430</v>
      </c>
      <c r="O121" s="0" t="s">
        <v>5461</v>
      </c>
      <c r="P121" s="0" t="s">
        <v>5563</v>
      </c>
      <c r="Q121" s="0" t="s">
        <v>5433</v>
      </c>
      <c r="R121" s="0" t="s">
        <v>5443</v>
      </c>
      <c r="S121" s="0" t="s">
        <v>5547</v>
      </c>
      <c r="T121" s="0" t="s">
        <v>5413</v>
      </c>
      <c r="U121" s="0" t="s">
        <v>5800</v>
      </c>
      <c r="V121" s="0" t="s">
        <v>5415</v>
      </c>
      <c r="Y121" s="0" t="e">
        <v>#NAME?</v>
      </c>
      <c r="Z121" s="0" t="e">
        <f aca="false">COUNTIF(G:G,Y121)</f>
        <v>#NAME?</v>
      </c>
    </row>
    <row r="122" customFormat="false" ht="13.5" hidden="false" customHeight="false" outlineLevel="0" collapsed="false">
      <c r="A122" s="0" t="s">
        <v>310</v>
      </c>
      <c r="B122" s="0" t="s">
        <v>5801</v>
      </c>
      <c r="C122" s="0" t="n">
        <v>2008</v>
      </c>
      <c r="D122" s="0" t="s">
        <v>5515</v>
      </c>
      <c r="E122" s="0" t="s">
        <v>19</v>
      </c>
      <c r="F122" s="0" t="s">
        <v>31</v>
      </c>
      <c r="G122" s="0" t="s">
        <v>312</v>
      </c>
      <c r="H122" s="0" t="s">
        <v>5418</v>
      </c>
      <c r="I122" s="0" t="s">
        <v>5407</v>
      </c>
      <c r="J122" s="0" t="n">
        <v>2</v>
      </c>
      <c r="K122" s="0" t="s">
        <v>5802</v>
      </c>
      <c r="L122" s="0" t="n">
        <v>20</v>
      </c>
      <c r="M122" s="0" t="n">
        <v>40</v>
      </c>
      <c r="N122" s="7" t="s">
        <v>5430</v>
      </c>
      <c r="O122" s="0" t="s">
        <v>2224</v>
      </c>
      <c r="P122" s="0" t="s">
        <v>5735</v>
      </c>
      <c r="Q122" s="0" t="s">
        <v>5433</v>
      </c>
      <c r="R122" s="0" t="s">
        <v>5490</v>
      </c>
      <c r="S122" s="0" t="s">
        <v>5423</v>
      </c>
      <c r="T122" s="0" t="s">
        <v>5689</v>
      </c>
      <c r="U122" s="0" t="s">
        <v>5803</v>
      </c>
      <c r="V122" s="0" t="s">
        <v>5426</v>
      </c>
      <c r="Y122" s="0" t="e">
        <v>#NAME?</v>
      </c>
      <c r="Z122" s="0" t="e">
        <f aca="false">COUNTIF(G:G,Y122)</f>
        <v>#NAME?</v>
      </c>
    </row>
    <row r="123" customFormat="false" ht="13.5" hidden="false" customHeight="false" outlineLevel="0" collapsed="false">
      <c r="A123" s="0" t="s">
        <v>313</v>
      </c>
      <c r="B123" s="0" t="s">
        <v>5804</v>
      </c>
      <c r="C123" s="0" t="n">
        <v>2014</v>
      </c>
      <c r="D123" s="0" t="s">
        <v>5439</v>
      </c>
      <c r="E123" s="0" t="s">
        <v>19</v>
      </c>
      <c r="F123" s="0" t="s">
        <v>31</v>
      </c>
      <c r="G123" s="0" t="s">
        <v>56</v>
      </c>
      <c r="H123" s="0" t="s">
        <v>5418</v>
      </c>
      <c r="I123" s="0" t="s">
        <v>5407</v>
      </c>
      <c r="J123" s="0" t="n">
        <v>3</v>
      </c>
      <c r="K123" s="0" t="s">
        <v>5441</v>
      </c>
      <c r="L123" s="0" t="n">
        <v>650</v>
      </c>
      <c r="M123" s="0" t="n">
        <v>1000</v>
      </c>
      <c r="N123" s="7" t="s">
        <v>5430</v>
      </c>
      <c r="O123" s="0" t="s">
        <v>5431</v>
      </c>
      <c r="P123" s="0" t="s">
        <v>5432</v>
      </c>
      <c r="Q123" s="0" t="s">
        <v>5433</v>
      </c>
      <c r="R123" s="0" t="s">
        <v>5434</v>
      </c>
      <c r="S123" s="0" t="s">
        <v>5684</v>
      </c>
      <c r="T123" s="0" t="s">
        <v>5413</v>
      </c>
      <c r="U123" s="0" t="s">
        <v>5805</v>
      </c>
      <c r="V123" s="0" t="s">
        <v>5578</v>
      </c>
      <c r="Y123" s="0" t="e">
        <v>#NAME?</v>
      </c>
      <c r="Z123" s="0" t="e">
        <f aca="false">COUNTIF(G:G,Y123)</f>
        <v>#NAME?</v>
      </c>
    </row>
    <row r="124" customFormat="false" ht="13.5" hidden="false" customHeight="false" outlineLevel="0" collapsed="false">
      <c r="A124" s="0" t="s">
        <v>315</v>
      </c>
      <c r="B124" s="0" t="s">
        <v>5806</v>
      </c>
      <c r="C124" s="0" t="n">
        <v>1965</v>
      </c>
      <c r="D124" s="0" t="s">
        <v>5479</v>
      </c>
      <c r="E124" s="0" t="s">
        <v>19</v>
      </c>
      <c r="F124" s="0" t="s">
        <v>31</v>
      </c>
      <c r="G124" s="0" t="s">
        <v>12</v>
      </c>
      <c r="H124" s="0" t="s">
        <v>5406</v>
      </c>
      <c r="I124" s="0" t="s">
        <v>5807</v>
      </c>
      <c r="J124" s="0" t="n">
        <v>7</v>
      </c>
      <c r="K124" s="0" t="s">
        <v>5519</v>
      </c>
      <c r="L124" s="0" t="n">
        <v>0.05</v>
      </c>
      <c r="M124" s="0" t="n">
        <v>0.7</v>
      </c>
      <c r="N124" s="7" t="s">
        <v>5482</v>
      </c>
      <c r="O124" s="0" t="s">
        <v>2224</v>
      </c>
      <c r="P124" s="0" t="s">
        <v>5535</v>
      </c>
      <c r="Q124" s="0" t="s">
        <v>5489</v>
      </c>
      <c r="R124" s="0" t="s">
        <v>5808</v>
      </c>
      <c r="S124" s="0" t="s">
        <v>5809</v>
      </c>
      <c r="T124" s="0" t="s">
        <v>5436</v>
      </c>
      <c r="U124" s="0" t="s">
        <v>5810</v>
      </c>
      <c r="V124" s="0" t="s">
        <v>5415</v>
      </c>
      <c r="Y124" s="0" t="e">
        <v>#NAME?</v>
      </c>
      <c r="Z124" s="0" t="e">
        <f aca="false">COUNTIF(G:G,Y124)</f>
        <v>#NAME?</v>
      </c>
    </row>
    <row r="125" customFormat="false" ht="13.5" hidden="false" customHeight="false" outlineLevel="0" collapsed="false">
      <c r="A125" s="0" t="s">
        <v>315</v>
      </c>
      <c r="B125" s="0" t="s">
        <v>5806</v>
      </c>
      <c r="C125" s="0" t="n">
        <v>1965</v>
      </c>
      <c r="D125" s="0" t="s">
        <v>5479</v>
      </c>
      <c r="E125" s="0" t="s">
        <v>19</v>
      </c>
      <c r="F125" s="0" t="s">
        <v>31</v>
      </c>
      <c r="G125" s="0" t="s">
        <v>1399</v>
      </c>
      <c r="H125" s="0" t="s">
        <v>5406</v>
      </c>
      <c r="I125" s="0" t="s">
        <v>5709</v>
      </c>
      <c r="J125" s="0" t="n">
        <v>3</v>
      </c>
      <c r="K125" s="0" t="s">
        <v>5519</v>
      </c>
      <c r="L125" s="0" t="n">
        <v>0.05</v>
      </c>
      <c r="M125" s="0" t="n">
        <v>0.7</v>
      </c>
      <c r="N125" s="7" t="s">
        <v>5482</v>
      </c>
      <c r="O125" s="0" t="s">
        <v>2224</v>
      </c>
      <c r="P125" s="0" t="s">
        <v>5535</v>
      </c>
      <c r="Q125" s="0" t="s">
        <v>5489</v>
      </c>
      <c r="R125" s="0" t="s">
        <v>5808</v>
      </c>
      <c r="S125" s="0" t="s">
        <v>5809</v>
      </c>
      <c r="T125" s="0" t="s">
        <v>5436</v>
      </c>
      <c r="U125" s="0" t="s">
        <v>5810</v>
      </c>
      <c r="V125" s="0" t="s">
        <v>5415</v>
      </c>
      <c r="Y125" s="0" t="e">
        <v>#NAME?</v>
      </c>
      <c r="Z125" s="0" t="e">
        <f aca="false">COUNTIF(G:G,Y125)</f>
        <v>#NAME?</v>
      </c>
    </row>
    <row r="126" customFormat="false" ht="13.5" hidden="false" customHeight="false" outlineLevel="0" collapsed="false">
      <c r="A126" s="0" t="s">
        <v>315</v>
      </c>
      <c r="B126" s="0" t="s">
        <v>5806</v>
      </c>
      <c r="C126" s="0" t="n">
        <v>1965</v>
      </c>
      <c r="D126" s="0" t="s">
        <v>5479</v>
      </c>
      <c r="E126" s="0" t="s">
        <v>19</v>
      </c>
      <c r="F126" s="0" t="s">
        <v>31</v>
      </c>
      <c r="G126" s="0" t="s">
        <v>2890</v>
      </c>
      <c r="H126" s="0" t="s">
        <v>5406</v>
      </c>
      <c r="I126" s="0" t="s">
        <v>5807</v>
      </c>
      <c r="J126" s="0" t="n">
        <v>3</v>
      </c>
      <c r="K126" s="0" t="s">
        <v>5519</v>
      </c>
      <c r="L126" s="0" t="n">
        <v>0.05</v>
      </c>
      <c r="M126" s="0" t="n">
        <v>0.7</v>
      </c>
      <c r="N126" s="7" t="s">
        <v>5482</v>
      </c>
      <c r="O126" s="0" t="s">
        <v>2224</v>
      </c>
      <c r="P126" s="0" t="s">
        <v>5535</v>
      </c>
      <c r="Q126" s="0" t="s">
        <v>5489</v>
      </c>
      <c r="R126" s="0" t="s">
        <v>5808</v>
      </c>
      <c r="S126" s="0" t="s">
        <v>5809</v>
      </c>
      <c r="T126" s="0" t="s">
        <v>5436</v>
      </c>
      <c r="U126" s="0" t="s">
        <v>5811</v>
      </c>
      <c r="V126" s="0" t="s">
        <v>5426</v>
      </c>
      <c r="Y126" s="0" t="e">
        <v>#NAME?</v>
      </c>
      <c r="Z126" s="0" t="e">
        <f aca="false">COUNTIF(G:G,Y126)</f>
        <v>#NAME?</v>
      </c>
    </row>
    <row r="127" customFormat="false" ht="13.5" hidden="false" customHeight="false" outlineLevel="0" collapsed="false">
      <c r="A127" s="0" t="s">
        <v>315</v>
      </c>
      <c r="B127" s="0" t="s">
        <v>5806</v>
      </c>
      <c r="C127" s="0" t="n">
        <v>1965</v>
      </c>
      <c r="D127" s="0" t="s">
        <v>5479</v>
      </c>
      <c r="E127" s="0" t="s">
        <v>19</v>
      </c>
      <c r="F127" s="0" t="s">
        <v>31</v>
      </c>
      <c r="G127" s="0" t="s">
        <v>150</v>
      </c>
      <c r="H127" s="0" t="s">
        <v>5406</v>
      </c>
      <c r="I127" s="0" t="s">
        <v>5556</v>
      </c>
      <c r="J127" s="0" t="n">
        <v>3</v>
      </c>
      <c r="K127" s="0" t="s">
        <v>5519</v>
      </c>
      <c r="L127" s="0" t="n">
        <v>0.05</v>
      </c>
      <c r="M127" s="0" t="n">
        <v>0.7</v>
      </c>
      <c r="N127" s="7" t="s">
        <v>5482</v>
      </c>
      <c r="O127" s="0" t="s">
        <v>2224</v>
      </c>
      <c r="P127" s="0" t="s">
        <v>5535</v>
      </c>
      <c r="Q127" s="0" t="s">
        <v>5489</v>
      </c>
      <c r="R127" s="0" t="s">
        <v>5808</v>
      </c>
      <c r="S127" s="0" t="s">
        <v>5809</v>
      </c>
      <c r="T127" s="0" t="s">
        <v>5436</v>
      </c>
      <c r="U127" s="0" t="s">
        <v>5812</v>
      </c>
      <c r="V127" s="0" t="s">
        <v>5415</v>
      </c>
      <c r="Y127" s="0" t="e">
        <v>#NAME?</v>
      </c>
      <c r="Z127" s="0" t="e">
        <f aca="false">COUNTIF(G:G,Y127)</f>
        <v>#NAME?</v>
      </c>
    </row>
    <row r="128" customFormat="false" ht="13.5" hidden="false" customHeight="false" outlineLevel="0" collapsed="false">
      <c r="A128" s="0" t="s">
        <v>315</v>
      </c>
      <c r="B128" s="0" t="s">
        <v>5806</v>
      </c>
      <c r="C128" s="0" t="n">
        <v>1965</v>
      </c>
      <c r="D128" s="0" t="s">
        <v>5479</v>
      </c>
      <c r="E128" s="0" t="s">
        <v>19</v>
      </c>
      <c r="F128" s="0" t="s">
        <v>31</v>
      </c>
      <c r="G128" s="0" t="s">
        <v>98</v>
      </c>
      <c r="H128" s="0" t="s">
        <v>5406</v>
      </c>
      <c r="I128" s="0" t="s">
        <v>5556</v>
      </c>
      <c r="J128" s="0" t="n">
        <v>1</v>
      </c>
      <c r="K128" s="0" t="s">
        <v>5519</v>
      </c>
      <c r="L128" s="0" t="n">
        <v>0.05</v>
      </c>
      <c r="M128" s="0" t="n">
        <v>0.7</v>
      </c>
      <c r="N128" s="7" t="s">
        <v>5482</v>
      </c>
      <c r="O128" s="0" t="s">
        <v>2224</v>
      </c>
      <c r="P128" s="0" t="s">
        <v>5535</v>
      </c>
      <c r="Q128" s="0" t="s">
        <v>5489</v>
      </c>
      <c r="R128" s="0" t="s">
        <v>5808</v>
      </c>
      <c r="S128" s="0" t="s">
        <v>5809</v>
      </c>
      <c r="T128" s="0" t="s">
        <v>5436</v>
      </c>
      <c r="U128" s="0" t="s">
        <v>5813</v>
      </c>
      <c r="V128" s="0" t="s">
        <v>5426</v>
      </c>
      <c r="Y128" s="0" t="e">
        <v>#NAME?</v>
      </c>
      <c r="Z128" s="0" t="e">
        <f aca="false">COUNTIF(G:G,Y128)</f>
        <v>#NAME?</v>
      </c>
    </row>
    <row r="129" customFormat="false" ht="13.5" hidden="false" customHeight="false" outlineLevel="0" collapsed="false">
      <c r="A129" s="0" t="s">
        <v>315</v>
      </c>
      <c r="B129" s="0" t="s">
        <v>5806</v>
      </c>
      <c r="C129" s="0" t="n">
        <v>1965</v>
      </c>
      <c r="D129" s="0" t="s">
        <v>5479</v>
      </c>
      <c r="E129" s="0" t="s">
        <v>19</v>
      </c>
      <c r="F129" s="0" t="s">
        <v>31</v>
      </c>
      <c r="G129" s="0" t="s">
        <v>5642</v>
      </c>
      <c r="H129" s="0" t="s">
        <v>5406</v>
      </c>
      <c r="I129" s="0" t="s">
        <v>5709</v>
      </c>
      <c r="J129" s="0" t="n">
        <v>1</v>
      </c>
      <c r="K129" s="0" t="s">
        <v>5519</v>
      </c>
      <c r="L129" s="0" t="n">
        <v>0.05</v>
      </c>
      <c r="M129" s="0" t="n">
        <v>0.7</v>
      </c>
      <c r="N129" s="7" t="s">
        <v>5482</v>
      </c>
      <c r="O129" s="0" t="s">
        <v>2224</v>
      </c>
      <c r="P129" s="0" t="s">
        <v>5535</v>
      </c>
      <c r="Q129" s="0" t="s">
        <v>5489</v>
      </c>
      <c r="R129" s="0" t="s">
        <v>5808</v>
      </c>
      <c r="S129" s="0" t="s">
        <v>5809</v>
      </c>
      <c r="T129" s="0" t="s">
        <v>5436</v>
      </c>
      <c r="U129" s="0" t="s">
        <v>5814</v>
      </c>
      <c r="V129" s="0" t="s">
        <v>5464</v>
      </c>
      <c r="Y129" s="0" t="e">
        <v>#NAME?</v>
      </c>
      <c r="Z129" s="0" t="e">
        <f aca="false">COUNTIF(G:G,Y129)</f>
        <v>#NAME?</v>
      </c>
    </row>
    <row r="130" customFormat="false" ht="13.5" hidden="false" customHeight="false" outlineLevel="0" collapsed="false">
      <c r="A130" s="0" t="s">
        <v>315</v>
      </c>
      <c r="B130" s="0" t="s">
        <v>5806</v>
      </c>
      <c r="C130" s="0" t="n">
        <v>1965</v>
      </c>
      <c r="D130" s="0" t="s">
        <v>5479</v>
      </c>
      <c r="E130" s="0" t="s">
        <v>19</v>
      </c>
      <c r="F130" s="0" t="s">
        <v>31</v>
      </c>
      <c r="G130" s="0" t="s">
        <v>1116</v>
      </c>
      <c r="H130" s="0" t="s">
        <v>5406</v>
      </c>
      <c r="I130" s="0" t="s">
        <v>5807</v>
      </c>
      <c r="J130" s="0" t="n">
        <v>3</v>
      </c>
      <c r="K130" s="0" t="s">
        <v>5519</v>
      </c>
      <c r="L130" s="0" t="n">
        <v>0.05</v>
      </c>
      <c r="M130" s="0" t="n">
        <v>0.7</v>
      </c>
      <c r="N130" s="7" t="s">
        <v>5482</v>
      </c>
      <c r="O130" s="0" t="s">
        <v>2224</v>
      </c>
      <c r="P130" s="0" t="s">
        <v>5535</v>
      </c>
      <c r="Q130" s="0" t="s">
        <v>5489</v>
      </c>
      <c r="R130" s="0" t="s">
        <v>5808</v>
      </c>
      <c r="S130" s="0" t="s">
        <v>5809</v>
      </c>
      <c r="T130" s="0" t="s">
        <v>5436</v>
      </c>
      <c r="U130" s="0" t="s">
        <v>5815</v>
      </c>
      <c r="V130" s="0" t="s">
        <v>5464</v>
      </c>
      <c r="Y130" s="0" t="e">
        <v>#NAME?</v>
      </c>
      <c r="Z130" s="0" t="e">
        <f aca="false">COUNTIF(G:G,Y130)</f>
        <v>#NAME?</v>
      </c>
    </row>
    <row r="131" customFormat="false" ht="13.5" hidden="false" customHeight="false" outlineLevel="0" collapsed="false">
      <c r="A131" s="0" t="s">
        <v>315</v>
      </c>
      <c r="B131" s="0" t="s">
        <v>5806</v>
      </c>
      <c r="C131" s="0" t="n">
        <v>1965</v>
      </c>
      <c r="D131" s="0" t="s">
        <v>5479</v>
      </c>
      <c r="E131" s="0" t="s">
        <v>19</v>
      </c>
      <c r="F131" s="0" t="s">
        <v>31</v>
      </c>
      <c r="G131" s="0" t="s">
        <v>5788</v>
      </c>
      <c r="H131" s="0" t="s">
        <v>5406</v>
      </c>
      <c r="I131" s="0" t="s">
        <v>5709</v>
      </c>
      <c r="J131" s="0" t="n">
        <v>1</v>
      </c>
      <c r="K131" s="0" t="s">
        <v>5519</v>
      </c>
      <c r="L131" s="0" t="n">
        <v>0.05</v>
      </c>
      <c r="M131" s="0" t="n">
        <v>0.7</v>
      </c>
      <c r="N131" s="7" t="s">
        <v>5482</v>
      </c>
      <c r="O131" s="0" t="s">
        <v>2224</v>
      </c>
      <c r="P131" s="0" t="s">
        <v>5535</v>
      </c>
      <c r="Q131" s="0" t="s">
        <v>5489</v>
      </c>
      <c r="R131" s="0" t="s">
        <v>5808</v>
      </c>
      <c r="S131" s="0" t="s">
        <v>5809</v>
      </c>
      <c r="T131" s="0" t="s">
        <v>5436</v>
      </c>
      <c r="U131" s="0" t="s">
        <v>5816</v>
      </c>
      <c r="V131" s="0" t="s">
        <v>5415</v>
      </c>
      <c r="Y131" s="0" t="e">
        <v>#NAME?</v>
      </c>
      <c r="Z131" s="0" t="e">
        <f aca="false">COUNTIF(G:G,Y131)</f>
        <v>#NAME?</v>
      </c>
    </row>
    <row r="132" customFormat="false" ht="13.5" hidden="false" customHeight="false" outlineLevel="0" collapsed="false">
      <c r="A132" s="0" t="s">
        <v>315</v>
      </c>
      <c r="B132" s="0" t="s">
        <v>5806</v>
      </c>
      <c r="C132" s="0" t="n">
        <v>1965</v>
      </c>
      <c r="D132" s="0" t="s">
        <v>5479</v>
      </c>
      <c r="E132" s="0" t="s">
        <v>19</v>
      </c>
      <c r="F132" s="0" t="s">
        <v>31</v>
      </c>
      <c r="G132" s="0" t="s">
        <v>5817</v>
      </c>
      <c r="H132" s="0" t="s">
        <v>5406</v>
      </c>
      <c r="I132" s="0" t="s">
        <v>5556</v>
      </c>
      <c r="J132" s="0" t="n">
        <v>2</v>
      </c>
      <c r="K132" s="0" t="s">
        <v>5519</v>
      </c>
      <c r="L132" s="0" t="n">
        <v>0.05</v>
      </c>
      <c r="M132" s="0" t="n">
        <v>0.7</v>
      </c>
      <c r="N132" s="7" t="s">
        <v>5482</v>
      </c>
      <c r="O132" s="0" t="s">
        <v>2224</v>
      </c>
      <c r="P132" s="0" t="s">
        <v>5535</v>
      </c>
      <c r="Q132" s="0" t="s">
        <v>5489</v>
      </c>
      <c r="R132" s="0" t="s">
        <v>5808</v>
      </c>
      <c r="S132" s="0" t="s">
        <v>5809</v>
      </c>
      <c r="T132" s="0" t="s">
        <v>5436</v>
      </c>
      <c r="U132" s="0" t="s">
        <v>5818</v>
      </c>
      <c r="V132" s="0" t="s">
        <v>5464</v>
      </c>
      <c r="Y132" s="0" t="e">
        <v>#NAME?</v>
      </c>
      <c r="Z132" s="0" t="e">
        <f aca="false">COUNTIF(G:G,Y132)</f>
        <v>#NAME?</v>
      </c>
    </row>
    <row r="133" customFormat="false" ht="13.5" hidden="false" customHeight="false" outlineLevel="0" collapsed="false">
      <c r="A133" s="0" t="s">
        <v>315</v>
      </c>
      <c r="B133" s="0" t="s">
        <v>5806</v>
      </c>
      <c r="C133" s="0" t="n">
        <v>1965</v>
      </c>
      <c r="D133" s="0" t="s">
        <v>5479</v>
      </c>
      <c r="E133" s="0" t="s">
        <v>19</v>
      </c>
      <c r="F133" s="0" t="s">
        <v>31</v>
      </c>
      <c r="G133" s="0" t="s">
        <v>5819</v>
      </c>
      <c r="H133" s="0" t="s">
        <v>5406</v>
      </c>
      <c r="I133" s="0" t="s">
        <v>5556</v>
      </c>
      <c r="J133" s="0" t="n">
        <v>1</v>
      </c>
      <c r="K133" s="0" t="s">
        <v>5519</v>
      </c>
      <c r="L133" s="0" t="n">
        <v>0.05</v>
      </c>
      <c r="M133" s="0" t="n">
        <v>0.7</v>
      </c>
      <c r="N133" s="7" t="s">
        <v>5482</v>
      </c>
      <c r="O133" s="0" t="s">
        <v>2224</v>
      </c>
      <c r="P133" s="0" t="s">
        <v>5535</v>
      </c>
      <c r="Q133" s="0" t="s">
        <v>5489</v>
      </c>
      <c r="R133" s="0" t="s">
        <v>5808</v>
      </c>
      <c r="S133" s="0" t="s">
        <v>5809</v>
      </c>
      <c r="T133" s="0" t="s">
        <v>5436</v>
      </c>
      <c r="U133" s="0" t="s">
        <v>5820</v>
      </c>
      <c r="V133" s="0" t="s">
        <v>5821</v>
      </c>
      <c r="Y133" s="0" t="e">
        <v>#NAME?</v>
      </c>
      <c r="Z133" s="0" t="e">
        <f aca="false">COUNTIF(G:G,Y133)</f>
        <v>#NAME?</v>
      </c>
    </row>
    <row r="134" customFormat="false" ht="13.5" hidden="false" customHeight="false" outlineLevel="0" collapsed="false">
      <c r="A134" s="0" t="s">
        <v>315</v>
      </c>
      <c r="B134" s="0" t="s">
        <v>5806</v>
      </c>
      <c r="C134" s="0" t="n">
        <v>1965</v>
      </c>
      <c r="D134" s="0" t="s">
        <v>5479</v>
      </c>
      <c r="E134" s="0" t="s">
        <v>19</v>
      </c>
      <c r="F134" s="0" t="s">
        <v>31</v>
      </c>
      <c r="G134" s="0" t="s">
        <v>219</v>
      </c>
      <c r="H134" s="0" t="s">
        <v>5418</v>
      </c>
      <c r="I134" s="0" t="s">
        <v>2224</v>
      </c>
      <c r="J134" s="0" t="s">
        <v>2224</v>
      </c>
      <c r="K134" s="0" t="s">
        <v>5822</v>
      </c>
      <c r="L134" s="0" t="n">
        <v>0.05</v>
      </c>
      <c r="M134" s="0" t="n">
        <v>0.6</v>
      </c>
      <c r="N134" s="7" t="s">
        <v>5482</v>
      </c>
      <c r="O134" s="0" t="s">
        <v>2224</v>
      </c>
      <c r="P134" s="0" t="s">
        <v>5535</v>
      </c>
      <c r="Q134" s="0" t="s">
        <v>5489</v>
      </c>
      <c r="R134" s="0" t="s">
        <v>5808</v>
      </c>
      <c r="S134" s="0" t="s">
        <v>5809</v>
      </c>
      <c r="T134" s="0" t="s">
        <v>5436</v>
      </c>
      <c r="U134" s="0" t="s">
        <v>5410</v>
      </c>
      <c r="V134" s="0" t="s">
        <v>5410</v>
      </c>
      <c r="Y134" s="0" t="e">
        <v>#NAME?</v>
      </c>
      <c r="Z134" s="0" t="e">
        <f aca="false">COUNTIF(G:G,Y134)</f>
        <v>#NAME?</v>
      </c>
    </row>
    <row r="135" customFormat="false" ht="13.5" hidden="false" customHeight="false" outlineLevel="0" collapsed="false">
      <c r="A135" s="0" t="s">
        <v>315</v>
      </c>
      <c r="B135" s="0" t="s">
        <v>5806</v>
      </c>
      <c r="C135" s="0" t="n">
        <v>1965</v>
      </c>
      <c r="D135" s="0" t="s">
        <v>5479</v>
      </c>
      <c r="E135" s="0" t="s">
        <v>19</v>
      </c>
      <c r="F135" s="0" t="s">
        <v>31</v>
      </c>
      <c r="G135" s="0" t="s">
        <v>59</v>
      </c>
      <c r="H135" s="0" t="s">
        <v>5418</v>
      </c>
      <c r="I135" s="0" t="s">
        <v>2224</v>
      </c>
      <c r="J135" s="0" t="s">
        <v>2224</v>
      </c>
      <c r="K135" s="0" t="s">
        <v>5822</v>
      </c>
      <c r="L135" s="0" t="n">
        <v>0.05</v>
      </c>
      <c r="M135" s="0" t="n">
        <v>0.6</v>
      </c>
      <c r="N135" s="7" t="s">
        <v>5482</v>
      </c>
      <c r="O135" s="0" t="s">
        <v>2224</v>
      </c>
      <c r="P135" s="0" t="s">
        <v>5535</v>
      </c>
      <c r="Q135" s="0" t="s">
        <v>5489</v>
      </c>
      <c r="R135" s="0" t="s">
        <v>5808</v>
      </c>
      <c r="S135" s="0" t="s">
        <v>5809</v>
      </c>
      <c r="T135" s="0" t="s">
        <v>5436</v>
      </c>
      <c r="U135" s="0" t="s">
        <v>5410</v>
      </c>
      <c r="V135" s="0" t="s">
        <v>5410</v>
      </c>
      <c r="Y135" s="0" t="e">
        <v>#NAME?</v>
      </c>
      <c r="Z135" s="0" t="e">
        <f aca="false">COUNTIF(G:G,Y135)</f>
        <v>#NAME?</v>
      </c>
    </row>
    <row r="136" customFormat="false" ht="13.5" hidden="false" customHeight="false" outlineLevel="0" collapsed="false">
      <c r="A136" s="0" t="s">
        <v>315</v>
      </c>
      <c r="B136" s="0" t="s">
        <v>5806</v>
      </c>
      <c r="C136" s="0" t="n">
        <v>1965</v>
      </c>
      <c r="D136" s="0" t="s">
        <v>5479</v>
      </c>
      <c r="E136" s="0" t="s">
        <v>19</v>
      </c>
      <c r="F136" s="0" t="s">
        <v>31</v>
      </c>
      <c r="G136" s="0" t="s">
        <v>5823</v>
      </c>
      <c r="H136" s="0" t="s">
        <v>5418</v>
      </c>
      <c r="I136" s="0" t="s">
        <v>2224</v>
      </c>
      <c r="J136" s="0" t="s">
        <v>2224</v>
      </c>
      <c r="K136" s="0" t="s">
        <v>5822</v>
      </c>
      <c r="L136" s="0" t="n">
        <v>0.05</v>
      </c>
      <c r="M136" s="0" t="n">
        <v>0.6</v>
      </c>
      <c r="N136" s="7" t="s">
        <v>5482</v>
      </c>
      <c r="O136" s="0" t="s">
        <v>2224</v>
      </c>
      <c r="P136" s="0" t="s">
        <v>5535</v>
      </c>
      <c r="Q136" s="0" t="s">
        <v>5489</v>
      </c>
      <c r="R136" s="0" t="s">
        <v>5808</v>
      </c>
      <c r="S136" s="0" t="s">
        <v>5809</v>
      </c>
      <c r="T136" s="0" t="s">
        <v>5436</v>
      </c>
      <c r="U136" s="0" t="s">
        <v>5410</v>
      </c>
      <c r="V136" s="0" t="s">
        <v>5410</v>
      </c>
      <c r="Y136" s="0" t="e">
        <v>#NAME?</v>
      </c>
      <c r="Z136" s="0" t="e">
        <f aca="false">COUNTIF(G:G,Y136)</f>
        <v>#NAME?</v>
      </c>
    </row>
    <row r="137" customFormat="false" ht="13.5" hidden="false" customHeight="false" outlineLevel="0" collapsed="false">
      <c r="A137" s="0" t="s">
        <v>315</v>
      </c>
      <c r="B137" s="0" t="s">
        <v>5806</v>
      </c>
      <c r="C137" s="0" t="n">
        <v>1965</v>
      </c>
      <c r="D137" s="0" t="s">
        <v>5479</v>
      </c>
      <c r="E137" s="0" t="s">
        <v>19</v>
      </c>
      <c r="F137" s="0" t="s">
        <v>31</v>
      </c>
      <c r="G137" s="0" t="s">
        <v>5824</v>
      </c>
      <c r="H137" s="0" t="s">
        <v>5418</v>
      </c>
      <c r="I137" s="0" t="s">
        <v>2224</v>
      </c>
      <c r="J137" s="0" t="s">
        <v>2224</v>
      </c>
      <c r="K137" s="0" t="s">
        <v>5822</v>
      </c>
      <c r="L137" s="0" t="n">
        <v>0.05</v>
      </c>
      <c r="M137" s="0" t="n">
        <v>0.6</v>
      </c>
      <c r="N137" s="7" t="s">
        <v>5482</v>
      </c>
      <c r="O137" s="0" t="s">
        <v>2224</v>
      </c>
      <c r="P137" s="0" t="s">
        <v>5535</v>
      </c>
      <c r="Q137" s="0" t="s">
        <v>5489</v>
      </c>
      <c r="R137" s="0" t="s">
        <v>5808</v>
      </c>
      <c r="S137" s="0" t="s">
        <v>5809</v>
      </c>
      <c r="T137" s="0" t="s">
        <v>5436</v>
      </c>
      <c r="U137" s="0" t="s">
        <v>5410</v>
      </c>
      <c r="V137" s="0" t="s">
        <v>5410</v>
      </c>
      <c r="Y137" s="0" t="e">
        <v>#NAME?</v>
      </c>
      <c r="Z137" s="0" t="e">
        <f aca="false">COUNTIF(G:G,Y137)</f>
        <v>#NAME?</v>
      </c>
    </row>
    <row r="138" customFormat="false" ht="13.5" hidden="false" customHeight="false" outlineLevel="0" collapsed="false">
      <c r="A138" s="0" t="s">
        <v>315</v>
      </c>
      <c r="B138" s="0" t="s">
        <v>5806</v>
      </c>
      <c r="C138" s="0" t="n">
        <v>1965</v>
      </c>
      <c r="D138" s="0" t="s">
        <v>5479</v>
      </c>
      <c r="E138" s="0" t="s">
        <v>19</v>
      </c>
      <c r="F138" s="0" t="s">
        <v>31</v>
      </c>
      <c r="G138" s="0" t="s">
        <v>510</v>
      </c>
      <c r="H138" s="0" t="s">
        <v>5418</v>
      </c>
      <c r="I138" s="0" t="s">
        <v>2224</v>
      </c>
      <c r="J138" s="0" t="s">
        <v>2224</v>
      </c>
      <c r="K138" s="0" t="s">
        <v>5822</v>
      </c>
      <c r="L138" s="0" t="n">
        <v>0.05</v>
      </c>
      <c r="M138" s="0" t="n">
        <v>0.6</v>
      </c>
      <c r="N138" s="7" t="s">
        <v>5482</v>
      </c>
      <c r="O138" s="0" t="s">
        <v>2224</v>
      </c>
      <c r="P138" s="0" t="s">
        <v>5535</v>
      </c>
      <c r="Q138" s="0" t="s">
        <v>5489</v>
      </c>
      <c r="R138" s="0" t="s">
        <v>5808</v>
      </c>
      <c r="S138" s="0" t="s">
        <v>5809</v>
      </c>
      <c r="T138" s="0" t="s">
        <v>5436</v>
      </c>
      <c r="U138" s="0" t="s">
        <v>5410</v>
      </c>
      <c r="V138" s="0" t="s">
        <v>5410</v>
      </c>
      <c r="Y138" s="0" t="e">
        <v>#NAME?</v>
      </c>
      <c r="Z138" s="0" t="e">
        <f aca="false">COUNTIF(G:G,Y138)</f>
        <v>#NAME?</v>
      </c>
    </row>
    <row r="139" customFormat="false" ht="13.5" hidden="false" customHeight="false" outlineLevel="0" collapsed="false">
      <c r="A139" s="0" t="s">
        <v>315</v>
      </c>
      <c r="B139" s="0" t="s">
        <v>5806</v>
      </c>
      <c r="C139" s="0" t="n">
        <v>1965</v>
      </c>
      <c r="D139" s="0" t="s">
        <v>5479</v>
      </c>
      <c r="E139" s="0" t="s">
        <v>19</v>
      </c>
      <c r="F139" s="0" t="s">
        <v>31</v>
      </c>
      <c r="G139" s="0" t="s">
        <v>241</v>
      </c>
      <c r="H139" s="0" t="s">
        <v>5418</v>
      </c>
      <c r="I139" s="0" t="s">
        <v>2224</v>
      </c>
      <c r="J139" s="0" t="s">
        <v>2224</v>
      </c>
      <c r="K139" s="0" t="s">
        <v>5822</v>
      </c>
      <c r="L139" s="0" t="n">
        <v>0.05</v>
      </c>
      <c r="M139" s="0" t="n">
        <v>0.6</v>
      </c>
      <c r="N139" s="7" t="s">
        <v>5482</v>
      </c>
      <c r="O139" s="0" t="s">
        <v>2224</v>
      </c>
      <c r="P139" s="0" t="s">
        <v>5535</v>
      </c>
      <c r="Q139" s="0" t="s">
        <v>5489</v>
      </c>
      <c r="R139" s="0" t="s">
        <v>5808</v>
      </c>
      <c r="S139" s="0" t="s">
        <v>5809</v>
      </c>
      <c r="T139" s="0" t="s">
        <v>5436</v>
      </c>
      <c r="U139" s="0" t="s">
        <v>5410</v>
      </c>
      <c r="V139" s="0" t="s">
        <v>5410</v>
      </c>
      <c r="Y139" s="0" t="e">
        <v>#NAME?</v>
      </c>
      <c r="Z139" s="0" t="e">
        <f aca="false">COUNTIF(G:G,Y139)</f>
        <v>#NAME?</v>
      </c>
    </row>
    <row r="140" customFormat="false" ht="13.5" hidden="false" customHeight="false" outlineLevel="0" collapsed="false">
      <c r="A140" s="0" t="s">
        <v>315</v>
      </c>
      <c r="B140" s="0" t="s">
        <v>5806</v>
      </c>
      <c r="C140" s="0" t="n">
        <v>1965</v>
      </c>
      <c r="D140" s="0" t="s">
        <v>5479</v>
      </c>
      <c r="E140" s="0" t="s">
        <v>19</v>
      </c>
      <c r="F140" s="0" t="s">
        <v>31</v>
      </c>
      <c r="G140" s="0" t="s">
        <v>56</v>
      </c>
      <c r="H140" s="0" t="s">
        <v>5418</v>
      </c>
      <c r="I140" s="0" t="s">
        <v>2224</v>
      </c>
      <c r="J140" s="0" t="s">
        <v>2224</v>
      </c>
      <c r="K140" s="0" t="s">
        <v>5822</v>
      </c>
      <c r="L140" s="0" t="n">
        <v>0.05</v>
      </c>
      <c r="M140" s="0" t="n">
        <v>0.6</v>
      </c>
      <c r="N140" s="7" t="s">
        <v>5482</v>
      </c>
      <c r="O140" s="0" t="s">
        <v>2224</v>
      </c>
      <c r="P140" s="0" t="s">
        <v>5535</v>
      </c>
      <c r="Q140" s="0" t="s">
        <v>5489</v>
      </c>
      <c r="R140" s="0" t="s">
        <v>5808</v>
      </c>
      <c r="S140" s="0" t="s">
        <v>5809</v>
      </c>
      <c r="T140" s="0" t="s">
        <v>5436</v>
      </c>
      <c r="U140" s="0" t="s">
        <v>5410</v>
      </c>
      <c r="V140" s="0" t="s">
        <v>5410</v>
      </c>
      <c r="Y140" s="0" t="e">
        <v>#NAME?</v>
      </c>
      <c r="Z140" s="0" t="e">
        <f aca="false">COUNTIF(G:G,Y140)</f>
        <v>#NAME?</v>
      </c>
    </row>
    <row r="141" customFormat="false" ht="13.5" hidden="false" customHeight="false" outlineLevel="0" collapsed="false">
      <c r="A141" s="0" t="s">
        <v>315</v>
      </c>
      <c r="B141" s="0" t="s">
        <v>5806</v>
      </c>
      <c r="C141" s="0" t="n">
        <v>1965</v>
      </c>
      <c r="D141" s="0" t="s">
        <v>5479</v>
      </c>
      <c r="E141" s="0" t="s">
        <v>19</v>
      </c>
      <c r="F141" s="0" t="s">
        <v>31</v>
      </c>
      <c r="G141" s="0" t="s">
        <v>5677</v>
      </c>
      <c r="H141" s="0" t="s">
        <v>5418</v>
      </c>
      <c r="I141" s="0" t="s">
        <v>2224</v>
      </c>
      <c r="J141" s="0" t="s">
        <v>2224</v>
      </c>
      <c r="K141" s="0" t="s">
        <v>5822</v>
      </c>
      <c r="L141" s="0" t="n">
        <v>0.05</v>
      </c>
      <c r="M141" s="0" t="n">
        <v>0.6</v>
      </c>
      <c r="N141" s="7" t="s">
        <v>5482</v>
      </c>
      <c r="O141" s="0" t="s">
        <v>2224</v>
      </c>
      <c r="P141" s="0" t="s">
        <v>5535</v>
      </c>
      <c r="Q141" s="0" t="s">
        <v>5489</v>
      </c>
      <c r="R141" s="0" t="s">
        <v>5808</v>
      </c>
      <c r="S141" s="0" t="s">
        <v>5809</v>
      </c>
      <c r="T141" s="0" t="s">
        <v>5436</v>
      </c>
      <c r="U141" s="0" t="s">
        <v>5410</v>
      </c>
      <c r="V141" s="0" t="s">
        <v>5410</v>
      </c>
      <c r="Y141" s="0" t="e">
        <v>#NAME?</v>
      </c>
      <c r="Z141" s="0" t="e">
        <f aca="false">COUNTIF(G:G,Y141)</f>
        <v>#NAME?</v>
      </c>
    </row>
    <row r="142" customFormat="false" ht="13.5" hidden="false" customHeight="false" outlineLevel="0" collapsed="false">
      <c r="A142" s="0" t="s">
        <v>315</v>
      </c>
      <c r="B142" s="0" t="s">
        <v>5806</v>
      </c>
      <c r="C142" s="0" t="n">
        <v>1965</v>
      </c>
      <c r="D142" s="0" t="s">
        <v>5479</v>
      </c>
      <c r="E142" s="0" t="s">
        <v>19</v>
      </c>
      <c r="F142" s="0" t="s">
        <v>31</v>
      </c>
      <c r="G142" s="0" t="s">
        <v>32</v>
      </c>
      <c r="H142" s="0" t="s">
        <v>5418</v>
      </c>
      <c r="I142" s="0" t="s">
        <v>2224</v>
      </c>
      <c r="J142" s="0" t="s">
        <v>2224</v>
      </c>
      <c r="K142" s="0" t="s">
        <v>5822</v>
      </c>
      <c r="L142" s="0" t="n">
        <v>0.05</v>
      </c>
      <c r="M142" s="0" t="n">
        <v>0.6</v>
      </c>
      <c r="N142" s="7" t="s">
        <v>5482</v>
      </c>
      <c r="O142" s="0" t="s">
        <v>2224</v>
      </c>
      <c r="P142" s="0" t="s">
        <v>5535</v>
      </c>
      <c r="Q142" s="0" t="s">
        <v>5489</v>
      </c>
      <c r="R142" s="0" t="s">
        <v>5808</v>
      </c>
      <c r="S142" s="0" t="s">
        <v>5809</v>
      </c>
      <c r="T142" s="0" t="s">
        <v>5436</v>
      </c>
      <c r="U142" s="0" t="s">
        <v>5410</v>
      </c>
      <c r="V142" s="0" t="s">
        <v>5410</v>
      </c>
      <c r="Y142" s="0" t="e">
        <v>#NAME?</v>
      </c>
      <c r="Z142" s="0" t="e">
        <f aca="false">COUNTIF(G:G,Y142)</f>
        <v>#NAME?</v>
      </c>
    </row>
    <row r="143" customFormat="false" ht="13.5" hidden="false" customHeight="false" outlineLevel="0" collapsed="false">
      <c r="A143" s="0" t="s">
        <v>315</v>
      </c>
      <c r="B143" s="0" t="s">
        <v>5806</v>
      </c>
      <c r="C143" s="0" t="n">
        <v>1965</v>
      </c>
      <c r="D143" s="0" t="s">
        <v>5479</v>
      </c>
      <c r="E143" s="0" t="s">
        <v>19</v>
      </c>
      <c r="F143" s="0" t="s">
        <v>31</v>
      </c>
      <c r="G143" s="0" t="s">
        <v>410</v>
      </c>
      <c r="H143" s="0" t="s">
        <v>5418</v>
      </c>
      <c r="I143" s="0" t="s">
        <v>2224</v>
      </c>
      <c r="J143" s="0" t="s">
        <v>2224</v>
      </c>
      <c r="K143" s="0" t="s">
        <v>5822</v>
      </c>
      <c r="L143" s="0" t="n">
        <v>0.05</v>
      </c>
      <c r="M143" s="0" t="n">
        <v>0.6</v>
      </c>
      <c r="N143" s="7" t="s">
        <v>5482</v>
      </c>
      <c r="O143" s="0" t="s">
        <v>2224</v>
      </c>
      <c r="P143" s="0" t="s">
        <v>5535</v>
      </c>
      <c r="Q143" s="0" t="s">
        <v>5489</v>
      </c>
      <c r="R143" s="0" t="s">
        <v>5808</v>
      </c>
      <c r="S143" s="0" t="s">
        <v>5809</v>
      </c>
      <c r="T143" s="0" t="s">
        <v>5436</v>
      </c>
      <c r="U143" s="0" t="s">
        <v>5410</v>
      </c>
      <c r="V143" s="0" t="s">
        <v>5410</v>
      </c>
      <c r="Y143" s="0" t="e">
        <v>#NAME?</v>
      </c>
      <c r="Z143" s="0" t="e">
        <f aca="false">COUNTIF(G:G,Y143)</f>
        <v>#NAME?</v>
      </c>
    </row>
    <row r="144" customFormat="false" ht="13.5" hidden="false" customHeight="false" outlineLevel="0" collapsed="false">
      <c r="A144" s="0" t="s">
        <v>318</v>
      </c>
      <c r="B144" s="0" t="s">
        <v>5524</v>
      </c>
      <c r="C144" s="0" t="n">
        <v>2012</v>
      </c>
      <c r="D144" s="0" t="s">
        <v>5479</v>
      </c>
      <c r="E144" s="0" t="s">
        <v>19</v>
      </c>
      <c r="F144" s="0" t="s">
        <v>31</v>
      </c>
      <c r="G144" s="0" t="s">
        <v>47</v>
      </c>
      <c r="H144" s="0" t="s">
        <v>5406</v>
      </c>
      <c r="I144" s="0" t="s">
        <v>5407</v>
      </c>
      <c r="J144" s="0" t="n">
        <v>2</v>
      </c>
      <c r="K144" s="0" t="s">
        <v>5429</v>
      </c>
      <c r="L144" s="0" t="n">
        <v>50</v>
      </c>
      <c r="M144" s="0" t="n">
        <v>200</v>
      </c>
      <c r="N144" s="7" t="s">
        <v>5430</v>
      </c>
      <c r="O144" s="0" t="s">
        <v>5431</v>
      </c>
      <c r="P144" s="0" t="s">
        <v>5825</v>
      </c>
      <c r="Q144" s="0" t="s">
        <v>5433</v>
      </c>
      <c r="R144" s="0" t="s">
        <v>5434</v>
      </c>
      <c r="S144" s="0" t="s">
        <v>5826</v>
      </c>
      <c r="T144" s="0" t="s">
        <v>5413</v>
      </c>
      <c r="U144" s="0" t="s">
        <v>5827</v>
      </c>
      <c r="V144" s="0" t="s">
        <v>5599</v>
      </c>
      <c r="Y144" s="0" t="e">
        <v>#NAME?</v>
      </c>
      <c r="Z144" s="0" t="e">
        <f aca="false">COUNTIF(G:G,Y144)</f>
        <v>#NAME?</v>
      </c>
    </row>
    <row r="145" customFormat="false" ht="13.5" hidden="false" customHeight="false" outlineLevel="0" collapsed="false">
      <c r="A145" s="0" t="s">
        <v>319</v>
      </c>
      <c r="B145" s="0" t="s">
        <v>5828</v>
      </c>
      <c r="C145" s="0" t="n">
        <v>2013</v>
      </c>
      <c r="D145" s="0" t="s">
        <v>5606</v>
      </c>
      <c r="E145" s="0" t="s">
        <v>19</v>
      </c>
      <c r="F145" s="0" t="s">
        <v>31</v>
      </c>
      <c r="G145" s="0" t="s">
        <v>150</v>
      </c>
      <c r="H145" s="0" t="s">
        <v>5406</v>
      </c>
      <c r="I145" s="0" t="s">
        <v>2224</v>
      </c>
      <c r="J145" s="0" t="n">
        <v>2</v>
      </c>
      <c r="K145" s="0" t="s">
        <v>5477</v>
      </c>
      <c r="L145" s="0" t="n">
        <v>50</v>
      </c>
      <c r="M145" s="0" t="n">
        <v>50</v>
      </c>
      <c r="N145" s="7" t="s">
        <v>5430</v>
      </c>
      <c r="O145" s="0" t="s">
        <v>5461</v>
      </c>
      <c r="P145" s="0" t="s">
        <v>5432</v>
      </c>
      <c r="Q145" s="0" t="s">
        <v>5433</v>
      </c>
      <c r="R145" s="0" t="s">
        <v>5829</v>
      </c>
      <c r="S145" s="0" t="s">
        <v>5423</v>
      </c>
      <c r="T145" s="0" t="s">
        <v>5410</v>
      </c>
      <c r="U145" s="0" t="s">
        <v>5410</v>
      </c>
      <c r="V145" s="0" t="s">
        <v>5410</v>
      </c>
      <c r="Y145" s="0" t="e">
        <v>#NAME?</v>
      </c>
      <c r="Z145" s="0" t="e">
        <f aca="false">COUNTIF(G:G,Y145)</f>
        <v>#NAME?</v>
      </c>
    </row>
    <row r="146" customFormat="false" ht="13.5" hidden="false" customHeight="false" outlineLevel="0" collapsed="false">
      <c r="A146" s="0" t="s">
        <v>321</v>
      </c>
      <c r="B146" s="0" t="s">
        <v>5830</v>
      </c>
      <c r="C146" s="0" t="n">
        <v>1990</v>
      </c>
      <c r="D146" s="0" t="s">
        <v>5515</v>
      </c>
      <c r="E146" s="0" t="s">
        <v>19</v>
      </c>
      <c r="F146" s="0" t="s">
        <v>31</v>
      </c>
      <c r="G146" s="0" t="s">
        <v>32</v>
      </c>
      <c r="H146" s="0" t="s">
        <v>5406</v>
      </c>
      <c r="I146" s="0" t="s">
        <v>5831</v>
      </c>
      <c r="J146" s="0" t="n">
        <v>2</v>
      </c>
      <c r="K146" s="0" t="s">
        <v>5587</v>
      </c>
      <c r="L146" s="0" t="n">
        <v>2.5</v>
      </c>
      <c r="M146" s="0" t="n">
        <v>100</v>
      </c>
      <c r="N146" s="7" t="s">
        <v>5430</v>
      </c>
      <c r="O146" s="0" t="s">
        <v>5487</v>
      </c>
      <c r="P146" s="0" t="s">
        <v>5735</v>
      </c>
      <c r="Q146" s="0" t="s">
        <v>5489</v>
      </c>
      <c r="R146" s="0" t="s">
        <v>5832</v>
      </c>
      <c r="S146" s="0" t="s">
        <v>5684</v>
      </c>
      <c r="T146" s="0" t="s">
        <v>5413</v>
      </c>
      <c r="U146" s="0" t="s">
        <v>5833</v>
      </c>
      <c r="V146" s="0" t="s">
        <v>5426</v>
      </c>
      <c r="Y146" s="0" t="e">
        <v>#NAME?</v>
      </c>
      <c r="Z146" s="0" t="e">
        <f aca="false">COUNTIF(G:G,Y146)</f>
        <v>#NAME?</v>
      </c>
    </row>
    <row r="147" customFormat="false" ht="13.5" hidden="false" customHeight="false" outlineLevel="0" collapsed="false">
      <c r="A147" s="0" t="s">
        <v>323</v>
      </c>
      <c r="B147" s="0" t="s">
        <v>5834</v>
      </c>
      <c r="C147" s="0" t="n">
        <v>2003</v>
      </c>
      <c r="D147" s="0" t="s">
        <v>5515</v>
      </c>
      <c r="E147" s="0" t="s">
        <v>19</v>
      </c>
      <c r="F147" s="0" t="s">
        <v>31</v>
      </c>
      <c r="G147" s="0" t="s">
        <v>12</v>
      </c>
      <c r="H147" s="0" t="s">
        <v>5406</v>
      </c>
      <c r="I147" s="0" t="s">
        <v>5407</v>
      </c>
      <c r="J147" s="0" t="n">
        <v>1</v>
      </c>
      <c r="K147" s="0" t="s">
        <v>5441</v>
      </c>
      <c r="L147" s="0" t="n">
        <v>5</v>
      </c>
      <c r="M147" s="0" t="n">
        <v>50</v>
      </c>
      <c r="N147" s="7" t="s">
        <v>5430</v>
      </c>
      <c r="O147" s="0" t="s">
        <v>5835</v>
      </c>
      <c r="P147" s="0" t="s">
        <v>5462</v>
      </c>
      <c r="Q147" s="0" t="s">
        <v>5433</v>
      </c>
      <c r="R147" s="0" t="s">
        <v>5564</v>
      </c>
      <c r="S147" s="0" t="s">
        <v>5497</v>
      </c>
      <c r="T147" s="0" t="s">
        <v>5413</v>
      </c>
      <c r="U147" s="0" t="s">
        <v>5836</v>
      </c>
      <c r="V147" s="0" t="s">
        <v>5415</v>
      </c>
      <c r="Y147" s="0" t="e">
        <v>#NAME?</v>
      </c>
      <c r="Z147" s="0" t="e">
        <f aca="false">COUNTIF(G:G,Y147)</f>
        <v>#NAME?</v>
      </c>
    </row>
    <row r="148" customFormat="false" ht="13.5" hidden="false" customHeight="false" outlineLevel="0" collapsed="false">
      <c r="A148" s="0" t="s">
        <v>325</v>
      </c>
      <c r="B148" s="0" t="s">
        <v>5837</v>
      </c>
      <c r="C148" s="0" t="n">
        <v>2016</v>
      </c>
      <c r="D148" s="0" t="s">
        <v>5838</v>
      </c>
      <c r="E148" s="0" t="s">
        <v>19</v>
      </c>
      <c r="F148" s="0" t="s">
        <v>31</v>
      </c>
      <c r="G148" s="0" t="s">
        <v>5839</v>
      </c>
      <c r="H148" s="0" t="s">
        <v>5418</v>
      </c>
      <c r="I148" s="0" t="s">
        <v>5407</v>
      </c>
      <c r="J148" s="0" t="n">
        <v>2</v>
      </c>
      <c r="K148" s="0" t="s">
        <v>5429</v>
      </c>
      <c r="L148" s="0" t="n">
        <v>10</v>
      </c>
      <c r="M148" s="0" t="n">
        <v>80</v>
      </c>
      <c r="N148" s="7" t="s">
        <v>5430</v>
      </c>
      <c r="O148" s="0" t="s">
        <v>2224</v>
      </c>
      <c r="P148" s="0" t="s">
        <v>5432</v>
      </c>
      <c r="Q148" s="0" t="s">
        <v>5433</v>
      </c>
      <c r="R148" s="0" t="s">
        <v>5840</v>
      </c>
      <c r="S148" s="0" t="s">
        <v>5721</v>
      </c>
      <c r="T148" s="0" t="s">
        <v>5436</v>
      </c>
      <c r="U148" s="0" t="s">
        <v>5841</v>
      </c>
      <c r="V148" s="0" t="s">
        <v>5415</v>
      </c>
      <c r="Y148" s="0" t="e">
        <v>#NAME?</v>
      </c>
      <c r="Z148" s="0" t="e">
        <f aca="false">COUNTIF(G:G,Y148)</f>
        <v>#NAME?</v>
      </c>
    </row>
    <row r="149" customFormat="false" ht="13.5" hidden="false" customHeight="false" outlineLevel="0" collapsed="false">
      <c r="A149" s="0" t="s">
        <v>328</v>
      </c>
      <c r="B149" s="0" t="s">
        <v>5842</v>
      </c>
      <c r="C149" s="0" t="n">
        <v>2006</v>
      </c>
      <c r="D149" s="0" t="s">
        <v>5843</v>
      </c>
      <c r="E149" s="0" t="s">
        <v>19</v>
      </c>
      <c r="F149" s="0" t="s">
        <v>31</v>
      </c>
      <c r="G149" s="0" t="s">
        <v>5642</v>
      </c>
      <c r="H149" s="0" t="s">
        <v>5406</v>
      </c>
      <c r="I149" s="0" t="s">
        <v>5407</v>
      </c>
      <c r="J149" s="0" t="n">
        <v>2</v>
      </c>
      <c r="K149" s="0" t="s">
        <v>5441</v>
      </c>
      <c r="L149" s="0" t="n">
        <v>50</v>
      </c>
      <c r="M149" s="0" t="n">
        <v>50</v>
      </c>
      <c r="N149" s="7" t="s">
        <v>5430</v>
      </c>
      <c r="O149" s="0" t="s">
        <v>5461</v>
      </c>
      <c r="P149" s="0" t="s">
        <v>5462</v>
      </c>
      <c r="Q149" s="0" t="s">
        <v>5433</v>
      </c>
      <c r="R149" s="0" t="s">
        <v>5596</v>
      </c>
      <c r="S149" s="0" t="s">
        <v>5435</v>
      </c>
      <c r="T149" s="0" t="s">
        <v>5413</v>
      </c>
      <c r="U149" s="0" t="s">
        <v>5844</v>
      </c>
      <c r="V149" s="0" t="s">
        <v>5415</v>
      </c>
      <c r="Y149" s="0" t="e">
        <v>#NAME?</v>
      </c>
      <c r="Z149" s="0" t="e">
        <f aca="false">COUNTIF(G:G,Y149)</f>
        <v>#NAME?</v>
      </c>
    </row>
    <row r="150" customFormat="false" ht="13.5" hidden="false" customHeight="false" outlineLevel="0" collapsed="false">
      <c r="A150" s="0" t="s">
        <v>330</v>
      </c>
      <c r="B150" s="0" t="s">
        <v>5845</v>
      </c>
      <c r="C150" s="0" t="n">
        <v>2010</v>
      </c>
      <c r="D150" s="0" t="s">
        <v>5479</v>
      </c>
      <c r="E150" s="0" t="s">
        <v>19</v>
      </c>
      <c r="F150" s="0" t="s">
        <v>31</v>
      </c>
      <c r="G150" s="0" t="s">
        <v>122</v>
      </c>
      <c r="H150" s="0" t="s">
        <v>5406</v>
      </c>
      <c r="I150" s="0" t="s">
        <v>5407</v>
      </c>
      <c r="J150" s="0" t="n">
        <v>2</v>
      </c>
      <c r="K150" s="0" t="s">
        <v>5695</v>
      </c>
      <c r="L150" s="0" t="n">
        <v>3</v>
      </c>
      <c r="M150" s="0" t="n">
        <v>50</v>
      </c>
      <c r="N150" s="7" t="s">
        <v>5430</v>
      </c>
      <c r="O150" s="0" t="s">
        <v>5431</v>
      </c>
      <c r="P150" s="0" t="s">
        <v>5432</v>
      </c>
      <c r="Q150" s="0" t="s">
        <v>5433</v>
      </c>
      <c r="R150" s="0" t="s">
        <v>5846</v>
      </c>
      <c r="S150" s="0" t="s">
        <v>5435</v>
      </c>
      <c r="T150" s="0" t="s">
        <v>5413</v>
      </c>
      <c r="U150" s="0" t="s">
        <v>5847</v>
      </c>
      <c r="V150" s="0" t="s">
        <v>5415</v>
      </c>
      <c r="Y150" s="0" t="e">
        <v>#NAME?</v>
      </c>
      <c r="Z150" s="0" t="e">
        <f aca="false">COUNTIF(G:G,Y150)</f>
        <v>#NAME?</v>
      </c>
    </row>
    <row r="151" customFormat="false" ht="13.5" hidden="false" customHeight="false" outlineLevel="0" collapsed="false">
      <c r="A151" s="0" t="s">
        <v>332</v>
      </c>
      <c r="B151" s="0" t="s">
        <v>5848</v>
      </c>
      <c r="C151" s="0" t="n">
        <v>1985</v>
      </c>
      <c r="D151" s="0" t="s">
        <v>5479</v>
      </c>
      <c r="E151" s="0" t="s">
        <v>19</v>
      </c>
      <c r="F151" s="0" t="s">
        <v>31</v>
      </c>
      <c r="G151" s="0" t="s">
        <v>47</v>
      </c>
      <c r="H151" s="0" t="s">
        <v>5406</v>
      </c>
      <c r="I151" s="0" t="s">
        <v>5831</v>
      </c>
      <c r="J151" s="0" t="n">
        <v>4</v>
      </c>
      <c r="K151" s="0" t="s">
        <v>5587</v>
      </c>
      <c r="L151" s="0" t="n">
        <v>5</v>
      </c>
      <c r="M151" s="0" t="n">
        <v>150</v>
      </c>
      <c r="N151" s="7" t="s">
        <v>5430</v>
      </c>
      <c r="O151" s="0" t="s">
        <v>5461</v>
      </c>
      <c r="P151" s="0" t="s">
        <v>5735</v>
      </c>
      <c r="Q151" s="0" t="s">
        <v>5433</v>
      </c>
      <c r="R151" s="0" t="s">
        <v>5832</v>
      </c>
      <c r="S151" s="0" t="s">
        <v>5472</v>
      </c>
      <c r="T151" s="0" t="s">
        <v>5413</v>
      </c>
      <c r="U151" s="0" t="s">
        <v>5849</v>
      </c>
      <c r="V151" s="0" t="s">
        <v>5464</v>
      </c>
      <c r="Y151" s="0" t="e">
        <v>#NAME?</v>
      </c>
      <c r="Z151" s="0" t="e">
        <f aca="false">COUNTIF(G:G,Y151)</f>
        <v>#NAME?</v>
      </c>
    </row>
    <row r="152" customFormat="false" ht="13.5" hidden="false" customHeight="false" outlineLevel="0" collapsed="false">
      <c r="A152" s="0" t="s">
        <v>334</v>
      </c>
      <c r="B152" s="0" t="s">
        <v>5850</v>
      </c>
      <c r="C152" s="0" t="n">
        <v>2009</v>
      </c>
      <c r="D152" s="0" t="s">
        <v>5459</v>
      </c>
      <c r="E152" s="0" t="s">
        <v>19</v>
      </c>
      <c r="F152" s="0" t="s">
        <v>31</v>
      </c>
      <c r="G152" s="0" t="s">
        <v>47</v>
      </c>
      <c r="H152" s="0" t="s">
        <v>5406</v>
      </c>
      <c r="I152" s="0" t="s">
        <v>5407</v>
      </c>
      <c r="J152" s="0" t="n">
        <v>2</v>
      </c>
      <c r="K152" s="0" t="s">
        <v>5851</v>
      </c>
      <c r="L152" s="0" t="n">
        <v>26</v>
      </c>
      <c r="M152" s="0" t="n">
        <v>72</v>
      </c>
      <c r="N152" s="7" t="s">
        <v>5430</v>
      </c>
      <c r="O152" s="0" t="s">
        <v>5431</v>
      </c>
      <c r="P152" s="0" t="s">
        <v>5852</v>
      </c>
      <c r="Q152" s="0" t="s">
        <v>5433</v>
      </c>
      <c r="R152" s="0" t="s">
        <v>5496</v>
      </c>
      <c r="S152" s="0" t="s">
        <v>5472</v>
      </c>
      <c r="T152" s="0" t="s">
        <v>5413</v>
      </c>
      <c r="U152" s="0" t="s">
        <v>5849</v>
      </c>
      <c r="V152" s="0" t="s">
        <v>5464</v>
      </c>
      <c r="Y152" s="0" t="e">
        <v>#NAME?</v>
      </c>
      <c r="Z152" s="0" t="e">
        <f aca="false">COUNTIF(G:G,Y152)</f>
        <v>#NAME?</v>
      </c>
    </row>
    <row r="153" customFormat="false" ht="13.5" hidden="false" customHeight="false" outlineLevel="0" collapsed="false">
      <c r="A153" s="0" t="s">
        <v>336</v>
      </c>
      <c r="B153" s="0" t="s">
        <v>5853</v>
      </c>
      <c r="C153" s="0" t="n">
        <v>1996</v>
      </c>
      <c r="D153" s="0" t="s">
        <v>5479</v>
      </c>
      <c r="E153" s="0" t="s">
        <v>19</v>
      </c>
      <c r="F153" s="0" t="s">
        <v>31</v>
      </c>
      <c r="G153" s="0" t="s">
        <v>32</v>
      </c>
      <c r="H153" s="0" t="s">
        <v>5418</v>
      </c>
      <c r="I153" s="0" t="s">
        <v>5407</v>
      </c>
      <c r="J153" s="0" t="n">
        <v>2</v>
      </c>
      <c r="K153" s="0" t="s">
        <v>5854</v>
      </c>
      <c r="L153" s="0" t="n">
        <v>25</v>
      </c>
      <c r="M153" s="0" t="n">
        <v>50</v>
      </c>
      <c r="N153" s="7" t="s">
        <v>5430</v>
      </c>
      <c r="O153" s="0" t="s">
        <v>5487</v>
      </c>
      <c r="P153" s="0" t="s">
        <v>5535</v>
      </c>
      <c r="Q153" s="0" t="s">
        <v>5489</v>
      </c>
      <c r="R153" s="0" t="s">
        <v>5855</v>
      </c>
      <c r="S153" s="0" t="s">
        <v>5684</v>
      </c>
      <c r="T153" s="0" t="s">
        <v>5413</v>
      </c>
      <c r="U153" s="0" t="s">
        <v>5856</v>
      </c>
      <c r="V153" s="0" t="s">
        <v>5426</v>
      </c>
      <c r="Y153" s="0" t="e">
        <v>#NAME?</v>
      </c>
      <c r="Z153" s="0" t="e">
        <f aca="false">COUNTIF(G:G,Y153)</f>
        <v>#NAME?</v>
      </c>
    </row>
    <row r="154" customFormat="false" ht="13.5" hidden="false" customHeight="false" outlineLevel="0" collapsed="false">
      <c r="A154" s="0" t="s">
        <v>338</v>
      </c>
      <c r="B154" s="0" t="s">
        <v>5857</v>
      </c>
      <c r="C154" s="0" t="n">
        <v>2017</v>
      </c>
      <c r="D154" s="0" t="s">
        <v>5858</v>
      </c>
      <c r="E154" s="0" t="s">
        <v>19</v>
      </c>
      <c r="F154" s="0" t="s">
        <v>31</v>
      </c>
      <c r="G154" s="0" t="s">
        <v>98</v>
      </c>
      <c r="H154" s="0" t="s">
        <v>5406</v>
      </c>
      <c r="I154" s="0" t="s">
        <v>5407</v>
      </c>
      <c r="J154" s="0" t="n">
        <v>2</v>
      </c>
      <c r="K154" s="0" t="s">
        <v>5477</v>
      </c>
      <c r="L154" s="0" t="n">
        <v>15</v>
      </c>
      <c r="M154" s="0" t="n">
        <v>110</v>
      </c>
      <c r="N154" s="7" t="s">
        <v>5430</v>
      </c>
      <c r="O154" s="0" t="s">
        <v>5461</v>
      </c>
      <c r="P154" s="0" t="s">
        <v>5432</v>
      </c>
      <c r="Q154" s="0" t="s">
        <v>5433</v>
      </c>
      <c r="R154" s="0" t="s">
        <v>5859</v>
      </c>
      <c r="S154" s="0" t="s">
        <v>5679</v>
      </c>
      <c r="T154" s="0" t="s">
        <v>5436</v>
      </c>
      <c r="U154" s="0" t="s">
        <v>5860</v>
      </c>
      <c r="V154" s="0" t="s">
        <v>5426</v>
      </c>
      <c r="Y154" s="0" t="e">
        <v>#NAME?</v>
      </c>
      <c r="Z154" s="0" t="e">
        <f aca="false">COUNTIF(G:G,Y154)</f>
        <v>#NAME?</v>
      </c>
    </row>
    <row r="155" customFormat="false" ht="13.5" hidden="false" customHeight="false" outlineLevel="0" collapsed="false">
      <c r="A155" s="0" t="s">
        <v>340</v>
      </c>
      <c r="B155" s="0" t="s">
        <v>5861</v>
      </c>
      <c r="C155" s="0" t="n">
        <v>2009</v>
      </c>
      <c r="D155" s="0" t="s">
        <v>5417</v>
      </c>
      <c r="E155" s="0" t="s">
        <v>19</v>
      </c>
      <c r="F155" s="0" t="s">
        <v>31</v>
      </c>
      <c r="G155" s="0" t="s">
        <v>5862</v>
      </c>
      <c r="H155" s="0" t="s">
        <v>5406</v>
      </c>
      <c r="I155" s="0" t="s">
        <v>5407</v>
      </c>
      <c r="J155" s="0" t="n">
        <v>1</v>
      </c>
      <c r="K155" s="0" t="s">
        <v>5863</v>
      </c>
      <c r="L155" s="0" t="n">
        <v>70</v>
      </c>
      <c r="M155" s="0" t="n">
        <v>80</v>
      </c>
      <c r="N155" s="7" t="s">
        <v>5430</v>
      </c>
      <c r="O155" s="0" t="s">
        <v>2224</v>
      </c>
      <c r="P155" s="0" t="s">
        <v>5864</v>
      </c>
      <c r="Q155" s="0" t="s">
        <v>5433</v>
      </c>
      <c r="R155" s="0" t="s">
        <v>5865</v>
      </c>
      <c r="S155" s="0" t="s">
        <v>5423</v>
      </c>
      <c r="T155" s="0" t="s">
        <v>5689</v>
      </c>
      <c r="U155" s="0" t="s">
        <v>5866</v>
      </c>
      <c r="V155" s="0" t="s">
        <v>5426</v>
      </c>
      <c r="Y155" s="0" t="e">
        <v>#NAME?</v>
      </c>
      <c r="Z155" s="0" t="e">
        <f aca="false">COUNTIF(G:G,Y155)</f>
        <v>#NAME?</v>
      </c>
    </row>
    <row r="156" customFormat="false" ht="13.5" hidden="false" customHeight="false" outlineLevel="0" collapsed="false">
      <c r="A156" s="0" t="s">
        <v>343</v>
      </c>
      <c r="B156" s="0" t="s">
        <v>5520</v>
      </c>
      <c r="C156" s="0" t="n">
        <v>2007</v>
      </c>
      <c r="D156" s="0" t="s">
        <v>5439</v>
      </c>
      <c r="E156" s="0" t="s">
        <v>19</v>
      </c>
      <c r="F156" s="0" t="s">
        <v>31</v>
      </c>
      <c r="G156" s="0" t="s">
        <v>12</v>
      </c>
      <c r="H156" s="0" t="s">
        <v>5406</v>
      </c>
      <c r="I156" s="0" t="s">
        <v>5407</v>
      </c>
      <c r="J156" s="0" t="n">
        <v>2</v>
      </c>
      <c r="K156" s="0" t="s">
        <v>5441</v>
      </c>
      <c r="L156" s="0" t="n">
        <v>4.4</v>
      </c>
      <c r="M156" s="0" t="n">
        <v>8.6</v>
      </c>
      <c r="N156" s="7" t="s">
        <v>5430</v>
      </c>
      <c r="O156" s="0" t="s">
        <v>5461</v>
      </c>
      <c r="P156" s="0" t="s">
        <v>5442</v>
      </c>
      <c r="Q156" s="0" t="s">
        <v>5433</v>
      </c>
      <c r="R156" s="0" t="s">
        <v>5496</v>
      </c>
      <c r="S156" s="0" t="s">
        <v>5597</v>
      </c>
      <c r="T156" s="0" t="s">
        <v>5413</v>
      </c>
      <c r="U156" s="0" t="s">
        <v>5867</v>
      </c>
      <c r="V156" s="0" t="s">
        <v>5415</v>
      </c>
      <c r="Y156" s="0" t="e">
        <v>#NAME?</v>
      </c>
      <c r="Z156" s="0" t="e">
        <f aca="false">COUNTIF(G:G,Y156)</f>
        <v>#NAME?</v>
      </c>
    </row>
    <row r="157" customFormat="false" ht="13.5" hidden="false" customHeight="false" outlineLevel="0" collapsed="false">
      <c r="A157" s="0" t="s">
        <v>343</v>
      </c>
      <c r="B157" s="0" t="s">
        <v>5520</v>
      </c>
      <c r="C157" s="0" t="n">
        <v>2007</v>
      </c>
      <c r="D157" s="0" t="s">
        <v>5439</v>
      </c>
      <c r="E157" s="0" t="s">
        <v>19</v>
      </c>
      <c r="F157" s="0" t="s">
        <v>31</v>
      </c>
      <c r="G157" s="0" t="s">
        <v>1399</v>
      </c>
      <c r="H157" s="0" t="s">
        <v>5406</v>
      </c>
      <c r="I157" s="0" t="s">
        <v>5407</v>
      </c>
      <c r="J157" s="0" t="n">
        <v>2</v>
      </c>
      <c r="K157" s="0" t="s">
        <v>5441</v>
      </c>
      <c r="L157" s="0" t="n">
        <v>4.9</v>
      </c>
      <c r="M157" s="0" t="n">
        <v>11.5</v>
      </c>
      <c r="N157" s="7" t="s">
        <v>5430</v>
      </c>
      <c r="O157" s="0" t="s">
        <v>5461</v>
      </c>
      <c r="P157" s="0" t="s">
        <v>5442</v>
      </c>
      <c r="Q157" s="0" t="s">
        <v>5433</v>
      </c>
      <c r="R157" s="0" t="s">
        <v>5496</v>
      </c>
      <c r="S157" s="0" t="s">
        <v>5597</v>
      </c>
      <c r="T157" s="0" t="s">
        <v>5413</v>
      </c>
      <c r="U157" s="0" t="s">
        <v>5867</v>
      </c>
      <c r="V157" s="0" t="s">
        <v>5415</v>
      </c>
      <c r="Y157" s="0" t="e">
        <v>#NAME?</v>
      </c>
      <c r="Z157" s="0" t="e">
        <f aca="false">COUNTIF(G:G,Y157)</f>
        <v>#NAME?</v>
      </c>
    </row>
    <row r="158" customFormat="false" ht="13.5" hidden="false" customHeight="false" outlineLevel="0" collapsed="false">
      <c r="A158" s="0" t="s">
        <v>343</v>
      </c>
      <c r="B158" s="0" t="s">
        <v>5520</v>
      </c>
      <c r="C158" s="0" t="n">
        <v>2007</v>
      </c>
      <c r="D158" s="0" t="s">
        <v>5439</v>
      </c>
      <c r="E158" s="0" t="s">
        <v>19</v>
      </c>
      <c r="F158" s="0" t="s">
        <v>31</v>
      </c>
      <c r="G158" s="0" t="s">
        <v>5868</v>
      </c>
      <c r="H158" s="0" t="s">
        <v>5406</v>
      </c>
      <c r="I158" s="0" t="s">
        <v>5407</v>
      </c>
      <c r="J158" s="0" t="n">
        <v>1</v>
      </c>
      <c r="K158" s="0" t="s">
        <v>5441</v>
      </c>
      <c r="L158" s="0" t="n">
        <v>7.7</v>
      </c>
      <c r="M158" s="0" t="n">
        <v>12.2</v>
      </c>
      <c r="N158" s="7" t="s">
        <v>5430</v>
      </c>
      <c r="O158" s="0" t="s">
        <v>5461</v>
      </c>
      <c r="P158" s="0" t="s">
        <v>5442</v>
      </c>
      <c r="Q158" s="0" t="s">
        <v>5433</v>
      </c>
      <c r="R158" s="0" t="s">
        <v>5496</v>
      </c>
      <c r="S158" s="0" t="s">
        <v>5597</v>
      </c>
      <c r="T158" s="0" t="s">
        <v>5413</v>
      </c>
      <c r="U158" s="0" t="s">
        <v>5867</v>
      </c>
      <c r="V158" s="0" t="s">
        <v>5415</v>
      </c>
      <c r="Y158" s="0" t="e">
        <v>#NAME?</v>
      </c>
      <c r="Z158" s="0" t="e">
        <f aca="false">COUNTIF(G:G,Y158)</f>
        <v>#NAME?</v>
      </c>
    </row>
    <row r="159" customFormat="false" ht="13.5" hidden="false" customHeight="false" outlineLevel="0" collapsed="false">
      <c r="A159" s="0" t="s">
        <v>343</v>
      </c>
      <c r="B159" s="0" t="s">
        <v>5520</v>
      </c>
      <c r="C159" s="0" t="n">
        <v>2007</v>
      </c>
      <c r="D159" s="0" t="s">
        <v>5439</v>
      </c>
      <c r="E159" s="0" t="s">
        <v>19</v>
      </c>
      <c r="F159" s="0" t="s">
        <v>31</v>
      </c>
      <c r="G159" s="0" t="s">
        <v>122</v>
      </c>
      <c r="H159" s="0" t="s">
        <v>5406</v>
      </c>
      <c r="I159" s="0" t="s">
        <v>5407</v>
      </c>
      <c r="J159" s="0" t="n">
        <v>1</v>
      </c>
      <c r="K159" s="0" t="s">
        <v>5441</v>
      </c>
      <c r="L159" s="0" t="n">
        <v>8.1</v>
      </c>
      <c r="M159" s="0" t="n">
        <v>11.9</v>
      </c>
      <c r="N159" s="7" t="s">
        <v>5430</v>
      </c>
      <c r="O159" s="0" t="s">
        <v>5461</v>
      </c>
      <c r="P159" s="0" t="s">
        <v>5442</v>
      </c>
      <c r="Q159" s="0" t="s">
        <v>5433</v>
      </c>
      <c r="R159" s="0" t="s">
        <v>5496</v>
      </c>
      <c r="S159" s="0" t="s">
        <v>5597</v>
      </c>
      <c r="T159" s="0" t="s">
        <v>5413</v>
      </c>
      <c r="U159" s="0" t="s">
        <v>5867</v>
      </c>
      <c r="V159" s="0" t="s">
        <v>5415</v>
      </c>
      <c r="Y159" s="0" t="e">
        <v>#NAME?</v>
      </c>
      <c r="Z159" s="0" t="e">
        <f aca="false">COUNTIF(G:G,Y159)</f>
        <v>#NAME?</v>
      </c>
    </row>
    <row r="160" customFormat="false" ht="13.5" hidden="false" customHeight="false" outlineLevel="0" collapsed="false">
      <c r="A160" s="0" t="s">
        <v>343</v>
      </c>
      <c r="B160" s="0" t="s">
        <v>5520</v>
      </c>
      <c r="C160" s="0" t="n">
        <v>2007</v>
      </c>
      <c r="D160" s="0" t="s">
        <v>5439</v>
      </c>
      <c r="E160" s="0" t="s">
        <v>19</v>
      </c>
      <c r="F160" s="0" t="s">
        <v>31</v>
      </c>
      <c r="G160" s="0" t="s">
        <v>1043</v>
      </c>
      <c r="H160" s="0" t="s">
        <v>5406</v>
      </c>
      <c r="I160" s="0" t="s">
        <v>5407</v>
      </c>
      <c r="J160" s="0" t="n">
        <v>2</v>
      </c>
      <c r="K160" s="0" t="s">
        <v>5441</v>
      </c>
      <c r="L160" s="0" t="n">
        <v>3.3</v>
      </c>
      <c r="M160" s="0" t="n">
        <v>7</v>
      </c>
      <c r="N160" s="7" t="s">
        <v>5430</v>
      </c>
      <c r="O160" s="0" t="s">
        <v>5461</v>
      </c>
      <c r="P160" s="0" t="s">
        <v>5442</v>
      </c>
      <c r="Q160" s="0" t="s">
        <v>5433</v>
      </c>
      <c r="R160" s="0" t="s">
        <v>5496</v>
      </c>
      <c r="S160" s="0" t="s">
        <v>5597</v>
      </c>
      <c r="T160" s="0" t="s">
        <v>5413</v>
      </c>
      <c r="U160" s="0" t="s">
        <v>5867</v>
      </c>
      <c r="V160" s="0" t="s">
        <v>5415</v>
      </c>
      <c r="Y160" s="0" t="e">
        <v>#NAME?</v>
      </c>
      <c r="Z160" s="0" t="e">
        <f aca="false">COUNTIF(G:G,Y160)</f>
        <v>#NAME?</v>
      </c>
    </row>
    <row r="161" customFormat="false" ht="13.5" hidden="false" customHeight="false" outlineLevel="0" collapsed="false">
      <c r="A161" s="0" t="s">
        <v>346</v>
      </c>
      <c r="B161" s="0" t="s">
        <v>5869</v>
      </c>
      <c r="C161" s="0" t="n">
        <v>1982</v>
      </c>
      <c r="D161" s="0" t="s">
        <v>5459</v>
      </c>
      <c r="E161" s="0" t="s">
        <v>19</v>
      </c>
      <c r="F161" s="0" t="s">
        <v>31</v>
      </c>
      <c r="G161" s="0" t="s">
        <v>2890</v>
      </c>
      <c r="H161" s="0" t="s">
        <v>5406</v>
      </c>
      <c r="I161" s="0" t="s">
        <v>5407</v>
      </c>
      <c r="J161" s="0" t="n">
        <v>2</v>
      </c>
      <c r="K161" s="0" t="s">
        <v>5601</v>
      </c>
      <c r="L161" s="0" t="n">
        <v>5</v>
      </c>
      <c r="M161" s="0" t="n">
        <v>60</v>
      </c>
      <c r="N161" s="7" t="s">
        <v>5430</v>
      </c>
      <c r="O161" s="0" t="s">
        <v>5487</v>
      </c>
      <c r="P161" s="0" t="s">
        <v>5462</v>
      </c>
      <c r="Q161" s="0" t="s">
        <v>5489</v>
      </c>
      <c r="R161" s="0" t="s">
        <v>5846</v>
      </c>
      <c r="S161" s="0" t="s">
        <v>5423</v>
      </c>
      <c r="T161" s="0" t="s">
        <v>5424</v>
      </c>
      <c r="U161" s="0" t="s">
        <v>5870</v>
      </c>
      <c r="V161" s="0" t="s">
        <v>5426</v>
      </c>
      <c r="Y161" s="0" t="e">
        <v>#NAME?</v>
      </c>
      <c r="Z161" s="0" t="e">
        <f aca="false">COUNTIF(G:G,Y161)</f>
        <v>#NAME?</v>
      </c>
    </row>
    <row r="162" customFormat="false" ht="13.5" hidden="false" customHeight="false" outlineLevel="0" collapsed="false">
      <c r="A162" s="0" t="s">
        <v>349</v>
      </c>
      <c r="B162" s="0" t="s">
        <v>5871</v>
      </c>
      <c r="C162" s="0" t="n">
        <v>2006</v>
      </c>
      <c r="D162" s="0" t="s">
        <v>5613</v>
      </c>
      <c r="E162" s="0" t="s">
        <v>19</v>
      </c>
      <c r="F162" s="0" t="s">
        <v>31</v>
      </c>
      <c r="G162" s="0" t="s">
        <v>351</v>
      </c>
      <c r="H162" s="0" t="s">
        <v>5406</v>
      </c>
      <c r="I162" s="0" t="s">
        <v>5407</v>
      </c>
      <c r="J162" s="0" t="n">
        <v>2</v>
      </c>
      <c r="K162" s="0" t="s">
        <v>5441</v>
      </c>
      <c r="L162" s="0" t="n">
        <v>10</v>
      </c>
      <c r="M162" s="0" t="n">
        <v>20</v>
      </c>
      <c r="N162" s="7" t="s">
        <v>5430</v>
      </c>
      <c r="O162" s="0" t="s">
        <v>5461</v>
      </c>
      <c r="P162" s="0" t="s">
        <v>5516</v>
      </c>
      <c r="Q162" s="0" t="s">
        <v>5433</v>
      </c>
      <c r="R162" s="0" t="s">
        <v>5620</v>
      </c>
      <c r="S162" s="0" t="s">
        <v>5547</v>
      </c>
      <c r="T162" s="0" t="s">
        <v>5413</v>
      </c>
      <c r="U162" s="0" t="s">
        <v>5872</v>
      </c>
      <c r="V162" s="0" t="s">
        <v>5464</v>
      </c>
      <c r="Y162" s="0" t="e">
        <v>#NAME?</v>
      </c>
      <c r="Z162" s="0" t="e">
        <f aca="false">COUNTIF(G:G,Y162)</f>
        <v>#NAME?</v>
      </c>
    </row>
    <row r="163" customFormat="false" ht="13.5" hidden="false" customHeight="false" outlineLevel="0" collapsed="false">
      <c r="A163" s="0" t="s">
        <v>352</v>
      </c>
      <c r="B163" s="0" t="s">
        <v>5873</v>
      </c>
      <c r="C163" s="0" t="n">
        <v>2009</v>
      </c>
      <c r="D163" s="0" t="s">
        <v>5656</v>
      </c>
      <c r="E163" s="0" t="s">
        <v>19</v>
      </c>
      <c r="F163" s="0" t="s">
        <v>31</v>
      </c>
      <c r="G163" s="0" t="s">
        <v>32</v>
      </c>
      <c r="H163" s="0" t="s">
        <v>5418</v>
      </c>
      <c r="I163" s="0" t="s">
        <v>5874</v>
      </c>
      <c r="J163" s="0" t="n">
        <v>2</v>
      </c>
      <c r="K163" s="0" t="s">
        <v>5460</v>
      </c>
      <c r="L163" s="0" t="n">
        <v>1</v>
      </c>
      <c r="M163" s="0" t="n">
        <v>100</v>
      </c>
      <c r="N163" s="7" t="s">
        <v>5430</v>
      </c>
      <c r="O163" s="0" t="s">
        <v>2224</v>
      </c>
      <c r="P163" s="0" t="s">
        <v>5619</v>
      </c>
      <c r="Q163" s="0" t="s">
        <v>5433</v>
      </c>
      <c r="R163" s="0" t="s">
        <v>5875</v>
      </c>
      <c r="S163" s="0" t="s">
        <v>5472</v>
      </c>
      <c r="T163" s="0" t="s">
        <v>5413</v>
      </c>
      <c r="U163" s="0" t="s">
        <v>5876</v>
      </c>
      <c r="V163" s="0" t="s">
        <v>5426</v>
      </c>
      <c r="Y163" s="0" t="e">
        <v>#NAME?</v>
      </c>
      <c r="Z163" s="0" t="e">
        <f aca="false">COUNTIF(G:G,Y163)</f>
        <v>#NAME?</v>
      </c>
    </row>
    <row r="164" customFormat="false" ht="13.5" hidden="false" customHeight="false" outlineLevel="0" collapsed="false">
      <c r="A164" s="0" t="s">
        <v>354</v>
      </c>
      <c r="B164" s="0" t="s">
        <v>5877</v>
      </c>
      <c r="C164" s="0" t="n">
        <v>2002</v>
      </c>
      <c r="D164" s="0" t="s">
        <v>5515</v>
      </c>
      <c r="E164" s="0" t="s">
        <v>19</v>
      </c>
      <c r="F164" s="0" t="s">
        <v>31</v>
      </c>
      <c r="G164" s="0" t="s">
        <v>5878</v>
      </c>
      <c r="H164" s="0" t="s">
        <v>5406</v>
      </c>
      <c r="I164" s="0" t="s">
        <v>5407</v>
      </c>
      <c r="J164" s="0" t="n">
        <v>2</v>
      </c>
      <c r="K164" s="0" t="s">
        <v>5695</v>
      </c>
      <c r="L164" s="0" t="n">
        <v>20</v>
      </c>
      <c r="M164" s="0" t="n">
        <v>200</v>
      </c>
      <c r="N164" s="7" t="s">
        <v>5430</v>
      </c>
      <c r="O164" s="0" t="s">
        <v>2224</v>
      </c>
      <c r="P164" s="0" t="s">
        <v>5702</v>
      </c>
      <c r="Q164" s="0" t="s">
        <v>2224</v>
      </c>
      <c r="R164" s="0" t="s">
        <v>5564</v>
      </c>
      <c r="S164" s="0" t="s">
        <v>5435</v>
      </c>
      <c r="T164" s="0" t="s">
        <v>5436</v>
      </c>
      <c r="U164" s="0" t="s">
        <v>5879</v>
      </c>
      <c r="V164" s="0" t="s">
        <v>5599</v>
      </c>
      <c r="Y164" s="0" t="e">
        <v>#NAME?</v>
      </c>
      <c r="Z164" s="0" t="e">
        <f aca="false">COUNTIF(G:G,Y164)</f>
        <v>#NAME?</v>
      </c>
    </row>
    <row r="165" customFormat="false" ht="13.5" hidden="false" customHeight="false" outlineLevel="0" collapsed="false">
      <c r="A165" s="0" t="s">
        <v>357</v>
      </c>
      <c r="B165" s="0" t="s">
        <v>5880</v>
      </c>
      <c r="C165" s="0" t="n">
        <v>2002</v>
      </c>
      <c r="D165" s="0" t="s">
        <v>5881</v>
      </c>
      <c r="E165" s="0" t="s">
        <v>19</v>
      </c>
      <c r="F165" s="0" t="s">
        <v>31</v>
      </c>
      <c r="G165" s="0" t="s">
        <v>12</v>
      </c>
      <c r="H165" s="0" t="s">
        <v>5406</v>
      </c>
      <c r="I165" s="0" t="s">
        <v>5407</v>
      </c>
      <c r="J165" s="0" t="n">
        <v>2</v>
      </c>
      <c r="K165" s="0" t="s">
        <v>5441</v>
      </c>
      <c r="L165" s="0" t="n">
        <v>1</v>
      </c>
      <c r="M165" s="0" t="n">
        <v>40</v>
      </c>
      <c r="N165" s="7" t="s">
        <v>5430</v>
      </c>
      <c r="O165" s="0" t="s">
        <v>5461</v>
      </c>
      <c r="P165" s="0" t="s">
        <v>5462</v>
      </c>
      <c r="Q165" s="0" t="s">
        <v>5433</v>
      </c>
      <c r="R165" s="0" t="s">
        <v>5564</v>
      </c>
      <c r="S165" s="0" t="s">
        <v>5497</v>
      </c>
      <c r="T165" s="0" t="s">
        <v>5413</v>
      </c>
      <c r="U165" s="0" t="s">
        <v>5882</v>
      </c>
      <c r="V165" s="0" t="s">
        <v>5415</v>
      </c>
      <c r="Y165" s="0" t="e">
        <v>#NAME?</v>
      </c>
      <c r="Z165" s="0" t="e">
        <f aca="false">COUNTIF(G:G,Y165)</f>
        <v>#NAME?</v>
      </c>
    </row>
    <row r="166" customFormat="false" ht="13.5" hidden="false" customHeight="false" outlineLevel="0" collapsed="false">
      <c r="A166" s="0" t="s">
        <v>359</v>
      </c>
      <c r="B166" s="0" t="s">
        <v>5883</v>
      </c>
      <c r="C166" s="0" t="n">
        <v>2011</v>
      </c>
      <c r="D166" s="0" t="s">
        <v>5459</v>
      </c>
      <c r="E166" s="0" t="s">
        <v>19</v>
      </c>
      <c r="F166" s="0" t="s">
        <v>31</v>
      </c>
      <c r="G166" s="0" t="s">
        <v>5884</v>
      </c>
      <c r="H166" s="0" t="s">
        <v>5406</v>
      </c>
      <c r="I166" s="0" t="s">
        <v>2224</v>
      </c>
      <c r="J166" s="0" t="n">
        <v>3</v>
      </c>
      <c r="K166" s="0" t="s">
        <v>5477</v>
      </c>
      <c r="L166" s="0" t="n">
        <v>20</v>
      </c>
      <c r="M166" s="0" t="n">
        <v>40</v>
      </c>
      <c r="N166" s="7" t="s">
        <v>5430</v>
      </c>
      <c r="O166" s="0" t="s">
        <v>5461</v>
      </c>
      <c r="P166" s="0" t="s">
        <v>5442</v>
      </c>
      <c r="Q166" s="0" t="s">
        <v>5433</v>
      </c>
      <c r="R166" s="0" t="s">
        <v>5885</v>
      </c>
      <c r="S166" s="0" t="s">
        <v>5679</v>
      </c>
      <c r="T166" s="0" t="s">
        <v>5436</v>
      </c>
      <c r="U166" s="0" t="s">
        <v>5469</v>
      </c>
      <c r="V166" s="0" t="s">
        <v>5426</v>
      </c>
      <c r="Y166" s="0" t="e">
        <v>#NAME?</v>
      </c>
      <c r="Z166" s="0" t="e">
        <f aca="false">COUNTIF(G:G,Y166)</f>
        <v>#NAME?</v>
      </c>
    </row>
    <row r="167" customFormat="false" ht="13.5" hidden="false" customHeight="false" outlineLevel="0" collapsed="false">
      <c r="A167" s="0" t="s">
        <v>362</v>
      </c>
      <c r="B167" s="0" t="s">
        <v>5630</v>
      </c>
      <c r="C167" s="0" t="n">
        <v>2011</v>
      </c>
      <c r="D167" s="0" t="s">
        <v>5521</v>
      </c>
      <c r="E167" s="0" t="s">
        <v>19</v>
      </c>
      <c r="F167" s="0" t="s">
        <v>31</v>
      </c>
      <c r="G167" s="0" t="s">
        <v>12</v>
      </c>
      <c r="H167" s="0" t="s">
        <v>5406</v>
      </c>
      <c r="I167" s="0" t="s">
        <v>5407</v>
      </c>
      <c r="J167" s="0" t="n">
        <v>2</v>
      </c>
      <c r="K167" s="0" t="s">
        <v>5441</v>
      </c>
      <c r="L167" s="0" t="n">
        <v>15</v>
      </c>
      <c r="M167" s="0" t="n">
        <v>160</v>
      </c>
      <c r="N167" s="7" t="s">
        <v>5430</v>
      </c>
      <c r="O167" s="0" t="s">
        <v>2224</v>
      </c>
      <c r="P167" s="0" t="s">
        <v>5462</v>
      </c>
      <c r="Q167" s="0" t="s">
        <v>5433</v>
      </c>
      <c r="R167" s="0" t="s">
        <v>5886</v>
      </c>
      <c r="S167" s="0" t="s">
        <v>5712</v>
      </c>
      <c r="T167" s="0" t="s">
        <v>5413</v>
      </c>
      <c r="U167" s="0" t="s">
        <v>5887</v>
      </c>
      <c r="V167" s="0" t="s">
        <v>5415</v>
      </c>
      <c r="Y167" s="0" t="e">
        <v>#NAME?</v>
      </c>
      <c r="Z167" s="0" t="e">
        <f aca="false">COUNTIF(G:G,Y167)</f>
        <v>#NAME?</v>
      </c>
    </row>
    <row r="168" customFormat="false" ht="13.5" hidden="false" customHeight="false" outlineLevel="0" collapsed="false">
      <c r="A168" s="0" t="s">
        <v>93</v>
      </c>
      <c r="B168" s="0" t="s">
        <v>5524</v>
      </c>
      <c r="C168" s="0" t="n">
        <v>2015</v>
      </c>
      <c r="D168" s="0" t="s">
        <v>5573</v>
      </c>
      <c r="E168" s="0" t="s">
        <v>19</v>
      </c>
      <c r="F168" s="0" t="s">
        <v>31</v>
      </c>
      <c r="G168" s="0" t="s">
        <v>153</v>
      </c>
      <c r="H168" s="0" t="s">
        <v>5406</v>
      </c>
      <c r="I168" s="0" t="s">
        <v>5407</v>
      </c>
      <c r="J168" s="0" t="n">
        <v>3</v>
      </c>
      <c r="K168" s="0" t="s">
        <v>5441</v>
      </c>
      <c r="L168" s="0" t="n">
        <v>200</v>
      </c>
      <c r="M168" s="0" t="n">
        <v>200</v>
      </c>
      <c r="N168" s="7" t="s">
        <v>5430</v>
      </c>
      <c r="O168" s="0" t="s">
        <v>2224</v>
      </c>
      <c r="P168" s="0" t="s">
        <v>5852</v>
      </c>
      <c r="Q168" s="0" t="s">
        <v>5433</v>
      </c>
      <c r="R168" s="0" t="s">
        <v>5607</v>
      </c>
      <c r="S168" s="0" t="s">
        <v>5888</v>
      </c>
      <c r="T168" s="0" t="s">
        <v>5413</v>
      </c>
      <c r="U168" s="0" t="s">
        <v>5469</v>
      </c>
      <c r="V168" s="0" t="s">
        <v>5410</v>
      </c>
      <c r="Y168" s="0" t="e">
        <v>#NAME?</v>
      </c>
      <c r="Z168" s="0" t="e">
        <f aca="false">COUNTIF(G:G,Y168)</f>
        <v>#NAME?</v>
      </c>
    </row>
    <row r="169" customFormat="false" ht="13.5" hidden="false" customHeight="false" outlineLevel="0" collapsed="false">
      <c r="A169" s="0" t="s">
        <v>366</v>
      </c>
      <c r="B169" s="0" t="s">
        <v>5889</v>
      </c>
      <c r="C169" s="0" t="n">
        <v>2011</v>
      </c>
      <c r="D169" s="0" t="s">
        <v>5459</v>
      </c>
      <c r="E169" s="0" t="s">
        <v>19</v>
      </c>
      <c r="F169" s="0" t="s">
        <v>31</v>
      </c>
      <c r="G169" s="0" t="s">
        <v>98</v>
      </c>
      <c r="H169" s="0" t="s">
        <v>5406</v>
      </c>
      <c r="I169" s="0" t="s">
        <v>5407</v>
      </c>
      <c r="J169" s="0" t="n">
        <v>2</v>
      </c>
      <c r="K169" s="0" t="s">
        <v>5441</v>
      </c>
      <c r="L169" s="0" t="n">
        <v>60</v>
      </c>
      <c r="M169" s="0" t="n">
        <v>120</v>
      </c>
      <c r="N169" s="7" t="s">
        <v>5430</v>
      </c>
      <c r="O169" s="0" t="s">
        <v>5461</v>
      </c>
      <c r="P169" s="0" t="s">
        <v>5432</v>
      </c>
      <c r="Q169" s="0" t="s">
        <v>5433</v>
      </c>
      <c r="R169" s="0" t="s">
        <v>5607</v>
      </c>
      <c r="S169" s="0" t="s">
        <v>5679</v>
      </c>
      <c r="T169" s="0" t="s">
        <v>5436</v>
      </c>
      <c r="U169" s="0" t="s">
        <v>5890</v>
      </c>
      <c r="V169" s="0" t="s">
        <v>5426</v>
      </c>
      <c r="Y169" s="0" t="e">
        <v>#NAME?</v>
      </c>
      <c r="Z169" s="0" t="e">
        <f aca="false">COUNTIF(G:G,Y169)</f>
        <v>#NAME?</v>
      </c>
    </row>
    <row r="170" customFormat="false" ht="13.5" hidden="false" customHeight="false" outlineLevel="0" collapsed="false">
      <c r="A170" s="0" t="s">
        <v>368</v>
      </c>
      <c r="B170" s="0" t="s">
        <v>5891</v>
      </c>
      <c r="C170" s="0" t="n">
        <v>1995</v>
      </c>
      <c r="D170" s="0" t="s">
        <v>5479</v>
      </c>
      <c r="E170" s="0" t="s">
        <v>19</v>
      </c>
      <c r="F170" s="0" t="s">
        <v>31</v>
      </c>
      <c r="G170" s="0" t="s">
        <v>370</v>
      </c>
      <c r="H170" s="0" t="s">
        <v>5406</v>
      </c>
      <c r="I170" s="0" t="s">
        <v>5407</v>
      </c>
      <c r="J170" s="0" t="n">
        <v>2</v>
      </c>
      <c r="K170" s="0" t="s">
        <v>5441</v>
      </c>
      <c r="L170" s="0" t="n">
        <v>10</v>
      </c>
      <c r="M170" s="0" t="n">
        <v>10</v>
      </c>
      <c r="N170" s="7" t="s">
        <v>5430</v>
      </c>
      <c r="O170" s="0" t="s">
        <v>5487</v>
      </c>
      <c r="P170" s="0" t="s">
        <v>5432</v>
      </c>
      <c r="Q170" s="0" t="s">
        <v>5489</v>
      </c>
      <c r="R170" s="0" t="s">
        <v>5892</v>
      </c>
      <c r="S170" s="0" t="s">
        <v>5547</v>
      </c>
      <c r="T170" s="0" t="s">
        <v>5413</v>
      </c>
      <c r="U170" s="0" t="s">
        <v>5893</v>
      </c>
      <c r="V170" s="0" t="s">
        <v>5415</v>
      </c>
      <c r="Y170" s="0" t="e">
        <v>#NAME?</v>
      </c>
      <c r="Z170" s="0" t="e">
        <f aca="false">COUNTIF(G:G,Y170)</f>
        <v>#NAME?</v>
      </c>
    </row>
    <row r="171" customFormat="false" ht="13.5" hidden="false" customHeight="false" outlineLevel="0" collapsed="false">
      <c r="A171" s="0" t="s">
        <v>371</v>
      </c>
      <c r="B171" s="0" t="s">
        <v>5834</v>
      </c>
      <c r="C171" s="0" t="n">
        <v>2009</v>
      </c>
      <c r="D171" s="0" t="s">
        <v>5881</v>
      </c>
      <c r="E171" s="0" t="s">
        <v>19</v>
      </c>
      <c r="F171" s="0" t="s">
        <v>31</v>
      </c>
      <c r="G171" s="0" t="s">
        <v>12</v>
      </c>
      <c r="H171" s="0" t="s">
        <v>5406</v>
      </c>
      <c r="I171" s="0" t="s">
        <v>5407</v>
      </c>
      <c r="J171" s="0" t="n">
        <v>2</v>
      </c>
      <c r="K171" s="0" t="s">
        <v>5441</v>
      </c>
      <c r="L171" s="0" t="n">
        <v>5</v>
      </c>
      <c r="M171" s="0" t="n">
        <v>30</v>
      </c>
      <c r="N171" s="7" t="s">
        <v>5430</v>
      </c>
      <c r="O171" s="0" t="s">
        <v>5461</v>
      </c>
      <c r="P171" s="0" t="s">
        <v>5462</v>
      </c>
      <c r="Q171" s="0" t="s">
        <v>5433</v>
      </c>
      <c r="R171" s="0" t="s">
        <v>5564</v>
      </c>
      <c r="S171" s="0" t="s">
        <v>5644</v>
      </c>
      <c r="T171" s="0" t="s">
        <v>5436</v>
      </c>
      <c r="U171" s="0" t="s">
        <v>5497</v>
      </c>
      <c r="V171" s="0" t="s">
        <v>5415</v>
      </c>
      <c r="Y171" s="0" t="e">
        <v>#NAME?</v>
      </c>
      <c r="Z171" s="0" t="e">
        <f aca="false">COUNTIF(G:G,Y171)</f>
        <v>#NAME?</v>
      </c>
    </row>
    <row r="172" customFormat="false" ht="13.5" hidden="false" customHeight="false" outlineLevel="0" collapsed="false">
      <c r="A172" s="0" t="s">
        <v>373</v>
      </c>
      <c r="B172" s="0" t="s">
        <v>5894</v>
      </c>
      <c r="C172" s="0" t="n">
        <v>2012</v>
      </c>
      <c r="D172" s="0" t="s">
        <v>5479</v>
      </c>
      <c r="E172" s="0" t="s">
        <v>19</v>
      </c>
      <c r="F172" s="0" t="s">
        <v>31</v>
      </c>
      <c r="G172" s="0" t="s">
        <v>32</v>
      </c>
      <c r="H172" s="0" t="s">
        <v>5418</v>
      </c>
      <c r="I172" s="0" t="s">
        <v>5407</v>
      </c>
      <c r="J172" s="0" t="n">
        <v>2</v>
      </c>
      <c r="K172" s="0" t="s">
        <v>5895</v>
      </c>
      <c r="L172" s="0" t="n">
        <v>10</v>
      </c>
      <c r="M172" s="0" t="n">
        <v>70</v>
      </c>
      <c r="N172" s="7" t="s">
        <v>5430</v>
      </c>
      <c r="O172" s="0" t="s">
        <v>5461</v>
      </c>
      <c r="P172" s="0" t="s">
        <v>5735</v>
      </c>
      <c r="Q172" s="0" t="s">
        <v>5433</v>
      </c>
      <c r="R172" s="0" t="s">
        <v>5672</v>
      </c>
      <c r="S172" s="0" t="s">
        <v>5684</v>
      </c>
      <c r="T172" s="0" t="s">
        <v>5413</v>
      </c>
      <c r="U172" s="0" t="s">
        <v>5896</v>
      </c>
      <c r="V172" s="0" t="s">
        <v>5426</v>
      </c>
      <c r="Y172" s="0" t="e">
        <v>#NAME?</v>
      </c>
      <c r="Z172" s="0" t="e">
        <f aca="false">COUNTIF(G:G,Y172)</f>
        <v>#NAME?</v>
      </c>
    </row>
    <row r="173" customFormat="false" ht="13.5" hidden="false" customHeight="false" outlineLevel="0" collapsed="false">
      <c r="A173" s="0" t="s">
        <v>375</v>
      </c>
      <c r="B173" s="0" t="s">
        <v>5897</v>
      </c>
      <c r="C173" s="0" t="n">
        <v>1983</v>
      </c>
      <c r="D173" s="0" t="s">
        <v>5515</v>
      </c>
      <c r="E173" s="0" t="s">
        <v>19</v>
      </c>
      <c r="F173" s="0" t="s">
        <v>31</v>
      </c>
      <c r="G173" s="0" t="s">
        <v>47</v>
      </c>
      <c r="H173" s="0" t="s">
        <v>5406</v>
      </c>
      <c r="I173" s="0" t="s">
        <v>5407</v>
      </c>
      <c r="J173" s="0" t="n">
        <v>4</v>
      </c>
      <c r="K173" s="0" t="s">
        <v>5460</v>
      </c>
      <c r="L173" s="0" t="n">
        <v>40</v>
      </c>
      <c r="M173" s="0" t="n">
        <v>800</v>
      </c>
      <c r="N173" s="7" t="s">
        <v>5430</v>
      </c>
      <c r="O173" s="0" t="s">
        <v>5487</v>
      </c>
      <c r="P173" s="0" t="s">
        <v>5442</v>
      </c>
      <c r="Q173" s="0" t="s">
        <v>5489</v>
      </c>
      <c r="R173" s="0" t="s">
        <v>5596</v>
      </c>
      <c r="S173" s="0" t="s">
        <v>5684</v>
      </c>
      <c r="T173" s="0" t="s">
        <v>5413</v>
      </c>
      <c r="U173" s="0" t="s">
        <v>5898</v>
      </c>
      <c r="V173" s="0" t="s">
        <v>5464</v>
      </c>
      <c r="Y173" s="0" t="e">
        <v>#NAME?</v>
      </c>
      <c r="Z173" s="0" t="e">
        <f aca="false">COUNTIF(G:G,Y173)</f>
        <v>#NAME?</v>
      </c>
    </row>
    <row r="174" customFormat="false" ht="13.5" hidden="false" customHeight="false" outlineLevel="0" collapsed="false">
      <c r="A174" s="0" t="s">
        <v>375</v>
      </c>
      <c r="B174" s="0" t="s">
        <v>5897</v>
      </c>
      <c r="C174" s="0" t="n">
        <v>1983</v>
      </c>
      <c r="D174" s="0" t="s">
        <v>5515</v>
      </c>
      <c r="E174" s="0" t="s">
        <v>19</v>
      </c>
      <c r="F174" s="0" t="s">
        <v>31</v>
      </c>
      <c r="G174" s="0" t="s">
        <v>32</v>
      </c>
      <c r="H174" s="0" t="s">
        <v>5418</v>
      </c>
      <c r="I174" s="0" t="s">
        <v>5407</v>
      </c>
      <c r="J174" s="0" t="n">
        <v>4</v>
      </c>
      <c r="K174" s="0" t="s">
        <v>5460</v>
      </c>
      <c r="L174" s="0" t="n">
        <v>20</v>
      </c>
      <c r="M174" s="0" t="n">
        <v>90</v>
      </c>
      <c r="N174" s="7" t="s">
        <v>5430</v>
      </c>
      <c r="O174" s="0" t="s">
        <v>5487</v>
      </c>
      <c r="P174" s="0" t="s">
        <v>5442</v>
      </c>
      <c r="Q174" s="0" t="s">
        <v>5489</v>
      </c>
      <c r="R174" s="0" t="s">
        <v>5596</v>
      </c>
      <c r="S174" s="0" t="s">
        <v>5684</v>
      </c>
      <c r="T174" s="0" t="s">
        <v>5413</v>
      </c>
      <c r="U174" s="0" t="s">
        <v>5898</v>
      </c>
      <c r="V174" s="0" t="s">
        <v>5464</v>
      </c>
      <c r="Y174" s="0" t="e">
        <v>#NAME?</v>
      </c>
      <c r="Z174" s="0" t="e">
        <f aca="false">COUNTIF(G:G,Y174)</f>
        <v>#NAME?</v>
      </c>
    </row>
    <row r="175" customFormat="false" ht="13.5" hidden="false" customHeight="false" outlineLevel="0" collapsed="false">
      <c r="A175" s="0" t="s">
        <v>375</v>
      </c>
      <c r="B175" s="0" t="s">
        <v>5897</v>
      </c>
      <c r="C175" s="0" t="n">
        <v>1983</v>
      </c>
      <c r="D175" s="0" t="s">
        <v>5515</v>
      </c>
      <c r="E175" s="0" t="s">
        <v>19</v>
      </c>
      <c r="F175" s="0" t="s">
        <v>31</v>
      </c>
      <c r="G175" s="0" t="s">
        <v>5899</v>
      </c>
      <c r="H175" s="0" t="s">
        <v>5418</v>
      </c>
      <c r="I175" s="0" t="s">
        <v>5407</v>
      </c>
      <c r="J175" s="0" t="n">
        <v>2</v>
      </c>
      <c r="K175" s="0" t="s">
        <v>5460</v>
      </c>
      <c r="L175" s="0" t="n">
        <v>30</v>
      </c>
      <c r="M175" s="0" t="n">
        <v>50</v>
      </c>
      <c r="N175" s="7" t="s">
        <v>5430</v>
      </c>
      <c r="O175" s="0" t="s">
        <v>5487</v>
      </c>
      <c r="P175" s="0" t="s">
        <v>5442</v>
      </c>
      <c r="Q175" s="0" t="s">
        <v>5489</v>
      </c>
      <c r="R175" s="0" t="s">
        <v>5596</v>
      </c>
      <c r="S175" s="0" t="s">
        <v>5684</v>
      </c>
      <c r="T175" s="0" t="s">
        <v>5413</v>
      </c>
      <c r="U175" s="0" t="s">
        <v>5900</v>
      </c>
      <c r="V175" s="0" t="s">
        <v>5426</v>
      </c>
      <c r="Y175" s="0" t="e">
        <v>#NAME?</v>
      </c>
      <c r="Z175" s="0" t="e">
        <f aca="false">COUNTIF(G:G,Y175)</f>
        <v>#NAME?</v>
      </c>
    </row>
    <row r="176" customFormat="false" ht="13.5" hidden="false" customHeight="false" outlineLevel="0" collapsed="false">
      <c r="A176" s="0" t="s">
        <v>378</v>
      </c>
      <c r="B176" s="0" t="s">
        <v>5901</v>
      </c>
      <c r="C176" s="0" t="n">
        <v>2003</v>
      </c>
      <c r="D176" s="0" t="s">
        <v>5479</v>
      </c>
      <c r="E176" s="0" t="s">
        <v>19</v>
      </c>
      <c r="F176" s="0" t="s">
        <v>31</v>
      </c>
      <c r="G176" s="0" t="s">
        <v>263</v>
      </c>
      <c r="H176" s="0" t="s">
        <v>5406</v>
      </c>
      <c r="I176" s="0" t="s">
        <v>2224</v>
      </c>
      <c r="J176" s="0" t="n">
        <v>2</v>
      </c>
      <c r="K176" s="0" t="s">
        <v>5460</v>
      </c>
      <c r="L176" s="0" t="n">
        <v>30</v>
      </c>
      <c r="M176" s="0" t="n">
        <v>50</v>
      </c>
      <c r="N176" s="7" t="s">
        <v>5430</v>
      </c>
      <c r="O176" s="0" t="s">
        <v>5487</v>
      </c>
      <c r="P176" s="0" t="s">
        <v>5462</v>
      </c>
      <c r="Q176" s="0" t="s">
        <v>5489</v>
      </c>
      <c r="R176" s="0" t="s">
        <v>5434</v>
      </c>
      <c r="S176" s="0" t="s">
        <v>5423</v>
      </c>
      <c r="T176" s="0" t="s">
        <v>5689</v>
      </c>
      <c r="U176" s="0" t="s">
        <v>5902</v>
      </c>
      <c r="V176" s="0" t="s">
        <v>5464</v>
      </c>
      <c r="Y176" s="0" t="e">
        <v>#NAME?</v>
      </c>
      <c r="Z176" s="0" t="e">
        <f aca="false">COUNTIF(G:G,Y176)</f>
        <v>#NAME?</v>
      </c>
    </row>
    <row r="177" customFormat="false" ht="13.5" hidden="false" customHeight="false" outlineLevel="0" collapsed="false">
      <c r="A177" s="0" t="s">
        <v>380</v>
      </c>
      <c r="B177" s="0" t="s">
        <v>5565</v>
      </c>
      <c r="C177" s="0" t="n">
        <v>2014</v>
      </c>
      <c r="D177" s="0" t="s">
        <v>5428</v>
      </c>
      <c r="E177" s="0" t="s">
        <v>19</v>
      </c>
      <c r="F177" s="0" t="s">
        <v>31</v>
      </c>
      <c r="G177" s="0" t="s">
        <v>122</v>
      </c>
      <c r="H177" s="0" t="s">
        <v>5406</v>
      </c>
      <c r="I177" s="0" t="s">
        <v>5407</v>
      </c>
      <c r="J177" s="0" t="n">
        <v>2</v>
      </c>
      <c r="K177" s="0" t="s">
        <v>5903</v>
      </c>
      <c r="L177" s="0" t="n">
        <v>5</v>
      </c>
      <c r="M177" s="0" t="n">
        <v>10</v>
      </c>
      <c r="N177" s="7" t="s">
        <v>5430</v>
      </c>
      <c r="O177" s="0" t="s">
        <v>5461</v>
      </c>
      <c r="P177" s="0" t="s">
        <v>5904</v>
      </c>
      <c r="Q177" s="0" t="s">
        <v>5433</v>
      </c>
      <c r="R177" s="0" t="s">
        <v>5905</v>
      </c>
      <c r="S177" s="0" t="s">
        <v>5547</v>
      </c>
      <c r="T177" s="0" t="s">
        <v>5413</v>
      </c>
      <c r="U177" s="0" t="s">
        <v>5906</v>
      </c>
      <c r="V177" s="0" t="s">
        <v>5415</v>
      </c>
      <c r="Y177" s="0" t="e">
        <v>#NAME?</v>
      </c>
      <c r="Z177" s="0" t="e">
        <f aca="false">COUNTIF(G:G,Y177)</f>
        <v>#NAME?</v>
      </c>
    </row>
    <row r="178" customFormat="false" ht="13.5" hidden="false" customHeight="false" outlineLevel="0" collapsed="false">
      <c r="A178" s="0" t="s">
        <v>382</v>
      </c>
      <c r="B178" s="0" t="s">
        <v>5907</v>
      </c>
      <c r="C178" s="0" t="n">
        <v>2010</v>
      </c>
      <c r="D178" s="0" t="s">
        <v>5439</v>
      </c>
      <c r="E178" s="0" t="s">
        <v>19</v>
      </c>
      <c r="F178" s="0" t="s">
        <v>31</v>
      </c>
      <c r="G178" s="0" t="s">
        <v>12</v>
      </c>
      <c r="H178" s="0" t="s">
        <v>5406</v>
      </c>
      <c r="I178" s="0" t="s">
        <v>5407</v>
      </c>
      <c r="J178" s="0" t="n">
        <v>2</v>
      </c>
      <c r="K178" s="0" t="s">
        <v>5441</v>
      </c>
      <c r="L178" s="0" t="n">
        <v>5</v>
      </c>
      <c r="M178" s="0" t="n">
        <v>50</v>
      </c>
      <c r="N178" s="7" t="s">
        <v>5430</v>
      </c>
      <c r="O178" s="0" t="s">
        <v>5431</v>
      </c>
      <c r="P178" s="0" t="s">
        <v>5488</v>
      </c>
      <c r="Q178" s="0" t="s">
        <v>5433</v>
      </c>
      <c r="R178" s="0" t="s">
        <v>5496</v>
      </c>
      <c r="S178" s="0" t="s">
        <v>5597</v>
      </c>
      <c r="T178" s="0" t="s">
        <v>5413</v>
      </c>
      <c r="U178" s="0" t="s">
        <v>5497</v>
      </c>
      <c r="V178" s="0" t="s">
        <v>5415</v>
      </c>
      <c r="Z178" s="0" t="n">
        <f aca="false">COUNTIF(G:G,Y178)</f>
        <v>0</v>
      </c>
    </row>
    <row r="179" customFormat="false" ht="13.5" hidden="false" customHeight="false" outlineLevel="0" collapsed="false">
      <c r="A179" s="0" t="s">
        <v>384</v>
      </c>
      <c r="B179" s="0" t="s">
        <v>5908</v>
      </c>
      <c r="C179" s="0" t="n">
        <v>2020</v>
      </c>
      <c r="D179" s="0" t="s">
        <v>5551</v>
      </c>
      <c r="E179" s="0" t="s">
        <v>24</v>
      </c>
      <c r="F179" s="0" t="s">
        <v>31</v>
      </c>
      <c r="G179" s="0" t="s">
        <v>5440</v>
      </c>
      <c r="H179" s="0" t="s">
        <v>5418</v>
      </c>
      <c r="I179" s="0" t="s">
        <v>5407</v>
      </c>
      <c r="J179" s="0" t="n">
        <v>2</v>
      </c>
      <c r="K179" s="0" t="s">
        <v>5408</v>
      </c>
      <c r="L179" s="0" t="n">
        <v>32</v>
      </c>
      <c r="M179" s="0" t="n">
        <v>955</v>
      </c>
      <c r="N179" s="7" t="s">
        <v>5909</v>
      </c>
      <c r="O179" s="0" t="s">
        <v>5410</v>
      </c>
      <c r="P179" s="0" t="s">
        <v>5410</v>
      </c>
      <c r="Q179" s="0" t="s">
        <v>5410</v>
      </c>
      <c r="R179" s="0" t="s">
        <v>5543</v>
      </c>
      <c r="S179" s="0" t="s">
        <v>5910</v>
      </c>
      <c r="T179" s="0" t="s">
        <v>5413</v>
      </c>
      <c r="U179" s="0" t="s">
        <v>5911</v>
      </c>
      <c r="V179" s="0" t="s">
        <v>5912</v>
      </c>
    </row>
    <row r="180" customFormat="false" ht="13.5" hidden="false" customHeight="false" outlineLevel="0" collapsed="false">
      <c r="A180" s="0" t="s">
        <v>386</v>
      </c>
      <c r="B180" s="0" t="s">
        <v>5913</v>
      </c>
      <c r="C180" s="0" t="n">
        <v>2004</v>
      </c>
      <c r="D180" s="0" t="s">
        <v>5479</v>
      </c>
      <c r="E180" s="0" t="s">
        <v>19</v>
      </c>
      <c r="F180" s="0" t="s">
        <v>31</v>
      </c>
      <c r="G180" s="0" t="s">
        <v>32</v>
      </c>
      <c r="H180" s="0" t="s">
        <v>5418</v>
      </c>
      <c r="I180" s="0" t="s">
        <v>5407</v>
      </c>
      <c r="J180" s="0" t="n">
        <v>2</v>
      </c>
      <c r="K180" s="0" t="s">
        <v>5802</v>
      </c>
      <c r="L180" s="0" t="n">
        <v>10</v>
      </c>
      <c r="M180" s="0" t="n">
        <v>50</v>
      </c>
      <c r="N180" s="7" t="s">
        <v>5430</v>
      </c>
      <c r="O180" s="0" t="s">
        <v>5461</v>
      </c>
      <c r="P180" s="0" t="s">
        <v>5432</v>
      </c>
      <c r="Q180" s="0" t="s">
        <v>5433</v>
      </c>
      <c r="R180" s="0" t="s">
        <v>5914</v>
      </c>
      <c r="S180" s="0" t="s">
        <v>5547</v>
      </c>
      <c r="T180" s="0" t="s">
        <v>5413</v>
      </c>
      <c r="U180" s="0" t="s">
        <v>5915</v>
      </c>
      <c r="V180" s="0" t="s">
        <v>5464</v>
      </c>
    </row>
    <row r="181" customFormat="false" ht="13.5" hidden="false" customHeight="false" outlineLevel="0" collapsed="false">
      <c r="A181" s="0" t="s">
        <v>388</v>
      </c>
      <c r="B181" s="0" t="s">
        <v>5916</v>
      </c>
      <c r="C181" s="0" t="n">
        <v>2011</v>
      </c>
      <c r="D181" s="0" t="s">
        <v>5917</v>
      </c>
      <c r="E181" s="0" t="s">
        <v>19</v>
      </c>
      <c r="F181" s="0" t="s">
        <v>31</v>
      </c>
      <c r="G181" s="0" t="s">
        <v>5504</v>
      </c>
      <c r="H181" s="0" t="s">
        <v>5406</v>
      </c>
      <c r="I181" s="0" t="s">
        <v>5407</v>
      </c>
      <c r="J181" s="0" t="n">
        <v>3</v>
      </c>
      <c r="K181" s="0" t="s">
        <v>5429</v>
      </c>
      <c r="L181" s="0" t="n">
        <v>50</v>
      </c>
      <c r="M181" s="0" t="n">
        <v>50</v>
      </c>
      <c r="N181" s="7" t="s">
        <v>5430</v>
      </c>
      <c r="O181" s="0" t="s">
        <v>2224</v>
      </c>
      <c r="P181" s="0" t="s">
        <v>5619</v>
      </c>
      <c r="Q181" s="0" t="s">
        <v>5433</v>
      </c>
      <c r="R181" s="0" t="s">
        <v>5411</v>
      </c>
      <c r="S181" s="0" t="s">
        <v>5684</v>
      </c>
      <c r="T181" s="0" t="s">
        <v>5413</v>
      </c>
      <c r="U181" s="0" t="s">
        <v>5918</v>
      </c>
      <c r="V181" s="0" t="s">
        <v>5919</v>
      </c>
    </row>
    <row r="182" customFormat="false" ht="13.5" hidden="false" customHeight="false" outlineLevel="0" collapsed="false">
      <c r="A182" s="0" t="s">
        <v>391</v>
      </c>
      <c r="B182" s="0" t="s">
        <v>5920</v>
      </c>
      <c r="C182" s="0" t="n">
        <v>2001</v>
      </c>
      <c r="D182" s="0" t="s">
        <v>5479</v>
      </c>
      <c r="E182" s="0" t="s">
        <v>19</v>
      </c>
      <c r="F182" s="0" t="s">
        <v>31</v>
      </c>
      <c r="G182" s="0" t="s">
        <v>263</v>
      </c>
      <c r="H182" s="0" t="s">
        <v>5406</v>
      </c>
      <c r="I182" s="0" t="s">
        <v>5407</v>
      </c>
      <c r="J182" s="0" t="n">
        <v>2</v>
      </c>
      <c r="K182" s="0" t="s">
        <v>5460</v>
      </c>
      <c r="L182" s="0" t="n">
        <v>25</v>
      </c>
      <c r="M182" s="0" t="n">
        <v>200</v>
      </c>
      <c r="N182" s="7" t="s">
        <v>5430</v>
      </c>
      <c r="O182" s="0" t="s">
        <v>5461</v>
      </c>
      <c r="P182" s="0" t="s">
        <v>5432</v>
      </c>
      <c r="Q182" s="0" t="s">
        <v>5433</v>
      </c>
      <c r="R182" s="0" t="s">
        <v>5865</v>
      </c>
      <c r="S182" s="0" t="s">
        <v>5921</v>
      </c>
      <c r="T182" s="0" t="s">
        <v>5413</v>
      </c>
      <c r="U182" s="0" t="s">
        <v>5922</v>
      </c>
      <c r="V182" s="0" t="s">
        <v>5464</v>
      </c>
    </row>
    <row r="183" customFormat="false" ht="13.5" hidden="false" customHeight="false" outlineLevel="0" collapsed="false">
      <c r="A183" s="0" t="s">
        <v>393</v>
      </c>
      <c r="B183" s="0" t="s">
        <v>5923</v>
      </c>
      <c r="C183" s="0" t="n">
        <v>2015</v>
      </c>
      <c r="D183" s="0" t="s">
        <v>5521</v>
      </c>
      <c r="E183" s="0" t="s">
        <v>19</v>
      </c>
      <c r="F183" s="0" t="s">
        <v>31</v>
      </c>
      <c r="G183" s="0" t="s">
        <v>150</v>
      </c>
      <c r="H183" s="0" t="s">
        <v>5406</v>
      </c>
      <c r="I183" s="0" t="s">
        <v>5407</v>
      </c>
      <c r="J183" s="0" t="n">
        <v>2</v>
      </c>
      <c r="K183" s="0" t="s">
        <v>5924</v>
      </c>
      <c r="L183" s="0" t="n">
        <v>30</v>
      </c>
      <c r="M183" s="0" t="n">
        <v>100</v>
      </c>
      <c r="N183" s="7" t="s">
        <v>5430</v>
      </c>
      <c r="O183" s="0" t="s">
        <v>5925</v>
      </c>
      <c r="P183" s="0" t="s">
        <v>5926</v>
      </c>
      <c r="Q183" s="0" t="s">
        <v>5433</v>
      </c>
      <c r="R183" s="0" t="s">
        <v>5927</v>
      </c>
      <c r="S183" s="0" t="s">
        <v>5928</v>
      </c>
      <c r="T183" s="0" t="s">
        <v>5413</v>
      </c>
      <c r="U183" s="0" t="s">
        <v>5929</v>
      </c>
      <c r="V183" s="0" t="s">
        <v>5415</v>
      </c>
      <c r="W183" s="0" t="s">
        <v>5930</v>
      </c>
    </row>
    <row r="184" customFormat="false" ht="13.5" hidden="false" customHeight="false" outlineLevel="0" collapsed="false">
      <c r="A184" s="0" t="s">
        <v>395</v>
      </c>
      <c r="B184" s="0" t="s">
        <v>5931</v>
      </c>
      <c r="C184" s="0" t="n">
        <v>2013</v>
      </c>
      <c r="D184" s="0" t="s">
        <v>5521</v>
      </c>
      <c r="E184" s="0" t="s">
        <v>19</v>
      </c>
      <c r="F184" s="0" t="s">
        <v>31</v>
      </c>
      <c r="G184" s="0" t="s">
        <v>98</v>
      </c>
      <c r="H184" s="0" t="s">
        <v>5406</v>
      </c>
      <c r="I184" s="0" t="s">
        <v>5407</v>
      </c>
      <c r="J184" s="0" t="n">
        <v>1</v>
      </c>
      <c r="K184" s="0" t="s">
        <v>5429</v>
      </c>
      <c r="L184" s="0" t="n">
        <v>17</v>
      </c>
      <c r="M184" s="0" t="n">
        <v>50</v>
      </c>
      <c r="N184" s="7" t="s">
        <v>5430</v>
      </c>
      <c r="O184" s="0" t="s">
        <v>5461</v>
      </c>
      <c r="P184" s="0" t="s">
        <v>5432</v>
      </c>
      <c r="Q184" s="0" t="s">
        <v>5433</v>
      </c>
      <c r="R184" s="0" t="s">
        <v>5932</v>
      </c>
      <c r="S184" s="0" t="s">
        <v>5933</v>
      </c>
      <c r="T184" s="0" t="s">
        <v>5436</v>
      </c>
      <c r="U184" s="0" t="s">
        <v>5934</v>
      </c>
      <c r="V184" s="0" t="s">
        <v>5426</v>
      </c>
    </row>
    <row r="185" customFormat="false" ht="13.5" hidden="false" customHeight="false" outlineLevel="0" collapsed="false">
      <c r="A185" s="0" t="s">
        <v>397</v>
      </c>
      <c r="B185" s="0" t="s">
        <v>5834</v>
      </c>
      <c r="C185" s="0" t="n">
        <v>2009</v>
      </c>
      <c r="D185" s="0" t="s">
        <v>5881</v>
      </c>
      <c r="E185" s="0" t="s">
        <v>19</v>
      </c>
      <c r="F185" s="0" t="s">
        <v>31</v>
      </c>
      <c r="G185" s="0" t="s">
        <v>12</v>
      </c>
      <c r="H185" s="0" t="s">
        <v>5406</v>
      </c>
      <c r="I185" s="0" t="s">
        <v>5407</v>
      </c>
      <c r="J185" s="0" t="n">
        <v>2</v>
      </c>
      <c r="K185" s="0" t="s">
        <v>5441</v>
      </c>
      <c r="L185" s="0" t="n">
        <v>5</v>
      </c>
      <c r="M185" s="0" t="n">
        <v>30</v>
      </c>
      <c r="N185" s="7" t="s">
        <v>5430</v>
      </c>
      <c r="O185" s="0" t="s">
        <v>5461</v>
      </c>
      <c r="P185" s="0" t="s">
        <v>5462</v>
      </c>
      <c r="Q185" s="0" t="s">
        <v>5433</v>
      </c>
      <c r="R185" s="0" t="s">
        <v>5564</v>
      </c>
      <c r="S185" s="0" t="s">
        <v>5552</v>
      </c>
      <c r="T185" s="0" t="s">
        <v>5436</v>
      </c>
      <c r="U185" s="0" t="s">
        <v>5935</v>
      </c>
      <c r="V185" s="0" t="s">
        <v>5415</v>
      </c>
    </row>
    <row r="186" customFormat="false" ht="13.5" hidden="false" customHeight="false" outlineLevel="0" collapsed="false">
      <c r="A186" s="0" t="s">
        <v>398</v>
      </c>
      <c r="B186" s="0" t="s">
        <v>5936</v>
      </c>
      <c r="C186" s="0" t="n">
        <v>2011</v>
      </c>
      <c r="D186" s="0" t="s">
        <v>5459</v>
      </c>
      <c r="E186" s="0" t="s">
        <v>19</v>
      </c>
      <c r="F186" s="0" t="s">
        <v>31</v>
      </c>
      <c r="G186" s="0" t="s">
        <v>400</v>
      </c>
      <c r="H186" s="0" t="s">
        <v>5406</v>
      </c>
      <c r="I186" s="0" t="s">
        <v>5407</v>
      </c>
      <c r="J186" s="0" t="n">
        <v>2</v>
      </c>
      <c r="K186" s="0" t="s">
        <v>5441</v>
      </c>
      <c r="L186" s="0" t="n">
        <v>40</v>
      </c>
      <c r="M186" s="0" t="n">
        <v>40</v>
      </c>
      <c r="N186" s="7" t="s">
        <v>5430</v>
      </c>
      <c r="O186" s="0" t="s">
        <v>2224</v>
      </c>
      <c r="P186" s="0" t="s">
        <v>5462</v>
      </c>
      <c r="Q186" s="0" t="s">
        <v>5433</v>
      </c>
      <c r="R186" s="0" t="s">
        <v>5443</v>
      </c>
      <c r="S186" s="0" t="s">
        <v>5547</v>
      </c>
      <c r="T186" s="0" t="s">
        <v>5413</v>
      </c>
      <c r="U186" s="0" t="s">
        <v>5937</v>
      </c>
      <c r="V186" s="0" t="s">
        <v>5415</v>
      </c>
    </row>
    <row r="187" customFormat="false" ht="13.5" hidden="false" customHeight="false" outlineLevel="0" collapsed="false">
      <c r="A187" s="0" t="s">
        <v>401</v>
      </c>
      <c r="B187" s="0" t="s">
        <v>5938</v>
      </c>
      <c r="C187" s="0" t="n">
        <v>2003</v>
      </c>
      <c r="D187" s="0" t="s">
        <v>5479</v>
      </c>
      <c r="E187" s="0" t="s">
        <v>19</v>
      </c>
      <c r="F187" s="0" t="s">
        <v>31</v>
      </c>
      <c r="G187" s="0" t="s">
        <v>32</v>
      </c>
      <c r="H187" s="0" t="s">
        <v>5418</v>
      </c>
      <c r="I187" s="0" t="s">
        <v>5407</v>
      </c>
      <c r="J187" s="0" t="n">
        <v>3</v>
      </c>
      <c r="K187" s="0" t="s">
        <v>5939</v>
      </c>
      <c r="L187" s="0" t="n">
        <v>12</v>
      </c>
      <c r="M187" s="0" t="n">
        <v>20</v>
      </c>
      <c r="N187" s="7" t="s">
        <v>5430</v>
      </c>
      <c r="O187" s="0" t="s">
        <v>2224</v>
      </c>
      <c r="P187" s="0" t="s">
        <v>5535</v>
      </c>
      <c r="Q187" s="0" t="s">
        <v>5433</v>
      </c>
      <c r="R187" s="0" t="s">
        <v>5940</v>
      </c>
      <c r="S187" s="0" t="s">
        <v>5773</v>
      </c>
      <c r="T187" s="0" t="s">
        <v>5413</v>
      </c>
      <c r="U187" s="0" t="s">
        <v>5941</v>
      </c>
      <c r="V187" s="0" t="s">
        <v>5464</v>
      </c>
    </row>
    <row r="188" customFormat="false" ht="13.5" hidden="false" customHeight="false" outlineLevel="0" collapsed="false">
      <c r="A188" s="0" t="s">
        <v>403</v>
      </c>
      <c r="B188" s="0" t="s">
        <v>5834</v>
      </c>
      <c r="C188" s="0" t="n">
        <v>2007</v>
      </c>
      <c r="D188" s="0" t="s">
        <v>5515</v>
      </c>
      <c r="E188" s="0" t="s">
        <v>19</v>
      </c>
      <c r="F188" s="0" t="s">
        <v>31</v>
      </c>
      <c r="G188" s="0" t="s">
        <v>12</v>
      </c>
      <c r="H188" s="0" t="s">
        <v>5406</v>
      </c>
      <c r="I188" s="0" t="s">
        <v>5407</v>
      </c>
      <c r="J188" s="0" t="n">
        <v>3</v>
      </c>
      <c r="K188" s="0" t="s">
        <v>5942</v>
      </c>
      <c r="L188" s="0" t="n">
        <v>50</v>
      </c>
      <c r="M188" s="0" t="n">
        <v>100</v>
      </c>
      <c r="N188" s="7" t="s">
        <v>5430</v>
      </c>
      <c r="O188" s="0" t="s">
        <v>5431</v>
      </c>
      <c r="P188" s="0" t="s">
        <v>5462</v>
      </c>
      <c r="Q188" s="0" t="s">
        <v>5433</v>
      </c>
      <c r="R188" s="0" t="s">
        <v>5943</v>
      </c>
      <c r="S188" s="0" t="s">
        <v>5552</v>
      </c>
      <c r="T188" s="0" t="s">
        <v>5413</v>
      </c>
      <c r="U188" s="0" t="s">
        <v>5944</v>
      </c>
      <c r="V188" s="0" t="s">
        <v>5415</v>
      </c>
    </row>
    <row r="189" customFormat="false" ht="13.5" hidden="false" customHeight="false" outlineLevel="0" collapsed="false">
      <c r="A189" s="0" t="s">
        <v>405</v>
      </c>
      <c r="B189" s="0" t="s">
        <v>5945</v>
      </c>
      <c r="C189" s="0" t="n">
        <v>2002</v>
      </c>
      <c r="D189" s="0" t="s">
        <v>5479</v>
      </c>
      <c r="E189" s="0" t="s">
        <v>19</v>
      </c>
      <c r="F189" s="0" t="s">
        <v>31</v>
      </c>
      <c r="G189" s="0" t="s">
        <v>407</v>
      </c>
      <c r="H189" s="0" t="s">
        <v>5418</v>
      </c>
      <c r="I189" s="0" t="s">
        <v>5407</v>
      </c>
      <c r="J189" s="0" t="n">
        <v>3</v>
      </c>
      <c r="K189" s="0" t="s">
        <v>5779</v>
      </c>
      <c r="L189" s="0" t="n">
        <v>5</v>
      </c>
      <c r="M189" s="0" t="n">
        <v>40</v>
      </c>
      <c r="N189" s="7" t="s">
        <v>5430</v>
      </c>
      <c r="O189" s="0" t="s">
        <v>5461</v>
      </c>
      <c r="P189" s="0" t="s">
        <v>5432</v>
      </c>
      <c r="Q189" s="0" t="s">
        <v>5433</v>
      </c>
      <c r="R189" s="0" t="s">
        <v>5434</v>
      </c>
      <c r="S189" s="0" t="s">
        <v>5684</v>
      </c>
      <c r="T189" s="0" t="s">
        <v>5413</v>
      </c>
      <c r="U189" s="0" t="s">
        <v>5946</v>
      </c>
      <c r="V189" s="0" t="s">
        <v>5426</v>
      </c>
    </row>
    <row r="190" s="9" customFormat="true" ht="13.5" hidden="false" customHeight="false" outlineLevel="0" collapsed="false">
      <c r="A190" s="9" t="s">
        <v>408</v>
      </c>
      <c r="B190" s="9" t="s">
        <v>5947</v>
      </c>
      <c r="C190" s="9" t="n">
        <v>1985</v>
      </c>
      <c r="D190" s="9" t="s">
        <v>5948</v>
      </c>
      <c r="E190" s="9" t="s">
        <v>19</v>
      </c>
      <c r="G190" s="9" t="s">
        <v>410</v>
      </c>
      <c r="H190" s="9" t="s">
        <v>5418</v>
      </c>
    </row>
    <row r="191" customFormat="false" ht="13.5" hidden="false" customHeight="false" outlineLevel="0" collapsed="false">
      <c r="A191" s="0" t="s">
        <v>414</v>
      </c>
      <c r="B191" s="0" t="s">
        <v>5949</v>
      </c>
      <c r="C191" s="0" t="n">
        <v>1998</v>
      </c>
      <c r="D191" s="0" t="s">
        <v>5636</v>
      </c>
      <c r="E191" s="0" t="s">
        <v>19</v>
      </c>
      <c r="F191" s="0" t="s">
        <v>31</v>
      </c>
      <c r="G191" s="0" t="s">
        <v>122</v>
      </c>
      <c r="H191" s="0" t="s">
        <v>5406</v>
      </c>
      <c r="I191" s="0" t="s">
        <v>5407</v>
      </c>
      <c r="J191" s="0" t="n">
        <v>4</v>
      </c>
      <c r="K191" s="0" t="s">
        <v>5441</v>
      </c>
      <c r="L191" s="0" t="n">
        <v>10</v>
      </c>
      <c r="M191" s="0" t="n">
        <v>10</v>
      </c>
      <c r="N191" s="7" t="s">
        <v>5430</v>
      </c>
      <c r="O191" s="0" t="s">
        <v>2224</v>
      </c>
      <c r="P191" s="0" t="s">
        <v>2224</v>
      </c>
      <c r="Q191" s="0" t="s">
        <v>5433</v>
      </c>
      <c r="R191" s="0" t="s">
        <v>5950</v>
      </c>
      <c r="S191" s="0" t="s">
        <v>5547</v>
      </c>
      <c r="T191" s="0" t="s">
        <v>5413</v>
      </c>
      <c r="U191" s="0" t="s">
        <v>5951</v>
      </c>
      <c r="V191" s="0" t="s">
        <v>5415</v>
      </c>
    </row>
    <row r="192" customFormat="false" ht="13.5" hidden="false" customHeight="false" outlineLevel="0" collapsed="false">
      <c r="A192" s="0" t="s">
        <v>416</v>
      </c>
      <c r="B192" s="0" t="s">
        <v>5952</v>
      </c>
      <c r="C192" s="0" t="n">
        <v>2007</v>
      </c>
      <c r="D192" s="0" t="s">
        <v>5428</v>
      </c>
      <c r="E192" s="0" t="s">
        <v>19</v>
      </c>
      <c r="F192" s="0" t="s">
        <v>31</v>
      </c>
      <c r="G192" s="0" t="s">
        <v>47</v>
      </c>
      <c r="H192" s="0" t="s">
        <v>5406</v>
      </c>
      <c r="I192" s="0" t="s">
        <v>5407</v>
      </c>
      <c r="J192" s="0" t="n">
        <v>2</v>
      </c>
      <c r="K192" s="0" t="s">
        <v>5953</v>
      </c>
      <c r="L192" s="0" t="n">
        <v>2</v>
      </c>
      <c r="M192" s="0" t="n">
        <v>50</v>
      </c>
      <c r="N192" s="7" t="s">
        <v>5430</v>
      </c>
      <c r="O192" s="0" t="s">
        <v>2224</v>
      </c>
      <c r="P192" s="0" t="s">
        <v>5619</v>
      </c>
      <c r="Q192" s="0" t="s">
        <v>2224</v>
      </c>
      <c r="R192" s="0" t="s">
        <v>5564</v>
      </c>
      <c r="S192" s="0" t="s">
        <v>5547</v>
      </c>
      <c r="T192" s="0" t="s">
        <v>5413</v>
      </c>
      <c r="U192" s="0" t="s">
        <v>5954</v>
      </c>
      <c r="V192" s="0" t="s">
        <v>5599</v>
      </c>
    </row>
    <row r="193" customFormat="false" ht="13.5" hidden="false" customHeight="false" outlineLevel="0" collapsed="false">
      <c r="A193" s="0" t="s">
        <v>421</v>
      </c>
      <c r="B193" s="0" t="s">
        <v>5850</v>
      </c>
      <c r="C193" s="0" t="n">
        <v>2008</v>
      </c>
      <c r="D193" s="0" t="s">
        <v>5758</v>
      </c>
      <c r="E193" s="0" t="s">
        <v>19</v>
      </c>
      <c r="F193" s="0" t="s">
        <v>31</v>
      </c>
      <c r="G193" s="0" t="s">
        <v>47</v>
      </c>
      <c r="H193" s="0" t="s">
        <v>5406</v>
      </c>
      <c r="I193" s="0" t="s">
        <v>5407</v>
      </c>
      <c r="J193" s="0" t="n">
        <v>2</v>
      </c>
      <c r="K193" s="0" t="s">
        <v>5851</v>
      </c>
      <c r="L193" s="0" t="n">
        <v>28</v>
      </c>
      <c r="M193" s="0" t="n">
        <v>178</v>
      </c>
      <c r="N193" s="7" t="s">
        <v>5430</v>
      </c>
      <c r="O193" s="0" t="s">
        <v>5431</v>
      </c>
      <c r="P193" s="0" t="s">
        <v>5852</v>
      </c>
      <c r="Q193" s="0" t="s">
        <v>5433</v>
      </c>
      <c r="R193" s="0" t="s">
        <v>5496</v>
      </c>
      <c r="S193" s="0" t="s">
        <v>5472</v>
      </c>
      <c r="T193" s="0" t="s">
        <v>5410</v>
      </c>
      <c r="U193" s="0" t="s">
        <v>5410</v>
      </c>
      <c r="V193" s="0" t="s">
        <v>5410</v>
      </c>
    </row>
    <row r="194" customFormat="false" ht="13.5" hidden="false" customHeight="false" outlineLevel="0" collapsed="false">
      <c r="A194" s="0" t="s">
        <v>423</v>
      </c>
      <c r="B194" s="0" t="s">
        <v>5955</v>
      </c>
      <c r="C194" s="0" t="n">
        <v>1996</v>
      </c>
      <c r="D194" s="0" t="s">
        <v>5521</v>
      </c>
      <c r="E194" s="0" t="s">
        <v>19</v>
      </c>
      <c r="F194" s="0" t="s">
        <v>31</v>
      </c>
      <c r="G194" s="0" t="s">
        <v>5617</v>
      </c>
      <c r="H194" s="0" t="s">
        <v>5406</v>
      </c>
      <c r="I194" s="0" t="s">
        <v>5407</v>
      </c>
      <c r="J194" s="0" t="n">
        <v>2</v>
      </c>
      <c r="K194" s="0" t="s">
        <v>5854</v>
      </c>
      <c r="L194" s="0" t="n">
        <v>200</v>
      </c>
      <c r="M194" s="0" t="n">
        <v>200</v>
      </c>
      <c r="N194" s="7" t="s">
        <v>5430</v>
      </c>
      <c r="O194" s="0" t="s">
        <v>2224</v>
      </c>
      <c r="P194" s="0" t="s">
        <v>5702</v>
      </c>
      <c r="Q194" s="0" t="s">
        <v>2224</v>
      </c>
      <c r="R194" s="0" t="s">
        <v>5564</v>
      </c>
      <c r="S194" s="0" t="s">
        <v>5472</v>
      </c>
      <c r="T194" s="0" t="s">
        <v>5413</v>
      </c>
      <c r="U194" s="0" t="s">
        <v>5469</v>
      </c>
      <c r="V194" s="0" t="s">
        <v>5410</v>
      </c>
    </row>
    <row r="195" customFormat="false" ht="13.5" hidden="false" customHeight="false" outlineLevel="0" collapsed="false">
      <c r="A195" s="0" t="s">
        <v>423</v>
      </c>
      <c r="B195" s="0" t="s">
        <v>5955</v>
      </c>
      <c r="C195" s="0" t="n">
        <v>1996</v>
      </c>
      <c r="D195" s="0" t="s">
        <v>5521</v>
      </c>
      <c r="E195" s="0" t="s">
        <v>19</v>
      </c>
      <c r="F195" s="0" t="s">
        <v>31</v>
      </c>
      <c r="G195" s="0" t="s">
        <v>400</v>
      </c>
      <c r="H195" s="0" t="s">
        <v>5406</v>
      </c>
      <c r="I195" s="0" t="s">
        <v>5407</v>
      </c>
      <c r="J195" s="0" t="n">
        <v>2</v>
      </c>
      <c r="K195" s="0" t="s">
        <v>5854</v>
      </c>
      <c r="L195" s="0" t="n">
        <v>200</v>
      </c>
      <c r="M195" s="0" t="n">
        <v>200</v>
      </c>
      <c r="N195" s="7" t="s">
        <v>5430</v>
      </c>
      <c r="O195" s="0" t="s">
        <v>2224</v>
      </c>
      <c r="P195" s="0" t="s">
        <v>5702</v>
      </c>
      <c r="Q195" s="0" t="s">
        <v>2224</v>
      </c>
      <c r="R195" s="0" t="s">
        <v>5564</v>
      </c>
      <c r="S195" s="0" t="s">
        <v>5472</v>
      </c>
      <c r="T195" s="0" t="s">
        <v>5413</v>
      </c>
      <c r="U195" s="0" t="s">
        <v>5956</v>
      </c>
      <c r="V195" s="0" t="s">
        <v>5599</v>
      </c>
    </row>
    <row r="196" customFormat="false" ht="13.5" hidden="false" customHeight="false" outlineLevel="0" collapsed="false">
      <c r="A196" s="0" t="s">
        <v>423</v>
      </c>
      <c r="B196" s="0" t="s">
        <v>5955</v>
      </c>
      <c r="C196" s="0" t="n">
        <v>1996</v>
      </c>
      <c r="D196" s="0" t="s">
        <v>5521</v>
      </c>
      <c r="E196" s="0" t="s">
        <v>19</v>
      </c>
      <c r="F196" s="0" t="s">
        <v>31</v>
      </c>
      <c r="G196" s="0" t="s">
        <v>351</v>
      </c>
      <c r="H196" s="0" t="s">
        <v>5406</v>
      </c>
      <c r="I196" s="0" t="s">
        <v>5407</v>
      </c>
      <c r="J196" s="0" t="n">
        <v>2</v>
      </c>
      <c r="K196" s="0" t="s">
        <v>5854</v>
      </c>
      <c r="L196" s="0" t="n">
        <v>200</v>
      </c>
      <c r="M196" s="0" t="n">
        <v>200</v>
      </c>
      <c r="N196" s="7" t="s">
        <v>5430</v>
      </c>
      <c r="O196" s="0" t="s">
        <v>2224</v>
      </c>
      <c r="P196" s="0" t="s">
        <v>5702</v>
      </c>
      <c r="Q196" s="0" t="s">
        <v>2224</v>
      </c>
      <c r="R196" s="0" t="s">
        <v>5564</v>
      </c>
      <c r="S196" s="0" t="s">
        <v>5472</v>
      </c>
      <c r="T196" s="0" t="s">
        <v>5413</v>
      </c>
      <c r="U196" s="0" t="s">
        <v>5956</v>
      </c>
      <c r="V196" s="0" t="s">
        <v>5599</v>
      </c>
    </row>
    <row r="197" customFormat="false" ht="13.5" hidden="false" customHeight="false" outlineLevel="0" collapsed="false">
      <c r="A197" s="0" t="s">
        <v>426</v>
      </c>
      <c r="B197" s="0" t="s">
        <v>5957</v>
      </c>
      <c r="C197" s="0" t="n">
        <v>2002</v>
      </c>
      <c r="D197" s="0" t="s">
        <v>5479</v>
      </c>
      <c r="E197" s="0" t="s">
        <v>19</v>
      </c>
      <c r="F197" s="0" t="s">
        <v>31</v>
      </c>
      <c r="G197" s="0" t="s">
        <v>5958</v>
      </c>
      <c r="H197" s="0" t="s">
        <v>5406</v>
      </c>
      <c r="I197" s="0" t="s">
        <v>5407</v>
      </c>
      <c r="J197" s="0" t="n">
        <v>2</v>
      </c>
      <c r="K197" s="0" t="s">
        <v>5601</v>
      </c>
      <c r="L197" s="0" t="n">
        <v>50</v>
      </c>
      <c r="M197" s="0" t="n">
        <v>50</v>
      </c>
      <c r="N197" s="7" t="s">
        <v>5430</v>
      </c>
      <c r="O197" s="0" t="s">
        <v>5487</v>
      </c>
      <c r="P197" s="0" t="s">
        <v>5462</v>
      </c>
      <c r="Q197" s="0" t="s">
        <v>5489</v>
      </c>
      <c r="R197" s="0" t="s">
        <v>5959</v>
      </c>
      <c r="S197" s="0" t="s">
        <v>5960</v>
      </c>
      <c r="T197" s="0" t="s">
        <v>5413</v>
      </c>
      <c r="U197" s="0" t="s">
        <v>5961</v>
      </c>
      <c r="V197" s="0" t="s">
        <v>5426</v>
      </c>
    </row>
    <row r="198" customFormat="false" ht="13.5" hidden="false" customHeight="false" outlineLevel="0" collapsed="false">
      <c r="A198" s="0" t="s">
        <v>428</v>
      </c>
      <c r="B198" s="0" t="s">
        <v>5962</v>
      </c>
      <c r="C198" s="0" t="n">
        <v>1992</v>
      </c>
      <c r="D198" s="0" t="s">
        <v>5459</v>
      </c>
      <c r="E198" s="0" t="s">
        <v>19</v>
      </c>
      <c r="F198" s="0" t="s">
        <v>31</v>
      </c>
      <c r="G198" s="0" t="s">
        <v>122</v>
      </c>
      <c r="H198" s="0" t="s">
        <v>5406</v>
      </c>
      <c r="I198" s="0" t="s">
        <v>5407</v>
      </c>
      <c r="J198" s="0" t="n">
        <v>3</v>
      </c>
      <c r="K198" s="0" t="s">
        <v>5963</v>
      </c>
      <c r="L198" s="0" t="n">
        <v>20</v>
      </c>
      <c r="M198" s="0" t="n">
        <v>20</v>
      </c>
      <c r="N198" s="7" t="s">
        <v>5430</v>
      </c>
      <c r="O198" s="0" t="s">
        <v>5461</v>
      </c>
      <c r="P198" s="0" t="s">
        <v>5432</v>
      </c>
      <c r="Q198" s="0" t="s">
        <v>5433</v>
      </c>
      <c r="R198" s="0" t="s">
        <v>5443</v>
      </c>
      <c r="S198" s="0" t="s">
        <v>5547</v>
      </c>
      <c r="T198" s="0" t="s">
        <v>5413</v>
      </c>
      <c r="U198" s="0" t="s">
        <v>5964</v>
      </c>
      <c r="V198" s="0" t="s">
        <v>5415</v>
      </c>
    </row>
    <row r="199" customFormat="false" ht="13.5" hidden="false" customHeight="false" outlineLevel="0" collapsed="false">
      <c r="A199" s="0" t="s">
        <v>430</v>
      </c>
      <c r="B199" s="0" t="s">
        <v>5965</v>
      </c>
      <c r="C199" s="0" t="n">
        <v>2014</v>
      </c>
      <c r="D199" s="0" t="s">
        <v>5479</v>
      </c>
      <c r="E199" s="0" t="s">
        <v>19</v>
      </c>
      <c r="F199" s="0" t="s">
        <v>31</v>
      </c>
      <c r="G199" s="0" t="s">
        <v>263</v>
      </c>
      <c r="H199" s="0" t="s">
        <v>5406</v>
      </c>
      <c r="I199" s="0" t="s">
        <v>5407</v>
      </c>
      <c r="J199" s="0" t="n">
        <v>2</v>
      </c>
      <c r="K199" s="0" t="s">
        <v>5601</v>
      </c>
      <c r="L199" s="0" t="n">
        <v>25</v>
      </c>
      <c r="M199" s="0" t="n">
        <v>200</v>
      </c>
      <c r="N199" s="7" t="s">
        <v>5430</v>
      </c>
      <c r="O199" s="0" t="s">
        <v>5461</v>
      </c>
      <c r="P199" s="0" t="s">
        <v>5432</v>
      </c>
      <c r="Q199" s="0" t="s">
        <v>5433</v>
      </c>
      <c r="R199" s="0" t="s">
        <v>5496</v>
      </c>
      <c r="S199" s="0" t="s">
        <v>5684</v>
      </c>
      <c r="T199" s="0" t="s">
        <v>5413</v>
      </c>
      <c r="U199" s="0" t="s">
        <v>5966</v>
      </c>
      <c r="V199" s="0" t="s">
        <v>5464</v>
      </c>
    </row>
    <row r="200" customFormat="false" ht="13.5" hidden="false" customHeight="false" outlineLevel="0" collapsed="false">
      <c r="A200" s="0" t="s">
        <v>432</v>
      </c>
      <c r="B200" s="0" t="s">
        <v>5962</v>
      </c>
      <c r="C200" s="0" t="n">
        <v>1990</v>
      </c>
      <c r="D200" s="0" t="s">
        <v>5636</v>
      </c>
      <c r="E200" s="0" t="s">
        <v>19</v>
      </c>
      <c r="F200" s="0" t="s">
        <v>31</v>
      </c>
      <c r="G200" s="0" t="s">
        <v>122</v>
      </c>
      <c r="H200" s="0" t="s">
        <v>5406</v>
      </c>
      <c r="I200" s="0" t="s">
        <v>5407</v>
      </c>
      <c r="J200" s="0" t="n">
        <v>3</v>
      </c>
      <c r="K200" s="0" t="s">
        <v>5441</v>
      </c>
      <c r="L200" s="0" t="n">
        <v>10</v>
      </c>
      <c r="M200" s="0" t="n">
        <v>10</v>
      </c>
      <c r="N200" s="7" t="s">
        <v>5430</v>
      </c>
      <c r="O200" s="0" t="s">
        <v>2224</v>
      </c>
      <c r="P200" s="0" t="s">
        <v>5462</v>
      </c>
      <c r="Q200" s="0" t="s">
        <v>5433</v>
      </c>
      <c r="R200" s="0" t="s">
        <v>5443</v>
      </c>
      <c r="S200" s="0" t="s">
        <v>5547</v>
      </c>
      <c r="T200" s="0" t="s">
        <v>5413</v>
      </c>
      <c r="U200" s="0" t="s">
        <v>5964</v>
      </c>
      <c r="V200" s="0" t="s">
        <v>5415</v>
      </c>
    </row>
    <row r="201" customFormat="false" ht="13.5" hidden="false" customHeight="false" outlineLevel="0" collapsed="false">
      <c r="A201" s="0" t="s">
        <v>434</v>
      </c>
      <c r="B201" s="0" t="s">
        <v>5967</v>
      </c>
      <c r="C201" s="0" t="n">
        <v>2001</v>
      </c>
      <c r="D201" s="0" t="s">
        <v>5459</v>
      </c>
      <c r="E201" s="0" t="s">
        <v>19</v>
      </c>
      <c r="F201" s="0" t="s">
        <v>31</v>
      </c>
      <c r="G201" s="0" t="s">
        <v>98</v>
      </c>
      <c r="H201" s="0" t="s">
        <v>5406</v>
      </c>
      <c r="I201" s="0" t="s">
        <v>5407</v>
      </c>
      <c r="J201" s="0" t="n">
        <v>2</v>
      </c>
      <c r="K201" s="0" t="s">
        <v>5968</v>
      </c>
      <c r="L201" s="0" t="n">
        <v>15</v>
      </c>
      <c r="M201" s="0" t="n">
        <v>30</v>
      </c>
      <c r="N201" s="7" t="s">
        <v>5430</v>
      </c>
      <c r="O201" s="0" t="s">
        <v>5461</v>
      </c>
      <c r="P201" s="0" t="s">
        <v>5432</v>
      </c>
      <c r="Q201" s="0" t="s">
        <v>5433</v>
      </c>
      <c r="R201" s="0" t="s">
        <v>5517</v>
      </c>
      <c r="S201" s="0" t="s">
        <v>5969</v>
      </c>
      <c r="T201" s="0" t="s">
        <v>5436</v>
      </c>
      <c r="U201" s="0" t="s">
        <v>5970</v>
      </c>
      <c r="V201" s="0" t="s">
        <v>5426</v>
      </c>
    </row>
    <row r="202" customFormat="false" ht="13.5" hidden="false" customHeight="false" outlineLevel="0" collapsed="false">
      <c r="A202" s="0" t="s">
        <v>436</v>
      </c>
      <c r="B202" s="0" t="s">
        <v>5971</v>
      </c>
      <c r="C202" s="0" t="n">
        <v>2002</v>
      </c>
      <c r="D202" s="0" t="s">
        <v>5459</v>
      </c>
      <c r="E202" s="0" t="s">
        <v>19</v>
      </c>
      <c r="F202" s="0" t="s">
        <v>31</v>
      </c>
      <c r="G202" s="0" t="s">
        <v>122</v>
      </c>
      <c r="H202" s="0" t="s">
        <v>5406</v>
      </c>
      <c r="I202" s="0" t="s">
        <v>5407</v>
      </c>
      <c r="J202" s="0" t="n">
        <v>2</v>
      </c>
      <c r="K202" s="0" t="s">
        <v>5441</v>
      </c>
      <c r="L202" s="0" t="n">
        <v>10</v>
      </c>
      <c r="M202" s="0" t="n">
        <v>25</v>
      </c>
      <c r="N202" s="7" t="s">
        <v>5430</v>
      </c>
      <c r="O202" s="0" t="s">
        <v>5461</v>
      </c>
      <c r="P202" s="0" t="s">
        <v>5432</v>
      </c>
      <c r="Q202" s="0" t="s">
        <v>5433</v>
      </c>
      <c r="R202" s="0" t="s">
        <v>5443</v>
      </c>
      <c r="S202" s="0" t="s">
        <v>5547</v>
      </c>
      <c r="T202" s="0" t="s">
        <v>5413</v>
      </c>
      <c r="U202" s="0" t="s">
        <v>5972</v>
      </c>
      <c r="V202" s="0" t="s">
        <v>5415</v>
      </c>
    </row>
    <row r="203" customFormat="false" ht="13.5" hidden="false" customHeight="false" outlineLevel="0" collapsed="false">
      <c r="A203" s="0" t="s">
        <v>436</v>
      </c>
      <c r="B203" s="0" t="s">
        <v>5971</v>
      </c>
      <c r="C203" s="0" t="n">
        <v>2002</v>
      </c>
      <c r="D203" s="0" t="s">
        <v>5459</v>
      </c>
      <c r="E203" s="0" t="s">
        <v>19</v>
      </c>
      <c r="F203" s="0" t="s">
        <v>31</v>
      </c>
      <c r="G203" s="0" t="s">
        <v>122</v>
      </c>
      <c r="H203" s="0" t="s">
        <v>5406</v>
      </c>
      <c r="I203" s="0" t="s">
        <v>5407</v>
      </c>
      <c r="J203" s="0" t="n">
        <v>1</v>
      </c>
      <c r="K203" s="0" t="s">
        <v>5441</v>
      </c>
      <c r="L203" s="0" t="n">
        <v>10</v>
      </c>
      <c r="M203" s="0" t="n">
        <v>25</v>
      </c>
      <c r="N203" s="7" t="s">
        <v>5430</v>
      </c>
      <c r="O203" s="0" t="s">
        <v>5461</v>
      </c>
      <c r="P203" s="0" t="s">
        <v>5432</v>
      </c>
      <c r="Q203" s="0" t="s">
        <v>5433</v>
      </c>
      <c r="R203" s="0" t="s">
        <v>5443</v>
      </c>
      <c r="S203" s="0" t="s">
        <v>5547</v>
      </c>
      <c r="T203" s="0" t="s">
        <v>5436</v>
      </c>
      <c r="U203" s="0" t="s">
        <v>5972</v>
      </c>
      <c r="V203" s="0" t="s">
        <v>5415</v>
      </c>
    </row>
    <row r="204" customFormat="false" ht="13.5" hidden="false" customHeight="false" outlineLevel="0" collapsed="false">
      <c r="A204" s="0" t="s">
        <v>438</v>
      </c>
      <c r="B204" s="0" t="s">
        <v>5973</v>
      </c>
      <c r="C204" s="0" t="n">
        <v>2013</v>
      </c>
      <c r="D204" s="0" t="s">
        <v>5459</v>
      </c>
      <c r="E204" s="0" t="s">
        <v>19</v>
      </c>
      <c r="F204" s="0" t="s">
        <v>31</v>
      </c>
      <c r="G204" s="0" t="s">
        <v>32</v>
      </c>
      <c r="H204" s="0" t="s">
        <v>5418</v>
      </c>
      <c r="I204" s="0" t="s">
        <v>5407</v>
      </c>
      <c r="J204" s="0" t="n">
        <v>2</v>
      </c>
      <c r="K204" s="0" t="s">
        <v>5601</v>
      </c>
      <c r="L204" s="0" t="n">
        <v>15</v>
      </c>
      <c r="M204" s="0" t="n">
        <v>50</v>
      </c>
      <c r="N204" s="7" t="s">
        <v>5430</v>
      </c>
      <c r="O204" s="0" t="s">
        <v>2224</v>
      </c>
      <c r="P204" s="0" t="s">
        <v>2224</v>
      </c>
      <c r="Q204" s="0" t="s">
        <v>2224</v>
      </c>
      <c r="R204" s="0" t="s">
        <v>5490</v>
      </c>
      <c r="S204" s="0" t="s">
        <v>5472</v>
      </c>
      <c r="T204" s="0" t="s">
        <v>5413</v>
      </c>
      <c r="U204" s="0" t="s">
        <v>5974</v>
      </c>
      <c r="V204" s="0" t="s">
        <v>5426</v>
      </c>
    </row>
    <row r="205" customFormat="false" ht="13.5" hidden="false" customHeight="false" outlineLevel="0" collapsed="false">
      <c r="A205" s="0" t="s">
        <v>440</v>
      </c>
      <c r="B205" s="0" t="s">
        <v>5975</v>
      </c>
      <c r="C205" s="0" t="n">
        <v>1998</v>
      </c>
      <c r="D205" s="0" t="s">
        <v>5636</v>
      </c>
      <c r="E205" s="0" t="s">
        <v>19</v>
      </c>
      <c r="F205" s="0" t="s">
        <v>31</v>
      </c>
      <c r="G205" s="0" t="s">
        <v>122</v>
      </c>
      <c r="H205" s="0" t="s">
        <v>5406</v>
      </c>
      <c r="I205" s="0" t="s">
        <v>5407</v>
      </c>
      <c r="J205" s="0" t="n">
        <v>2</v>
      </c>
      <c r="K205" s="0" t="s">
        <v>5441</v>
      </c>
      <c r="L205" s="0" t="n">
        <v>20</v>
      </c>
      <c r="M205" s="0" t="n">
        <v>20</v>
      </c>
      <c r="N205" s="7" t="s">
        <v>5430</v>
      </c>
      <c r="O205" s="0" t="s">
        <v>5461</v>
      </c>
      <c r="P205" s="0" t="s">
        <v>5432</v>
      </c>
      <c r="Q205" s="0" t="s">
        <v>5433</v>
      </c>
      <c r="R205" s="0" t="s">
        <v>5443</v>
      </c>
      <c r="S205" s="0" t="s">
        <v>5547</v>
      </c>
      <c r="T205" s="0" t="s">
        <v>5413</v>
      </c>
      <c r="U205" s="0" t="s">
        <v>5976</v>
      </c>
      <c r="V205" s="0" t="s">
        <v>5415</v>
      </c>
    </row>
    <row r="206" customFormat="false" ht="13.5" hidden="false" customHeight="false" outlineLevel="0" collapsed="false">
      <c r="A206" s="0" t="s">
        <v>445</v>
      </c>
      <c r="B206" s="0" t="s">
        <v>5533</v>
      </c>
      <c r="C206" s="0" t="n">
        <v>2011</v>
      </c>
      <c r="D206" s="0" t="s">
        <v>5917</v>
      </c>
      <c r="E206" s="0" t="s">
        <v>19</v>
      </c>
      <c r="F206" s="0" t="s">
        <v>31</v>
      </c>
      <c r="G206" s="0" t="s">
        <v>5440</v>
      </c>
      <c r="H206" s="0" t="s">
        <v>5418</v>
      </c>
      <c r="I206" s="0" t="s">
        <v>5407</v>
      </c>
      <c r="J206" s="0" t="n">
        <v>2</v>
      </c>
      <c r="K206" s="0" t="s">
        <v>5429</v>
      </c>
      <c r="L206" s="0" t="n">
        <v>50</v>
      </c>
      <c r="M206" s="0" t="n">
        <v>50</v>
      </c>
      <c r="N206" s="7" t="s">
        <v>5430</v>
      </c>
      <c r="O206" s="0" t="s">
        <v>5431</v>
      </c>
      <c r="P206" s="0" t="s">
        <v>5563</v>
      </c>
      <c r="Q206" s="0" t="s">
        <v>5433</v>
      </c>
      <c r="R206" s="0" t="s">
        <v>5977</v>
      </c>
      <c r="S206" s="0" t="s">
        <v>5684</v>
      </c>
      <c r="T206" s="0" t="s">
        <v>5413</v>
      </c>
      <c r="U206" s="0" t="s">
        <v>5978</v>
      </c>
      <c r="V206" s="0" t="s">
        <v>5464</v>
      </c>
    </row>
    <row r="207" customFormat="false" ht="13.5" hidden="false" customHeight="false" outlineLevel="0" collapsed="false">
      <c r="A207" s="0" t="s">
        <v>451</v>
      </c>
      <c r="B207" s="0" t="s">
        <v>5979</v>
      </c>
      <c r="C207" s="0" t="n">
        <v>2014</v>
      </c>
      <c r="D207" s="0" t="s">
        <v>5917</v>
      </c>
      <c r="E207" s="0" t="s">
        <v>19</v>
      </c>
      <c r="F207" s="0" t="s">
        <v>31</v>
      </c>
      <c r="G207" s="0" t="s">
        <v>32</v>
      </c>
      <c r="H207" s="0" t="s">
        <v>5418</v>
      </c>
      <c r="I207" s="0" t="s">
        <v>5407</v>
      </c>
      <c r="J207" s="0" t="n">
        <v>2</v>
      </c>
      <c r="K207" s="0" t="s">
        <v>5441</v>
      </c>
      <c r="L207" s="0" t="n">
        <v>30</v>
      </c>
      <c r="M207" s="0" t="n">
        <v>40</v>
      </c>
      <c r="N207" s="7" t="s">
        <v>5430</v>
      </c>
      <c r="O207" s="0" t="s">
        <v>5461</v>
      </c>
      <c r="P207" s="0" t="s">
        <v>5735</v>
      </c>
      <c r="Q207" s="0" t="s">
        <v>5433</v>
      </c>
      <c r="R207" s="0" t="s">
        <v>5411</v>
      </c>
      <c r="S207" s="0" t="s">
        <v>5684</v>
      </c>
      <c r="T207" s="0" t="s">
        <v>5413</v>
      </c>
      <c r="U207" s="0" t="s">
        <v>5980</v>
      </c>
      <c r="V207" s="0" t="s">
        <v>5599</v>
      </c>
    </row>
    <row r="208" customFormat="false" ht="13.5" hidden="false" customHeight="false" outlineLevel="0" collapsed="false">
      <c r="A208" s="0" t="s">
        <v>453</v>
      </c>
      <c r="B208" s="0" t="s">
        <v>5981</v>
      </c>
      <c r="C208" s="0" t="n">
        <v>2019</v>
      </c>
      <c r="D208" s="0" t="s">
        <v>5528</v>
      </c>
      <c r="E208" s="0" t="s">
        <v>19</v>
      </c>
      <c r="F208" s="0" t="s">
        <v>31</v>
      </c>
      <c r="G208" s="0" t="s">
        <v>963</v>
      </c>
      <c r="H208" s="0" t="s">
        <v>5406</v>
      </c>
      <c r="I208" s="0" t="s">
        <v>5407</v>
      </c>
      <c r="J208" s="0" t="n">
        <v>2</v>
      </c>
      <c r="K208" s="0" t="s">
        <v>5982</v>
      </c>
      <c r="L208" s="0" t="n">
        <v>20</v>
      </c>
      <c r="M208" s="0" t="n">
        <v>100</v>
      </c>
      <c r="N208" s="7" t="s">
        <v>5430</v>
      </c>
      <c r="O208" s="0" t="s">
        <v>5461</v>
      </c>
      <c r="P208" s="0" t="s">
        <v>5442</v>
      </c>
      <c r="Q208" s="0" t="s">
        <v>5433</v>
      </c>
      <c r="R208" s="0" t="s">
        <v>5943</v>
      </c>
      <c r="S208" s="0" t="s">
        <v>5644</v>
      </c>
      <c r="T208" s="0" t="s">
        <v>5436</v>
      </c>
      <c r="U208" s="0" t="s">
        <v>5983</v>
      </c>
      <c r="V208" s="0" t="s">
        <v>5426</v>
      </c>
    </row>
    <row r="209" customFormat="false" ht="13.5" hidden="false" customHeight="false" outlineLevel="0" collapsed="false">
      <c r="A209" s="0" t="s">
        <v>456</v>
      </c>
      <c r="B209" s="0" t="s">
        <v>5984</v>
      </c>
      <c r="C209" s="0" t="n">
        <v>2002</v>
      </c>
      <c r="D209" s="0" t="s">
        <v>5479</v>
      </c>
      <c r="E209" s="0" t="s">
        <v>19</v>
      </c>
      <c r="F209" s="0" t="s">
        <v>31</v>
      </c>
      <c r="G209" s="0" t="s">
        <v>32</v>
      </c>
      <c r="H209" s="0" t="s">
        <v>5418</v>
      </c>
      <c r="I209" s="0" t="s">
        <v>5407</v>
      </c>
      <c r="J209" s="0" t="n">
        <v>2</v>
      </c>
      <c r="K209" s="0" t="s">
        <v>5854</v>
      </c>
      <c r="L209" s="0" t="s">
        <v>2224</v>
      </c>
      <c r="M209" s="0" t="s">
        <v>2224</v>
      </c>
      <c r="N209" s="7" t="s">
        <v>5410</v>
      </c>
      <c r="O209" s="0" t="s">
        <v>2224</v>
      </c>
      <c r="P209" s="0" t="s">
        <v>5462</v>
      </c>
      <c r="Q209" s="0" t="s">
        <v>5433</v>
      </c>
      <c r="R209" s="0" t="s">
        <v>5985</v>
      </c>
      <c r="S209" s="0" t="s">
        <v>5684</v>
      </c>
      <c r="T209" s="0" t="s">
        <v>5413</v>
      </c>
      <c r="U209" s="0" t="s">
        <v>5986</v>
      </c>
      <c r="V209" s="0" t="s">
        <v>5426</v>
      </c>
    </row>
    <row r="210" customFormat="false" ht="13.5" hidden="false" customHeight="false" outlineLevel="0" collapsed="false">
      <c r="A210" s="0" t="s">
        <v>458</v>
      </c>
      <c r="B210" s="0" t="s">
        <v>5987</v>
      </c>
      <c r="C210" s="0" t="n">
        <v>2012</v>
      </c>
      <c r="D210" s="0" t="s">
        <v>5428</v>
      </c>
      <c r="E210" s="0" t="s">
        <v>19</v>
      </c>
      <c r="F210" s="0" t="s">
        <v>31</v>
      </c>
      <c r="G210" s="0" t="s">
        <v>98</v>
      </c>
      <c r="H210" s="0" t="s">
        <v>5406</v>
      </c>
      <c r="I210" s="0" t="s">
        <v>5407</v>
      </c>
      <c r="J210" s="0" t="n">
        <v>2</v>
      </c>
      <c r="K210" s="0" t="s">
        <v>5441</v>
      </c>
      <c r="L210" s="0" t="n">
        <v>8</v>
      </c>
      <c r="M210" s="0" t="n">
        <v>100</v>
      </c>
      <c r="N210" s="7" t="s">
        <v>5430</v>
      </c>
      <c r="O210" s="0" t="s">
        <v>5461</v>
      </c>
      <c r="P210" s="0" t="s">
        <v>5432</v>
      </c>
      <c r="Q210" s="0" t="s">
        <v>5433</v>
      </c>
      <c r="R210" s="0" t="s">
        <v>5988</v>
      </c>
      <c r="S210" s="0" t="s">
        <v>5969</v>
      </c>
      <c r="T210" s="0" t="s">
        <v>5436</v>
      </c>
      <c r="U210" s="0" t="s">
        <v>5989</v>
      </c>
      <c r="V210" s="0" t="s">
        <v>5426</v>
      </c>
    </row>
    <row r="211" customFormat="false" ht="13.5" hidden="false" customHeight="false" outlineLevel="0" collapsed="false">
      <c r="A211" s="0" t="s">
        <v>460</v>
      </c>
      <c r="B211" s="0" t="s">
        <v>5990</v>
      </c>
      <c r="C211" s="0" t="n">
        <v>2005</v>
      </c>
      <c r="D211" s="0" t="s">
        <v>5459</v>
      </c>
      <c r="E211" s="0" t="s">
        <v>19</v>
      </c>
      <c r="F211" s="0" t="s">
        <v>31</v>
      </c>
      <c r="G211" s="0" t="s">
        <v>122</v>
      </c>
      <c r="H211" s="0" t="s">
        <v>5406</v>
      </c>
      <c r="I211" s="0" t="s">
        <v>5407</v>
      </c>
      <c r="J211" s="0" t="n">
        <v>2</v>
      </c>
      <c r="K211" s="0" t="s">
        <v>5963</v>
      </c>
      <c r="L211" s="0" t="n">
        <v>20</v>
      </c>
      <c r="M211" s="0" t="n">
        <v>100</v>
      </c>
      <c r="N211" s="7" t="s">
        <v>5430</v>
      </c>
      <c r="O211" s="0" t="s">
        <v>5461</v>
      </c>
      <c r="P211" s="0" t="s">
        <v>5432</v>
      </c>
      <c r="Q211" s="0" t="s">
        <v>5433</v>
      </c>
      <c r="R211" s="0" t="s">
        <v>5443</v>
      </c>
      <c r="S211" s="0" t="s">
        <v>5547</v>
      </c>
      <c r="T211" s="0" t="s">
        <v>5413</v>
      </c>
      <c r="U211" s="0" t="s">
        <v>5991</v>
      </c>
      <c r="V211" s="0" t="s">
        <v>5415</v>
      </c>
    </row>
    <row r="212" customFormat="false" ht="13.5" hidden="false" customHeight="false" outlineLevel="0" collapsed="false">
      <c r="A212" s="0" t="s">
        <v>462</v>
      </c>
      <c r="B212" s="0" t="s">
        <v>5992</v>
      </c>
      <c r="C212" s="0" t="n">
        <v>1998</v>
      </c>
      <c r="D212" s="0" t="s">
        <v>5479</v>
      </c>
      <c r="E212" s="0" t="s">
        <v>19</v>
      </c>
      <c r="F212" s="0" t="s">
        <v>31</v>
      </c>
      <c r="G212" s="0" t="s">
        <v>32</v>
      </c>
      <c r="H212" s="0" t="s">
        <v>5418</v>
      </c>
      <c r="I212" s="0" t="s">
        <v>5407</v>
      </c>
      <c r="J212" s="0" t="n">
        <v>6</v>
      </c>
      <c r="K212" s="0" t="s">
        <v>5982</v>
      </c>
      <c r="L212" s="0" t="n">
        <v>20</v>
      </c>
      <c r="M212" s="0" t="n">
        <v>100</v>
      </c>
      <c r="N212" s="7" t="s">
        <v>5430</v>
      </c>
      <c r="O212" s="0" t="s">
        <v>5431</v>
      </c>
      <c r="P212" s="0" t="s">
        <v>5993</v>
      </c>
      <c r="Q212" s="0" t="s">
        <v>5433</v>
      </c>
      <c r="R212" s="0" t="s">
        <v>5994</v>
      </c>
      <c r="S212" s="0" t="s">
        <v>5995</v>
      </c>
      <c r="T212" s="0" t="s">
        <v>5413</v>
      </c>
      <c r="U212" s="0" t="s">
        <v>5996</v>
      </c>
      <c r="V212" s="0" t="s">
        <v>5426</v>
      </c>
    </row>
    <row r="213" customFormat="false" ht="13.5" hidden="false" customHeight="false" outlineLevel="0" collapsed="false">
      <c r="A213" s="0" t="s">
        <v>464</v>
      </c>
      <c r="B213" s="0" t="s">
        <v>5997</v>
      </c>
      <c r="C213" s="0" t="n">
        <v>2016</v>
      </c>
      <c r="D213" s="0" t="s">
        <v>5998</v>
      </c>
      <c r="E213" s="0" t="s">
        <v>19</v>
      </c>
      <c r="F213" s="0" t="s">
        <v>31</v>
      </c>
      <c r="G213" s="0" t="s">
        <v>98</v>
      </c>
      <c r="H213" s="0" t="s">
        <v>5406</v>
      </c>
      <c r="I213" s="0" t="s">
        <v>5407</v>
      </c>
      <c r="J213" s="0" t="n">
        <v>2</v>
      </c>
      <c r="K213" s="0" t="s">
        <v>5477</v>
      </c>
      <c r="L213" s="0" t="n">
        <v>10</v>
      </c>
      <c r="M213" s="0" t="n">
        <v>80</v>
      </c>
      <c r="N213" s="7" t="s">
        <v>5430</v>
      </c>
      <c r="O213" s="0" t="s">
        <v>5461</v>
      </c>
      <c r="P213" s="0" t="s">
        <v>5432</v>
      </c>
      <c r="Q213" s="0" t="s">
        <v>5433</v>
      </c>
      <c r="R213" s="0" t="s">
        <v>5999</v>
      </c>
      <c r="S213" s="0" t="s">
        <v>5423</v>
      </c>
      <c r="T213" s="0" t="s">
        <v>5410</v>
      </c>
      <c r="U213" s="0" t="s">
        <v>5410</v>
      </c>
      <c r="V213" s="0" t="s">
        <v>5410</v>
      </c>
    </row>
    <row r="214" customFormat="false" ht="13.5" hidden="false" customHeight="false" outlineLevel="0" collapsed="false">
      <c r="A214" s="0" t="s">
        <v>466</v>
      </c>
      <c r="B214" s="0" t="s">
        <v>6000</v>
      </c>
      <c r="C214" s="0" t="n">
        <v>2012</v>
      </c>
      <c r="D214" s="0" t="s">
        <v>5459</v>
      </c>
      <c r="E214" s="0" t="s">
        <v>19</v>
      </c>
      <c r="F214" s="0" t="s">
        <v>31</v>
      </c>
      <c r="G214" s="0" t="s">
        <v>370</v>
      </c>
      <c r="H214" s="0" t="s">
        <v>5406</v>
      </c>
      <c r="I214" s="0" t="s">
        <v>5407</v>
      </c>
      <c r="J214" s="0" t="n">
        <v>3</v>
      </c>
      <c r="K214" s="0" t="s">
        <v>5441</v>
      </c>
      <c r="L214" s="0" t="n">
        <v>20</v>
      </c>
      <c r="M214" s="0" t="n">
        <v>20</v>
      </c>
      <c r="N214" s="7" t="s">
        <v>5430</v>
      </c>
      <c r="O214" s="0" t="s">
        <v>5461</v>
      </c>
      <c r="P214" s="0" t="s">
        <v>5432</v>
      </c>
      <c r="Q214" s="0" t="s">
        <v>5433</v>
      </c>
      <c r="R214" s="0" t="s">
        <v>5720</v>
      </c>
      <c r="S214" s="0" t="s">
        <v>5547</v>
      </c>
      <c r="T214" s="0" t="s">
        <v>5413</v>
      </c>
      <c r="U214" s="0" t="s">
        <v>6001</v>
      </c>
      <c r="V214" s="0" t="s">
        <v>5415</v>
      </c>
    </row>
    <row r="215" customFormat="false" ht="13.5" hidden="false" customHeight="false" outlineLevel="0" collapsed="false">
      <c r="A215" s="0" t="s">
        <v>468</v>
      </c>
      <c r="B215" s="0" t="s">
        <v>5627</v>
      </c>
      <c r="C215" s="0" t="n">
        <v>2015</v>
      </c>
      <c r="D215" s="0" t="s">
        <v>5528</v>
      </c>
      <c r="E215" s="0" t="s">
        <v>19</v>
      </c>
      <c r="F215" s="0" t="s">
        <v>31</v>
      </c>
      <c r="G215" s="0" t="s">
        <v>150</v>
      </c>
      <c r="H215" s="0" t="s">
        <v>5406</v>
      </c>
      <c r="I215" s="0" t="s">
        <v>5407</v>
      </c>
      <c r="J215" s="0" t="n">
        <v>2</v>
      </c>
      <c r="K215" s="0" t="s">
        <v>5460</v>
      </c>
      <c r="L215" s="0" t="n">
        <v>40</v>
      </c>
      <c r="M215" s="0" t="n">
        <v>40</v>
      </c>
      <c r="N215" s="7" t="s">
        <v>5430</v>
      </c>
      <c r="O215" s="0" t="s">
        <v>5461</v>
      </c>
      <c r="P215" s="0" t="s">
        <v>5488</v>
      </c>
      <c r="Q215" s="0" t="s">
        <v>5433</v>
      </c>
      <c r="R215" s="0" t="s">
        <v>5443</v>
      </c>
      <c r="S215" s="0" t="s">
        <v>5644</v>
      </c>
      <c r="T215" s="0" t="s">
        <v>5413</v>
      </c>
      <c r="U215" s="0" t="s">
        <v>6002</v>
      </c>
      <c r="V215" s="0" t="s">
        <v>5415</v>
      </c>
    </row>
    <row r="216" customFormat="false" ht="13.5" hidden="false" customHeight="false" outlineLevel="0" collapsed="false">
      <c r="A216" s="0" t="s">
        <v>470</v>
      </c>
      <c r="B216" s="0" t="s">
        <v>6003</v>
      </c>
      <c r="C216" s="0" t="n">
        <v>2006</v>
      </c>
      <c r="D216" s="0" t="s">
        <v>5613</v>
      </c>
      <c r="E216" s="0" t="s">
        <v>19</v>
      </c>
      <c r="F216" s="0" t="s">
        <v>31</v>
      </c>
      <c r="G216" s="0" t="s">
        <v>5440</v>
      </c>
      <c r="H216" s="0" t="s">
        <v>5418</v>
      </c>
      <c r="I216" s="0" t="s">
        <v>5407</v>
      </c>
      <c r="J216" s="0" t="n">
        <v>2</v>
      </c>
      <c r="K216" s="0" t="s">
        <v>6004</v>
      </c>
      <c r="L216" s="0" t="n">
        <v>200</v>
      </c>
      <c r="M216" s="0" t="n">
        <v>200</v>
      </c>
      <c r="N216" s="7" t="s">
        <v>5430</v>
      </c>
      <c r="O216" s="0" t="s">
        <v>5461</v>
      </c>
      <c r="P216" s="0" t="s">
        <v>5432</v>
      </c>
      <c r="Q216" s="0" t="s">
        <v>5433</v>
      </c>
      <c r="R216" s="0" t="s">
        <v>5443</v>
      </c>
      <c r="S216" s="0" t="s">
        <v>6005</v>
      </c>
      <c r="T216" s="0" t="s">
        <v>5436</v>
      </c>
      <c r="U216" s="0" t="s">
        <v>6006</v>
      </c>
      <c r="V216" s="0" t="s">
        <v>5578</v>
      </c>
    </row>
    <row r="217" customFormat="false" ht="13.5" hidden="false" customHeight="false" outlineLevel="0" collapsed="false">
      <c r="A217" s="0" t="s">
        <v>472</v>
      </c>
      <c r="B217" s="0" t="s">
        <v>6007</v>
      </c>
      <c r="C217" s="0" t="n">
        <v>1998</v>
      </c>
      <c r="D217" s="0" t="s">
        <v>5636</v>
      </c>
      <c r="E217" s="0" t="s">
        <v>19</v>
      </c>
      <c r="F217" s="0" t="s">
        <v>31</v>
      </c>
      <c r="G217" s="0" t="s">
        <v>150</v>
      </c>
      <c r="H217" s="0" t="s">
        <v>5406</v>
      </c>
      <c r="I217" s="0" t="s">
        <v>5407</v>
      </c>
      <c r="J217" s="0" t="n">
        <v>2</v>
      </c>
      <c r="K217" s="0" t="s">
        <v>6008</v>
      </c>
      <c r="L217" s="0" t="n">
        <v>65</v>
      </c>
      <c r="M217" s="0" t="n">
        <v>100</v>
      </c>
      <c r="N217" s="7" t="s">
        <v>5430</v>
      </c>
      <c r="O217" s="0" t="s">
        <v>5461</v>
      </c>
      <c r="P217" s="0" t="s">
        <v>5432</v>
      </c>
      <c r="Q217" s="0" t="s">
        <v>5433</v>
      </c>
      <c r="R217" s="0" t="s">
        <v>5607</v>
      </c>
      <c r="S217" s="0" t="s">
        <v>5679</v>
      </c>
      <c r="T217" s="0" t="s">
        <v>5436</v>
      </c>
      <c r="U217" s="0" t="s">
        <v>6009</v>
      </c>
      <c r="V217" s="0" t="s">
        <v>5415</v>
      </c>
    </row>
    <row r="218" customFormat="false" ht="13.5" hidden="false" customHeight="false" outlineLevel="0" collapsed="false">
      <c r="A218" s="0" t="s">
        <v>474</v>
      </c>
      <c r="B218" s="0" t="s">
        <v>5834</v>
      </c>
      <c r="C218" s="0" t="n">
        <v>2005</v>
      </c>
      <c r="D218" s="0" t="s">
        <v>5515</v>
      </c>
      <c r="E218" s="0" t="s">
        <v>19</v>
      </c>
      <c r="F218" s="0" t="s">
        <v>31</v>
      </c>
      <c r="G218" s="0" t="s">
        <v>12</v>
      </c>
      <c r="H218" s="0" t="s">
        <v>5406</v>
      </c>
      <c r="I218" s="0" t="s">
        <v>5407</v>
      </c>
      <c r="J218" s="0" t="n">
        <v>2</v>
      </c>
      <c r="K218" s="0" t="s">
        <v>5441</v>
      </c>
      <c r="L218" s="0" t="n">
        <v>15</v>
      </c>
      <c r="M218" s="0" t="n">
        <v>100</v>
      </c>
      <c r="N218" s="7" t="s">
        <v>5430</v>
      </c>
      <c r="O218" s="0" t="s">
        <v>5431</v>
      </c>
      <c r="P218" s="0" t="s">
        <v>5462</v>
      </c>
      <c r="Q218" s="0" t="s">
        <v>5433</v>
      </c>
      <c r="R218" s="0" t="s">
        <v>5564</v>
      </c>
      <c r="S218" s="0" t="s">
        <v>5552</v>
      </c>
      <c r="T218" s="0" t="s">
        <v>5413</v>
      </c>
      <c r="U218" s="0" t="s">
        <v>6010</v>
      </c>
      <c r="V218" s="0" t="s">
        <v>5415</v>
      </c>
    </row>
    <row r="219" customFormat="false" ht="13.5" hidden="false" customHeight="false" outlineLevel="0" collapsed="false">
      <c r="A219" s="0" t="s">
        <v>476</v>
      </c>
      <c r="B219" s="0" t="s">
        <v>6011</v>
      </c>
      <c r="C219" s="0" t="n">
        <v>2006</v>
      </c>
      <c r="D219" s="0" t="s">
        <v>5573</v>
      </c>
      <c r="E219" s="0" t="s">
        <v>19</v>
      </c>
      <c r="F219" s="0" t="s">
        <v>31</v>
      </c>
      <c r="G219" s="0" t="s">
        <v>263</v>
      </c>
      <c r="H219" s="0" t="s">
        <v>5406</v>
      </c>
      <c r="I219" s="0" t="s">
        <v>5407</v>
      </c>
      <c r="J219" s="0" t="n">
        <v>2</v>
      </c>
      <c r="K219" s="0" t="s">
        <v>5695</v>
      </c>
      <c r="L219" s="0" t="n">
        <v>50</v>
      </c>
      <c r="M219" s="0" t="n">
        <v>120</v>
      </c>
      <c r="N219" s="7" t="s">
        <v>5430</v>
      </c>
      <c r="O219" s="0" t="s">
        <v>5461</v>
      </c>
      <c r="P219" s="0" t="s">
        <v>5432</v>
      </c>
      <c r="Q219" s="0" t="s">
        <v>5433</v>
      </c>
      <c r="R219" s="0" t="s">
        <v>6012</v>
      </c>
      <c r="S219" s="0" t="s">
        <v>5468</v>
      </c>
      <c r="T219" s="0" t="s">
        <v>5413</v>
      </c>
      <c r="U219" s="0" t="s">
        <v>6013</v>
      </c>
      <c r="V219" s="0" t="s">
        <v>6014</v>
      </c>
    </row>
    <row r="220" customFormat="false" ht="13.5" hidden="false" customHeight="false" outlineLevel="0" collapsed="false">
      <c r="A220" s="0" t="s">
        <v>478</v>
      </c>
      <c r="B220" s="0" t="s">
        <v>6015</v>
      </c>
      <c r="C220" s="0" t="n">
        <v>2013</v>
      </c>
      <c r="D220" s="0" t="s">
        <v>5528</v>
      </c>
      <c r="E220" s="0" t="s">
        <v>19</v>
      </c>
      <c r="F220" s="0" t="s">
        <v>31</v>
      </c>
      <c r="G220" s="0" t="s">
        <v>480</v>
      </c>
      <c r="H220" s="0" t="s">
        <v>5418</v>
      </c>
      <c r="I220" s="0" t="s">
        <v>5407</v>
      </c>
      <c r="J220" s="0" t="n">
        <v>4</v>
      </c>
      <c r="K220" s="0" t="s">
        <v>5511</v>
      </c>
      <c r="L220" s="0" t="n">
        <v>10</v>
      </c>
      <c r="M220" s="0" t="n">
        <v>50</v>
      </c>
      <c r="N220" s="7" t="s">
        <v>5430</v>
      </c>
      <c r="O220" s="0" t="s">
        <v>2224</v>
      </c>
      <c r="P220" s="0" t="s">
        <v>5476</v>
      </c>
      <c r="Q220" s="0" t="s">
        <v>5433</v>
      </c>
      <c r="R220" s="0" t="s">
        <v>5408</v>
      </c>
      <c r="S220" s="0" t="s">
        <v>6016</v>
      </c>
      <c r="T220" s="0" t="s">
        <v>5436</v>
      </c>
      <c r="U220" s="0" t="s">
        <v>6017</v>
      </c>
      <c r="V220" s="0" t="s">
        <v>6018</v>
      </c>
    </row>
    <row r="221" customFormat="false" ht="13.5" hidden="false" customHeight="false" outlineLevel="0" collapsed="false">
      <c r="A221" s="0" t="s">
        <v>6019</v>
      </c>
      <c r="B221" s="0" t="s">
        <v>5630</v>
      </c>
      <c r="C221" s="0" t="n">
        <v>1979</v>
      </c>
      <c r="D221" s="0" t="s">
        <v>5656</v>
      </c>
      <c r="E221" s="0" t="s">
        <v>19</v>
      </c>
      <c r="F221" s="0" t="s">
        <v>31</v>
      </c>
      <c r="G221" s="0" t="s">
        <v>32</v>
      </c>
      <c r="H221" s="0" t="s">
        <v>5418</v>
      </c>
      <c r="I221" s="0" t="s">
        <v>5407</v>
      </c>
      <c r="J221" s="0" t="n">
        <v>3</v>
      </c>
      <c r="K221" s="0" t="s">
        <v>5460</v>
      </c>
      <c r="L221" s="0" t="n">
        <v>12</v>
      </c>
      <c r="M221" s="0" t="n">
        <v>30</v>
      </c>
      <c r="N221" s="7" t="s">
        <v>5430</v>
      </c>
      <c r="P221" s="0" t="s">
        <v>6020</v>
      </c>
      <c r="R221" s="0" t="s">
        <v>5832</v>
      </c>
    </row>
    <row r="222" customFormat="false" ht="13.5" hidden="false" customHeight="false" outlineLevel="0" collapsed="false">
      <c r="A222" s="0" t="s">
        <v>6019</v>
      </c>
      <c r="B222" s="0" t="s">
        <v>5630</v>
      </c>
      <c r="C222" s="0" t="n">
        <v>1979</v>
      </c>
      <c r="D222" s="0" t="s">
        <v>5656</v>
      </c>
      <c r="E222" s="0" t="s">
        <v>19</v>
      </c>
      <c r="F222" s="0" t="s">
        <v>31</v>
      </c>
      <c r="G222" s="0" t="s">
        <v>47</v>
      </c>
      <c r="H222" s="0" t="s">
        <v>5406</v>
      </c>
      <c r="I222" s="0" t="s">
        <v>5407</v>
      </c>
      <c r="J222" s="0" t="n">
        <v>3</v>
      </c>
      <c r="K222" s="0" t="s">
        <v>5460</v>
      </c>
      <c r="L222" s="0" t="n">
        <v>100</v>
      </c>
      <c r="M222" s="0" t="n">
        <v>100</v>
      </c>
      <c r="N222" s="7" t="s">
        <v>5430</v>
      </c>
      <c r="P222" s="0" t="s">
        <v>6020</v>
      </c>
      <c r="R222" s="0" t="s">
        <v>5832</v>
      </c>
    </row>
    <row r="223" customFormat="false" ht="13.5" hidden="false" customHeight="false" outlineLevel="0" collapsed="false">
      <c r="A223" s="0" t="s">
        <v>484</v>
      </c>
      <c r="B223" s="0" t="s">
        <v>6021</v>
      </c>
      <c r="C223" s="0" t="n">
        <v>2004</v>
      </c>
      <c r="E223" s="0" t="s">
        <v>19</v>
      </c>
      <c r="G223" s="0" t="s">
        <v>486</v>
      </c>
      <c r="H223" s="0" t="s">
        <v>5406</v>
      </c>
    </row>
    <row r="224" customFormat="false" ht="13.5" hidden="false" customHeight="false" outlineLevel="0" collapsed="false">
      <c r="A224" s="0" t="s">
        <v>487</v>
      </c>
      <c r="B224" s="0" t="s">
        <v>6022</v>
      </c>
      <c r="C224" s="0" t="n">
        <v>2013</v>
      </c>
      <c r="E224" s="0" t="s">
        <v>19</v>
      </c>
      <c r="G224" s="0" t="s">
        <v>150</v>
      </c>
      <c r="H224" s="0" t="s">
        <v>5406</v>
      </c>
    </row>
    <row r="225" customFormat="false" ht="13.5" hidden="false" customHeight="false" outlineLevel="0" collapsed="false">
      <c r="A225" s="0" t="s">
        <v>489</v>
      </c>
      <c r="B225" s="0" t="s">
        <v>6023</v>
      </c>
      <c r="C225" s="0" t="n">
        <v>1993</v>
      </c>
      <c r="E225" s="0" t="s">
        <v>19</v>
      </c>
      <c r="G225" s="0" t="s">
        <v>122</v>
      </c>
      <c r="H225" s="0" t="s">
        <v>5406</v>
      </c>
    </row>
    <row r="226" customFormat="false" ht="13.5" hidden="false" customHeight="false" outlineLevel="0" collapsed="false">
      <c r="A226" s="0" t="s">
        <v>491</v>
      </c>
      <c r="B226" s="0" t="s">
        <v>6024</v>
      </c>
      <c r="C226" s="0" t="n">
        <v>2016</v>
      </c>
      <c r="E226" s="0" t="s">
        <v>19</v>
      </c>
      <c r="G226" s="0" t="s">
        <v>493</v>
      </c>
      <c r="H226" s="0" t="s">
        <v>5406</v>
      </c>
    </row>
    <row r="227" customFormat="false" ht="13.5" hidden="false" customHeight="false" outlineLevel="0" collapsed="false">
      <c r="A227" s="0" t="s">
        <v>494</v>
      </c>
      <c r="B227" s="0" t="s">
        <v>5880</v>
      </c>
      <c r="C227" s="0" t="n">
        <v>2003</v>
      </c>
      <c r="E227" s="0" t="s">
        <v>19</v>
      </c>
      <c r="G227" s="0" t="s">
        <v>12</v>
      </c>
      <c r="H227" s="0" t="s">
        <v>5406</v>
      </c>
    </row>
    <row r="228" customFormat="false" ht="13.5" hidden="false" customHeight="false" outlineLevel="0" collapsed="false">
      <c r="A228" s="0" t="s">
        <v>496</v>
      </c>
      <c r="B228" s="0" t="s">
        <v>6025</v>
      </c>
      <c r="C228" s="0" t="n">
        <v>2007</v>
      </c>
      <c r="E228" s="0" t="s">
        <v>19</v>
      </c>
      <c r="G228" s="0" t="s">
        <v>498</v>
      </c>
      <c r="H228" s="0" t="s">
        <v>5418</v>
      </c>
    </row>
    <row r="229" customFormat="false" ht="13.5" hidden="false" customHeight="false" outlineLevel="0" collapsed="false">
      <c r="A229" s="0" t="s">
        <v>499</v>
      </c>
      <c r="B229" s="0" t="s">
        <v>6026</v>
      </c>
      <c r="C229" s="0" t="n">
        <v>2008</v>
      </c>
      <c r="E229" s="0" t="s">
        <v>19</v>
      </c>
      <c r="G229" s="0" t="s">
        <v>501</v>
      </c>
      <c r="H229" s="0" t="s">
        <v>5406</v>
      </c>
    </row>
    <row r="230" customFormat="false" ht="13.5" hidden="false" customHeight="false" outlineLevel="0" collapsed="false">
      <c r="A230" s="0" t="s">
        <v>502</v>
      </c>
      <c r="B230" s="0" t="s">
        <v>6027</v>
      </c>
      <c r="C230" s="0" t="n">
        <v>2014</v>
      </c>
      <c r="E230" s="0" t="s">
        <v>19</v>
      </c>
      <c r="G230" s="0" t="s">
        <v>47</v>
      </c>
      <c r="H230" s="0" t="s">
        <v>5406</v>
      </c>
    </row>
    <row r="231" customFormat="false" ht="13.5" hidden="false" customHeight="false" outlineLevel="0" collapsed="false">
      <c r="A231" s="0" t="s">
        <v>504</v>
      </c>
      <c r="B231" s="0" t="s">
        <v>6028</v>
      </c>
      <c r="C231" s="0" t="n">
        <v>2013</v>
      </c>
      <c r="E231" s="0" t="s">
        <v>19</v>
      </c>
      <c r="G231" s="0" t="s">
        <v>98</v>
      </c>
      <c r="H231" s="0" t="s">
        <v>5406</v>
      </c>
    </row>
    <row r="232" customFormat="false" ht="13.5" hidden="false" customHeight="false" outlineLevel="0" collapsed="false">
      <c r="A232" s="0" t="s">
        <v>506</v>
      </c>
      <c r="B232" s="0" t="s">
        <v>507</v>
      </c>
      <c r="E232" s="0" t="s">
        <v>19</v>
      </c>
      <c r="G232" s="0" t="s">
        <v>47</v>
      </c>
      <c r="H232" s="0" t="s">
        <v>5406</v>
      </c>
    </row>
    <row r="233" customFormat="false" ht="13.5" hidden="false" customHeight="false" outlineLevel="0" collapsed="false">
      <c r="A233" s="0" t="s">
        <v>508</v>
      </c>
      <c r="B233" s="0" t="s">
        <v>509</v>
      </c>
      <c r="E233" s="0" t="s">
        <v>19</v>
      </c>
      <c r="G233" s="0" t="s">
        <v>510</v>
      </c>
      <c r="H233" s="0" t="s">
        <v>5418</v>
      </c>
    </row>
    <row r="234" customFormat="false" ht="13.5" hidden="false" customHeight="false" outlineLevel="0" collapsed="false">
      <c r="A234" s="0" t="s">
        <v>511</v>
      </c>
      <c r="B234" s="0" t="s">
        <v>512</v>
      </c>
      <c r="E234" s="0" t="s">
        <v>19</v>
      </c>
      <c r="G234" s="0" t="s">
        <v>32</v>
      </c>
      <c r="H234" s="0" t="s">
        <v>5418</v>
      </c>
    </row>
    <row r="235" customFormat="false" ht="13.5" hidden="false" customHeight="false" outlineLevel="0" collapsed="false">
      <c r="A235" s="0" t="s">
        <v>513</v>
      </c>
      <c r="B235" s="0" t="s">
        <v>514</v>
      </c>
      <c r="E235" s="0" t="s">
        <v>515</v>
      </c>
      <c r="G235" s="0" t="s">
        <v>47</v>
      </c>
      <c r="H235" s="0" t="s">
        <v>5406</v>
      </c>
    </row>
    <row r="236" customFormat="false" ht="13.5" hidden="false" customHeight="false" outlineLevel="0" collapsed="false">
      <c r="A236" s="0" t="s">
        <v>516</v>
      </c>
      <c r="B236" s="0" t="s">
        <v>517</v>
      </c>
      <c r="E236" s="0" t="s">
        <v>19</v>
      </c>
      <c r="G236" s="0" t="s">
        <v>518</v>
      </c>
      <c r="H236" s="0" t="s">
        <v>5418</v>
      </c>
    </row>
    <row r="237" customFormat="false" ht="13.5" hidden="false" customHeight="false" outlineLevel="0" collapsed="false">
      <c r="A237" s="0" t="s">
        <v>519</v>
      </c>
      <c r="B237" s="0" t="s">
        <v>520</v>
      </c>
      <c r="E237" s="0" t="s">
        <v>19</v>
      </c>
      <c r="G237" s="0" t="s">
        <v>521</v>
      </c>
      <c r="H237" s="0" t="s">
        <v>5406</v>
      </c>
    </row>
    <row r="238" customFormat="false" ht="13.5" hidden="false" customHeight="false" outlineLevel="0" collapsed="false">
      <c r="A238" s="0" t="s">
        <v>522</v>
      </c>
      <c r="B238" s="0" t="s">
        <v>523</v>
      </c>
      <c r="E238" s="0" t="s">
        <v>19</v>
      </c>
      <c r="G238" s="0" t="s">
        <v>47</v>
      </c>
      <c r="H238" s="0" t="s">
        <v>5406</v>
      </c>
    </row>
    <row r="239" customFormat="false" ht="13.5" hidden="false" customHeight="false" outlineLevel="0" collapsed="false">
      <c r="A239" s="0" t="s">
        <v>524</v>
      </c>
      <c r="B239" s="0" t="s">
        <v>525</v>
      </c>
      <c r="E239" s="0" t="s">
        <v>19</v>
      </c>
      <c r="G239" s="0" t="s">
        <v>32</v>
      </c>
      <c r="H239" s="0" t="s">
        <v>5418</v>
      </c>
    </row>
    <row r="240" customFormat="false" ht="13.5" hidden="false" customHeight="false" outlineLevel="0" collapsed="false">
      <c r="A240" s="0" t="s">
        <v>526</v>
      </c>
      <c r="B240" s="0" t="s">
        <v>527</v>
      </c>
      <c r="E240" s="0" t="s">
        <v>19</v>
      </c>
      <c r="G240" s="0" t="s">
        <v>12</v>
      </c>
      <c r="H240" s="0" t="s">
        <v>5406</v>
      </c>
    </row>
    <row r="241" customFormat="false" ht="13.5" hidden="false" customHeight="false" outlineLevel="0" collapsed="false">
      <c r="A241" s="0" t="s">
        <v>528</v>
      </c>
      <c r="B241" s="0" t="s">
        <v>529</v>
      </c>
      <c r="E241" s="0" t="s">
        <v>19</v>
      </c>
      <c r="G241" s="0" t="s">
        <v>370</v>
      </c>
      <c r="H241" s="0" t="s">
        <v>5406</v>
      </c>
    </row>
    <row r="242" customFormat="false" ht="13.5" hidden="false" customHeight="false" outlineLevel="0" collapsed="false">
      <c r="A242" s="0" t="s">
        <v>530</v>
      </c>
      <c r="B242" s="0" t="s">
        <v>531</v>
      </c>
      <c r="E242" s="0" t="s">
        <v>19</v>
      </c>
      <c r="G242" s="0" t="s">
        <v>131</v>
      </c>
      <c r="H242" s="0" t="s">
        <v>5418</v>
      </c>
    </row>
    <row r="243" customFormat="false" ht="13.5" hidden="false" customHeight="false" outlineLevel="0" collapsed="false">
      <c r="A243" s="0" t="s">
        <v>532</v>
      </c>
      <c r="B243" s="0" t="s">
        <v>533</v>
      </c>
      <c r="E243" s="0" t="s">
        <v>19</v>
      </c>
      <c r="G243" s="0" t="s">
        <v>252</v>
      </c>
      <c r="H243" s="0" t="s">
        <v>5406</v>
      </c>
    </row>
    <row r="244" customFormat="false" ht="13.5" hidden="false" customHeight="false" outlineLevel="0" collapsed="false">
      <c r="A244" s="0" t="s">
        <v>534</v>
      </c>
      <c r="B244" s="0" t="s">
        <v>535</v>
      </c>
      <c r="E244" s="0" t="s">
        <v>19</v>
      </c>
      <c r="G244" s="0" t="s">
        <v>536</v>
      </c>
      <c r="H244" s="0" t="s">
        <v>5418</v>
      </c>
    </row>
    <row r="245" customFormat="false" ht="13.5" hidden="false" customHeight="false" outlineLevel="0" collapsed="false">
      <c r="A245" s="0" t="s">
        <v>537</v>
      </c>
      <c r="B245" s="0" t="s">
        <v>538</v>
      </c>
      <c r="E245" s="0" t="s">
        <v>19</v>
      </c>
      <c r="G245" s="0" t="s">
        <v>12</v>
      </c>
      <c r="H245" s="0" t="s">
        <v>5406</v>
      </c>
    </row>
    <row r="246" customFormat="false" ht="13.5" hidden="false" customHeight="false" outlineLevel="0" collapsed="false">
      <c r="A246" s="0" t="s">
        <v>539</v>
      </c>
      <c r="B246" s="0" t="s">
        <v>540</v>
      </c>
      <c r="E246" s="0" t="s">
        <v>19</v>
      </c>
      <c r="G246" s="0" t="s">
        <v>541</v>
      </c>
      <c r="H246" s="0" t="s">
        <v>5418</v>
      </c>
    </row>
    <row r="247" customFormat="false" ht="13.5" hidden="false" customHeight="false" outlineLevel="0" collapsed="false">
      <c r="A247" s="0" t="s">
        <v>542</v>
      </c>
      <c r="B247" s="0" t="s">
        <v>543</v>
      </c>
      <c r="E247" s="0" t="s">
        <v>19</v>
      </c>
      <c r="G247" s="0" t="s">
        <v>544</v>
      </c>
      <c r="H247" s="0" t="s">
        <v>5406</v>
      </c>
    </row>
    <row r="248" customFormat="false" ht="13.5" hidden="false" customHeight="false" outlineLevel="0" collapsed="false">
      <c r="A248" s="0" t="s">
        <v>545</v>
      </c>
      <c r="B248" s="0" t="s">
        <v>546</v>
      </c>
      <c r="E248" s="0" t="s">
        <v>19</v>
      </c>
      <c r="G248" s="0" t="s">
        <v>12</v>
      </c>
      <c r="H248" s="0" t="s">
        <v>5406</v>
      </c>
    </row>
    <row r="249" customFormat="false" ht="13.5" hidden="false" customHeight="false" outlineLevel="0" collapsed="false">
      <c r="A249" s="0" t="s">
        <v>547</v>
      </c>
      <c r="B249" s="0" t="s">
        <v>548</v>
      </c>
      <c r="E249" s="0" t="s">
        <v>19</v>
      </c>
      <c r="G249" s="0" t="s">
        <v>98</v>
      </c>
      <c r="H249" s="0" t="s">
        <v>5406</v>
      </c>
    </row>
    <row r="250" customFormat="false" ht="13.5" hidden="false" customHeight="false" outlineLevel="0" collapsed="false">
      <c r="A250" s="0" t="s">
        <v>549</v>
      </c>
      <c r="B250" s="0" t="s">
        <v>550</v>
      </c>
      <c r="E250" s="0" t="s">
        <v>19</v>
      </c>
      <c r="G250" s="0" t="s">
        <v>32</v>
      </c>
      <c r="H250" s="0" t="s">
        <v>5418</v>
      </c>
    </row>
    <row r="251" customFormat="false" ht="13.5" hidden="false" customHeight="false" outlineLevel="0" collapsed="false">
      <c r="A251" s="0" t="s">
        <v>551</v>
      </c>
      <c r="B251" s="0" t="s">
        <v>552</v>
      </c>
      <c r="E251" s="0" t="s">
        <v>19</v>
      </c>
      <c r="G251" s="0" t="s">
        <v>226</v>
      </c>
      <c r="H251" s="0" t="s">
        <v>5406</v>
      </c>
    </row>
    <row r="252" customFormat="false" ht="13.5" hidden="false" customHeight="false" outlineLevel="0" collapsed="false">
      <c r="A252" s="0" t="s">
        <v>553</v>
      </c>
      <c r="B252" s="0" t="s">
        <v>554</v>
      </c>
      <c r="E252" s="0" t="s">
        <v>19</v>
      </c>
      <c r="G252" s="0" t="s">
        <v>555</v>
      </c>
      <c r="H252" s="0" t="s">
        <v>5418</v>
      </c>
    </row>
    <row r="253" customFormat="false" ht="13.5" hidden="false" customHeight="false" outlineLevel="0" collapsed="false">
      <c r="A253" s="0" t="s">
        <v>556</v>
      </c>
      <c r="B253" s="0" t="s">
        <v>557</v>
      </c>
      <c r="E253" s="0" t="s">
        <v>19</v>
      </c>
      <c r="G253" s="0" t="s">
        <v>263</v>
      </c>
      <c r="H253" s="0" t="s">
        <v>5406</v>
      </c>
    </row>
    <row r="254" customFormat="false" ht="13.5" hidden="false" customHeight="false" outlineLevel="0" collapsed="false">
      <c r="A254" s="0" t="s">
        <v>558</v>
      </c>
      <c r="B254" s="0" t="s">
        <v>559</v>
      </c>
      <c r="E254" s="0" t="s">
        <v>19</v>
      </c>
      <c r="G254" s="0" t="s">
        <v>131</v>
      </c>
      <c r="H254" s="0" t="s">
        <v>5418</v>
      </c>
    </row>
    <row r="255" customFormat="false" ht="13.5" hidden="false" customHeight="false" outlineLevel="0" collapsed="false">
      <c r="A255" s="0" t="s">
        <v>560</v>
      </c>
      <c r="B255" s="0" t="s">
        <v>561</v>
      </c>
      <c r="E255" s="0" t="s">
        <v>19</v>
      </c>
      <c r="G255" s="0" t="s">
        <v>47</v>
      </c>
      <c r="H255" s="0" t="s">
        <v>5406</v>
      </c>
    </row>
    <row r="256" customFormat="false" ht="13.5" hidden="false" customHeight="false" outlineLevel="0" collapsed="false">
      <c r="A256" s="0" t="s">
        <v>562</v>
      </c>
      <c r="B256" s="0" t="s">
        <v>563</v>
      </c>
      <c r="E256" s="0" t="s">
        <v>19</v>
      </c>
      <c r="G256" s="0" t="s">
        <v>47</v>
      </c>
      <c r="H256" s="0" t="s">
        <v>5406</v>
      </c>
    </row>
    <row r="257" customFormat="false" ht="13.5" hidden="false" customHeight="false" outlineLevel="0" collapsed="false">
      <c r="A257" s="0" t="s">
        <v>562</v>
      </c>
      <c r="B257" s="0" t="s">
        <v>563</v>
      </c>
      <c r="E257" s="0" t="s">
        <v>19</v>
      </c>
      <c r="G257" s="0" t="s">
        <v>970</v>
      </c>
      <c r="H257" s="0" t="s">
        <v>5418</v>
      </c>
    </row>
    <row r="258" customFormat="false" ht="13.5" hidden="false" customHeight="false" outlineLevel="0" collapsed="false">
      <c r="A258" s="0" t="s">
        <v>565</v>
      </c>
      <c r="B258" s="0" t="s">
        <v>566</v>
      </c>
      <c r="E258" s="0" t="s">
        <v>19</v>
      </c>
      <c r="G258" s="0" t="s">
        <v>226</v>
      </c>
      <c r="H258" s="0" t="s">
        <v>5406</v>
      </c>
    </row>
    <row r="259" customFormat="false" ht="13.5" hidden="false" customHeight="false" outlineLevel="0" collapsed="false">
      <c r="A259" s="0" t="s">
        <v>565</v>
      </c>
      <c r="B259" s="0" t="s">
        <v>566</v>
      </c>
      <c r="E259" s="0" t="s">
        <v>19</v>
      </c>
      <c r="G259" s="0" t="s">
        <v>47</v>
      </c>
      <c r="H259" s="0" t="s">
        <v>5406</v>
      </c>
    </row>
    <row r="260" customFormat="false" ht="13.5" hidden="false" customHeight="false" outlineLevel="0" collapsed="false">
      <c r="A260" s="0" t="s">
        <v>568</v>
      </c>
      <c r="B260" s="0" t="s">
        <v>569</v>
      </c>
      <c r="E260" s="0" t="s">
        <v>19</v>
      </c>
      <c r="G260" s="0" t="s">
        <v>150</v>
      </c>
      <c r="H260" s="0" t="s">
        <v>5406</v>
      </c>
    </row>
    <row r="261" customFormat="false" ht="13.5" hidden="false" customHeight="false" outlineLevel="0" collapsed="false">
      <c r="A261" s="0" t="s">
        <v>570</v>
      </c>
      <c r="B261" s="0" t="s">
        <v>136</v>
      </c>
      <c r="E261" s="0" t="s">
        <v>19</v>
      </c>
      <c r="G261" s="0" t="s">
        <v>273</v>
      </c>
      <c r="H261" s="0" t="s">
        <v>5406</v>
      </c>
    </row>
    <row r="262" customFormat="false" ht="13.5" hidden="false" customHeight="false" outlineLevel="0" collapsed="false">
      <c r="A262" s="0" t="s">
        <v>571</v>
      </c>
      <c r="B262" s="0" t="s">
        <v>572</v>
      </c>
      <c r="E262" s="0" t="s">
        <v>19</v>
      </c>
      <c r="G262" s="0" t="s">
        <v>47</v>
      </c>
      <c r="H262" s="0" t="s">
        <v>5406</v>
      </c>
    </row>
    <row r="263" customFormat="false" ht="13.5" hidden="false" customHeight="false" outlineLevel="0" collapsed="false">
      <c r="A263" s="0" t="s">
        <v>573</v>
      </c>
      <c r="B263" s="0" t="s">
        <v>574</v>
      </c>
      <c r="E263" s="0" t="s">
        <v>19</v>
      </c>
      <c r="G263" s="0" t="s">
        <v>32</v>
      </c>
      <c r="H263" s="0" t="s">
        <v>5418</v>
      </c>
    </row>
    <row r="264" customFormat="false" ht="13.5" hidden="false" customHeight="false" outlineLevel="0" collapsed="false">
      <c r="A264" s="0" t="s">
        <v>575</v>
      </c>
      <c r="B264" s="0" t="s">
        <v>576</v>
      </c>
      <c r="E264" s="0" t="s">
        <v>19</v>
      </c>
      <c r="G264" s="0" t="s">
        <v>47</v>
      </c>
      <c r="H264" s="0" t="s">
        <v>5406</v>
      </c>
    </row>
    <row r="265" customFormat="false" ht="13.5" hidden="false" customHeight="false" outlineLevel="0" collapsed="false">
      <c r="A265" s="0" t="s">
        <v>578</v>
      </c>
      <c r="B265" s="0" t="s">
        <v>579</v>
      </c>
      <c r="E265" s="0" t="s">
        <v>19</v>
      </c>
      <c r="G265" s="0" t="s">
        <v>580</v>
      </c>
      <c r="H265" s="0" t="s">
        <v>5406</v>
      </c>
    </row>
    <row r="266" customFormat="false" ht="13.5" hidden="false" customHeight="false" outlineLevel="0" collapsed="false">
      <c r="A266" s="0" t="s">
        <v>582</v>
      </c>
      <c r="B266" s="0" t="s">
        <v>583</v>
      </c>
      <c r="E266" s="0" t="s">
        <v>19</v>
      </c>
      <c r="G266" s="0" t="s">
        <v>122</v>
      </c>
      <c r="H266" s="0" t="s">
        <v>5406</v>
      </c>
    </row>
    <row r="267" customFormat="false" ht="13.5" hidden="false" customHeight="false" outlineLevel="0" collapsed="false">
      <c r="A267" s="0" t="s">
        <v>584</v>
      </c>
      <c r="B267" s="0" t="s">
        <v>585</v>
      </c>
      <c r="E267" s="0" t="s">
        <v>19</v>
      </c>
      <c r="G267" s="0" t="s">
        <v>32</v>
      </c>
      <c r="H267" s="0" t="s">
        <v>5418</v>
      </c>
    </row>
    <row r="268" customFormat="false" ht="13.5" hidden="false" customHeight="false" outlineLevel="0" collapsed="false">
      <c r="A268" s="0" t="s">
        <v>586</v>
      </c>
      <c r="B268" s="0" t="s">
        <v>495</v>
      </c>
      <c r="E268" s="0" t="s">
        <v>19</v>
      </c>
      <c r="G268" s="0" t="s">
        <v>12</v>
      </c>
      <c r="H268" s="0" t="s">
        <v>5406</v>
      </c>
    </row>
    <row r="269" customFormat="false" ht="13.5" hidden="false" customHeight="false" outlineLevel="0" collapsed="false">
      <c r="A269" s="0" t="s">
        <v>587</v>
      </c>
      <c r="B269" s="0" t="s">
        <v>588</v>
      </c>
      <c r="E269" s="0" t="s">
        <v>19</v>
      </c>
      <c r="G269" s="0" t="s">
        <v>589</v>
      </c>
      <c r="H269" s="0" t="s">
        <v>5406</v>
      </c>
    </row>
    <row r="270" customFormat="false" ht="13.5" hidden="false" customHeight="false" outlineLevel="0" collapsed="false">
      <c r="A270" s="0" t="s">
        <v>590</v>
      </c>
      <c r="B270" s="0" t="s">
        <v>591</v>
      </c>
      <c r="E270" s="0" t="s">
        <v>19</v>
      </c>
      <c r="G270" s="0" t="s">
        <v>407</v>
      </c>
      <c r="H270" s="0" t="s">
        <v>5418</v>
      </c>
    </row>
    <row r="271" customFormat="false" ht="13.5" hidden="false" customHeight="false" outlineLevel="0" collapsed="false">
      <c r="A271" s="0" t="s">
        <v>592</v>
      </c>
      <c r="B271" s="0" t="s">
        <v>593</v>
      </c>
      <c r="E271" s="0" t="s">
        <v>19</v>
      </c>
      <c r="G271" s="0" t="s">
        <v>150</v>
      </c>
      <c r="H271" s="0" t="s">
        <v>5406</v>
      </c>
    </row>
    <row r="272" customFormat="false" ht="13.5" hidden="false" customHeight="false" outlineLevel="0" collapsed="false">
      <c r="A272" s="0" t="s">
        <v>594</v>
      </c>
      <c r="B272" s="0" t="s">
        <v>595</v>
      </c>
      <c r="E272" s="0" t="s">
        <v>19</v>
      </c>
      <c r="G272" s="0" t="s">
        <v>98</v>
      </c>
      <c r="H272" s="0" t="s">
        <v>5406</v>
      </c>
    </row>
    <row r="273" customFormat="false" ht="13.5" hidden="false" customHeight="false" outlineLevel="0" collapsed="false">
      <c r="A273" s="0" t="s">
        <v>594</v>
      </c>
      <c r="B273" s="0" t="s">
        <v>595</v>
      </c>
      <c r="E273" s="0" t="s">
        <v>19</v>
      </c>
      <c r="G273" s="0" t="s">
        <v>6029</v>
      </c>
      <c r="H273" s="0" t="s">
        <v>5406</v>
      </c>
    </row>
    <row r="274" customFormat="false" ht="13.5" hidden="false" customHeight="false" outlineLevel="0" collapsed="false">
      <c r="A274" s="0" t="s">
        <v>597</v>
      </c>
      <c r="B274" s="0" t="s">
        <v>598</v>
      </c>
      <c r="E274" s="0" t="s">
        <v>19</v>
      </c>
      <c r="G274" s="0" t="s">
        <v>599</v>
      </c>
      <c r="H274" s="0" t="s">
        <v>5418</v>
      </c>
    </row>
    <row r="275" customFormat="false" ht="13.5" hidden="false" customHeight="false" outlineLevel="0" collapsed="false">
      <c r="A275" s="0" t="s">
        <v>600</v>
      </c>
      <c r="B275" s="0" t="s">
        <v>601</v>
      </c>
      <c r="E275" s="0" t="s">
        <v>19</v>
      </c>
      <c r="G275" s="0" t="s">
        <v>12</v>
      </c>
      <c r="H275" s="0" t="s">
        <v>5406</v>
      </c>
    </row>
    <row r="276" customFormat="false" ht="13.5" hidden="false" customHeight="false" outlineLevel="0" collapsed="false">
      <c r="A276" s="0" t="s">
        <v>602</v>
      </c>
      <c r="B276" s="0" t="s">
        <v>603</v>
      </c>
      <c r="E276" s="0" t="s">
        <v>19</v>
      </c>
      <c r="G276" s="0" t="s">
        <v>351</v>
      </c>
      <c r="H276" s="0" t="s">
        <v>5406</v>
      </c>
    </row>
    <row r="277" customFormat="false" ht="13.5" hidden="false" customHeight="false" outlineLevel="0" collapsed="false">
      <c r="A277" s="0" t="s">
        <v>604</v>
      </c>
      <c r="B277" s="0" t="s">
        <v>605</v>
      </c>
      <c r="E277" s="0" t="s">
        <v>19</v>
      </c>
      <c r="G277" s="0" t="s">
        <v>32</v>
      </c>
      <c r="H277" s="0" t="s">
        <v>5418</v>
      </c>
    </row>
    <row r="278" customFormat="false" ht="13.5" hidden="false" customHeight="false" outlineLevel="0" collapsed="false">
      <c r="A278" s="0" t="s">
        <v>606</v>
      </c>
      <c r="B278" s="0" t="s">
        <v>607</v>
      </c>
      <c r="E278" s="0" t="s">
        <v>19</v>
      </c>
      <c r="G278" s="0" t="s">
        <v>370</v>
      </c>
      <c r="H278" s="0" t="s">
        <v>5406</v>
      </c>
    </row>
    <row r="279" customFormat="false" ht="13.5" hidden="false" customHeight="false" outlineLevel="0" collapsed="false">
      <c r="A279" s="0" t="s">
        <v>608</v>
      </c>
      <c r="B279" s="0" t="s">
        <v>609</v>
      </c>
      <c r="E279" s="0" t="s">
        <v>19</v>
      </c>
      <c r="G279" s="0" t="s">
        <v>610</v>
      </c>
      <c r="H279" s="0" t="s">
        <v>5418</v>
      </c>
    </row>
    <row r="280" customFormat="false" ht="13.5" hidden="false" customHeight="false" outlineLevel="0" collapsed="false">
      <c r="A280" s="0" t="s">
        <v>611</v>
      </c>
      <c r="B280" s="0" t="s">
        <v>404</v>
      </c>
      <c r="E280" s="0" t="s">
        <v>19</v>
      </c>
      <c r="G280" s="0" t="s">
        <v>12</v>
      </c>
      <c r="H280" s="0" t="s">
        <v>5406</v>
      </c>
    </row>
    <row r="281" customFormat="false" ht="13.5" hidden="false" customHeight="false" outlineLevel="0" collapsed="false">
      <c r="A281" s="0" t="s">
        <v>612</v>
      </c>
      <c r="B281" s="0" t="s">
        <v>613</v>
      </c>
      <c r="E281" s="0" t="s">
        <v>19</v>
      </c>
      <c r="G281" s="0" t="s">
        <v>307</v>
      </c>
      <c r="H281" s="0" t="s">
        <v>5406</v>
      </c>
    </row>
    <row r="282" customFormat="false" ht="13.5" hidden="false" customHeight="false" outlineLevel="0" collapsed="false">
      <c r="A282" s="0" t="s">
        <v>614</v>
      </c>
      <c r="B282" s="0" t="s">
        <v>615</v>
      </c>
      <c r="E282" s="0" t="s">
        <v>19</v>
      </c>
      <c r="G282" s="0" t="s">
        <v>616</v>
      </c>
      <c r="H282" s="0" t="s">
        <v>5418</v>
      </c>
    </row>
    <row r="283" customFormat="false" ht="13.5" hidden="false" customHeight="false" outlineLevel="0" collapsed="false">
      <c r="A283" s="0" t="s">
        <v>617</v>
      </c>
      <c r="B283" s="0" t="s">
        <v>618</v>
      </c>
      <c r="E283" s="0" t="s">
        <v>19</v>
      </c>
      <c r="G283" s="0" t="s">
        <v>226</v>
      </c>
      <c r="H283" s="0" t="s">
        <v>5406</v>
      </c>
    </row>
    <row r="284" customFormat="false" ht="13.5" hidden="false" customHeight="false" outlineLevel="0" collapsed="false">
      <c r="A284" s="0" t="s">
        <v>619</v>
      </c>
      <c r="B284" s="0" t="s">
        <v>620</v>
      </c>
      <c r="E284" s="0" t="s">
        <v>19</v>
      </c>
      <c r="G284" s="0" t="s">
        <v>32</v>
      </c>
      <c r="H284" s="0" t="s">
        <v>5418</v>
      </c>
    </row>
    <row r="285" customFormat="false" ht="13.5" hidden="false" customHeight="false" outlineLevel="0" collapsed="false">
      <c r="A285" s="0" t="s">
        <v>621</v>
      </c>
      <c r="B285" s="0" t="s">
        <v>622</v>
      </c>
      <c r="E285" s="0" t="s">
        <v>19</v>
      </c>
      <c r="G285" s="0" t="s">
        <v>98</v>
      </c>
      <c r="H285" s="0" t="s">
        <v>5406</v>
      </c>
    </row>
    <row r="286" customFormat="false" ht="13.5" hidden="false" customHeight="false" outlineLevel="0" collapsed="false">
      <c r="A286" s="0" t="s">
        <v>623</v>
      </c>
      <c r="B286" s="0" t="s">
        <v>624</v>
      </c>
      <c r="E286" s="0" t="s">
        <v>19</v>
      </c>
      <c r="G286" s="0" t="s">
        <v>625</v>
      </c>
      <c r="H286" s="0" t="s">
        <v>5406</v>
      </c>
    </row>
    <row r="287" customFormat="false" ht="13.5" hidden="false" customHeight="false" outlineLevel="0" collapsed="false">
      <c r="A287" s="0" t="s">
        <v>626</v>
      </c>
      <c r="B287" s="0" t="s">
        <v>627</v>
      </c>
      <c r="E287" s="0" t="s">
        <v>19</v>
      </c>
      <c r="G287" s="0" t="s">
        <v>351</v>
      </c>
      <c r="H287" s="0" t="s">
        <v>5406</v>
      </c>
    </row>
    <row r="288" customFormat="false" ht="13.5" hidden="false" customHeight="false" outlineLevel="0" collapsed="false">
      <c r="A288" s="0" t="s">
        <v>628</v>
      </c>
      <c r="B288" s="0" t="s">
        <v>629</v>
      </c>
      <c r="E288" s="0" t="s">
        <v>19</v>
      </c>
      <c r="G288" s="0" t="s">
        <v>32</v>
      </c>
      <c r="H288" s="0" t="s">
        <v>5418</v>
      </c>
    </row>
    <row r="289" customFormat="false" ht="13.5" hidden="false" customHeight="false" outlineLevel="0" collapsed="false">
      <c r="A289" s="0" t="s">
        <v>630</v>
      </c>
      <c r="B289" s="0" t="s">
        <v>631</v>
      </c>
      <c r="E289" s="0" t="s">
        <v>19</v>
      </c>
      <c r="G289" s="0" t="s">
        <v>589</v>
      </c>
      <c r="H289" s="0" t="s">
        <v>5406</v>
      </c>
    </row>
    <row r="290" customFormat="false" ht="13.5" hidden="false" customHeight="false" outlineLevel="0" collapsed="false">
      <c r="A290" s="0" t="s">
        <v>632</v>
      </c>
      <c r="B290" s="0" t="s">
        <v>633</v>
      </c>
      <c r="E290" s="0" t="s">
        <v>19</v>
      </c>
      <c r="G290" s="0" t="s">
        <v>625</v>
      </c>
      <c r="H290" s="0" t="s">
        <v>5418</v>
      </c>
    </row>
    <row r="291" customFormat="false" ht="13.5" hidden="false" customHeight="false" outlineLevel="0" collapsed="false">
      <c r="A291" s="0" t="s">
        <v>634</v>
      </c>
      <c r="B291" s="0" t="s">
        <v>635</v>
      </c>
      <c r="E291" s="0" t="s">
        <v>19</v>
      </c>
      <c r="G291" s="0" t="s">
        <v>47</v>
      </c>
      <c r="H291" s="0" t="s">
        <v>5406</v>
      </c>
    </row>
    <row r="292" customFormat="false" ht="13.5" hidden="false" customHeight="false" outlineLevel="0" collapsed="false">
      <c r="A292" s="0" t="s">
        <v>636</v>
      </c>
      <c r="B292" s="0" t="s">
        <v>637</v>
      </c>
      <c r="E292" s="0" t="s">
        <v>19</v>
      </c>
      <c r="G292" s="0" t="s">
        <v>226</v>
      </c>
      <c r="H292" s="0" t="s">
        <v>5406</v>
      </c>
    </row>
    <row r="293" customFormat="false" ht="13.5" hidden="false" customHeight="false" outlineLevel="0" collapsed="false">
      <c r="A293" s="0" t="s">
        <v>638</v>
      </c>
      <c r="B293" s="0" t="s">
        <v>639</v>
      </c>
      <c r="E293" s="0" t="s">
        <v>19</v>
      </c>
      <c r="G293" s="0" t="s">
        <v>47</v>
      </c>
      <c r="H293" s="0" t="s">
        <v>5406</v>
      </c>
    </row>
    <row r="294" customFormat="false" ht="13.5" hidden="false" customHeight="false" outlineLevel="0" collapsed="false">
      <c r="A294" s="0" t="s">
        <v>640</v>
      </c>
      <c r="B294" s="0" t="s">
        <v>641</v>
      </c>
      <c r="E294" s="0" t="s">
        <v>19</v>
      </c>
      <c r="G294" s="0" t="s">
        <v>6030</v>
      </c>
      <c r="H294" s="0" t="s">
        <v>5406</v>
      </c>
    </row>
    <row r="295" customFormat="false" ht="13.5" hidden="false" customHeight="false" outlineLevel="0" collapsed="false">
      <c r="A295" s="0" t="s">
        <v>640</v>
      </c>
      <c r="B295" s="0" t="s">
        <v>641</v>
      </c>
      <c r="E295" s="0" t="s">
        <v>19</v>
      </c>
      <c r="G295" s="0" t="s">
        <v>47</v>
      </c>
      <c r="H295" s="0" t="s">
        <v>5406</v>
      </c>
    </row>
    <row r="296" customFormat="false" ht="13.5" hidden="false" customHeight="false" outlineLevel="0" collapsed="false">
      <c r="A296" s="0" t="s">
        <v>643</v>
      </c>
      <c r="B296" s="0" t="s">
        <v>644</v>
      </c>
      <c r="E296" s="0" t="s">
        <v>19</v>
      </c>
      <c r="G296" s="0" t="s">
        <v>98</v>
      </c>
      <c r="H296" s="0" t="s">
        <v>5406</v>
      </c>
    </row>
    <row r="297" customFormat="false" ht="13.5" hidden="false" customHeight="false" outlineLevel="0" collapsed="false">
      <c r="A297" s="0" t="s">
        <v>645</v>
      </c>
      <c r="B297" s="0" t="s">
        <v>646</v>
      </c>
      <c r="E297" s="0" t="s">
        <v>19</v>
      </c>
      <c r="G297" s="0" t="s">
        <v>98</v>
      </c>
      <c r="H297" s="0" t="s">
        <v>5406</v>
      </c>
    </row>
    <row r="298" customFormat="false" ht="13.5" hidden="false" customHeight="false" outlineLevel="0" collapsed="false">
      <c r="A298" s="0" t="s">
        <v>647</v>
      </c>
      <c r="B298" s="0" t="s">
        <v>648</v>
      </c>
      <c r="E298" s="0" t="s">
        <v>19</v>
      </c>
      <c r="G298" s="0" t="s">
        <v>649</v>
      </c>
      <c r="H298" s="0" t="s">
        <v>5418</v>
      </c>
    </row>
    <row r="299" customFormat="false" ht="13.5" hidden="false" customHeight="false" outlineLevel="0" collapsed="false">
      <c r="A299" s="0" t="s">
        <v>650</v>
      </c>
      <c r="B299" s="0" t="s">
        <v>651</v>
      </c>
      <c r="E299" s="0" t="s">
        <v>19</v>
      </c>
      <c r="G299" s="0" t="s">
        <v>652</v>
      </c>
      <c r="H299" s="0" t="s">
        <v>5406</v>
      </c>
    </row>
    <row r="300" customFormat="false" ht="13.5" hidden="false" customHeight="false" outlineLevel="0" collapsed="false">
      <c r="A300" s="0" t="s">
        <v>653</v>
      </c>
      <c r="B300" s="0" t="s">
        <v>654</v>
      </c>
      <c r="E300" s="0" t="s">
        <v>19</v>
      </c>
      <c r="G300" s="0" t="s">
        <v>655</v>
      </c>
      <c r="H300" s="0" t="s">
        <v>5406</v>
      </c>
    </row>
    <row r="301" customFormat="false" ht="13.5" hidden="false" customHeight="false" outlineLevel="0" collapsed="false">
      <c r="A301" s="0" t="s">
        <v>656</v>
      </c>
      <c r="B301" s="0" t="s">
        <v>657</v>
      </c>
      <c r="E301" s="0" t="s">
        <v>24</v>
      </c>
      <c r="G301" s="0" t="s">
        <v>32</v>
      </c>
      <c r="H301" s="0" t="s">
        <v>5406</v>
      </c>
    </row>
    <row r="302" customFormat="false" ht="13.5" hidden="false" customHeight="false" outlineLevel="0" collapsed="false">
      <c r="A302" s="0" t="s">
        <v>658</v>
      </c>
      <c r="B302" s="0" t="s">
        <v>659</v>
      </c>
      <c r="E302" s="0" t="s">
        <v>19</v>
      </c>
      <c r="G302" s="0" t="s">
        <v>660</v>
      </c>
      <c r="H302" s="0" t="s">
        <v>5406</v>
      </c>
    </row>
    <row r="303" customFormat="false" ht="13.5" hidden="false" customHeight="false" outlineLevel="0" collapsed="false">
      <c r="A303" s="0" t="s">
        <v>661</v>
      </c>
      <c r="B303" s="0" t="s">
        <v>662</v>
      </c>
      <c r="E303" s="0" t="s">
        <v>19</v>
      </c>
      <c r="G303" s="0" t="s">
        <v>47</v>
      </c>
      <c r="H303" s="0" t="s">
        <v>5406</v>
      </c>
    </row>
    <row r="304" customFormat="false" ht="13.5" hidden="false" customHeight="false" outlineLevel="0" collapsed="false">
      <c r="A304" s="0" t="s">
        <v>663</v>
      </c>
      <c r="B304" s="0" t="s">
        <v>664</v>
      </c>
      <c r="E304" s="0" t="s">
        <v>19</v>
      </c>
      <c r="G304" s="0" t="s">
        <v>47</v>
      </c>
      <c r="H304" s="0" t="s">
        <v>5406</v>
      </c>
    </row>
    <row r="305" customFormat="false" ht="13.5" hidden="false" customHeight="false" outlineLevel="0" collapsed="false">
      <c r="A305" s="0" t="s">
        <v>665</v>
      </c>
      <c r="B305" s="0" t="s">
        <v>666</v>
      </c>
      <c r="E305" s="0" t="s">
        <v>19</v>
      </c>
      <c r="G305" s="0" t="s">
        <v>263</v>
      </c>
      <c r="H305" s="0" t="s">
        <v>5406</v>
      </c>
    </row>
    <row r="306" customFormat="false" ht="13.5" hidden="false" customHeight="false" outlineLevel="0" collapsed="false">
      <c r="A306" s="0" t="s">
        <v>667</v>
      </c>
      <c r="B306" s="0" t="s">
        <v>668</v>
      </c>
      <c r="E306" s="0" t="s">
        <v>19</v>
      </c>
      <c r="G306" s="0" t="s">
        <v>669</v>
      </c>
      <c r="H306" s="0" t="s">
        <v>5418</v>
      </c>
    </row>
    <row r="307" customFormat="false" ht="13.5" hidden="false" customHeight="false" outlineLevel="0" collapsed="false">
      <c r="A307" s="0" t="s">
        <v>670</v>
      </c>
      <c r="B307" s="0" t="s">
        <v>671</v>
      </c>
      <c r="E307" s="0" t="s">
        <v>19</v>
      </c>
      <c r="G307" s="0" t="s">
        <v>672</v>
      </c>
      <c r="H307" s="0" t="s">
        <v>5406</v>
      </c>
    </row>
    <row r="308" customFormat="false" ht="13.5" hidden="false" customHeight="false" outlineLevel="0" collapsed="false">
      <c r="A308" s="0" t="s">
        <v>673</v>
      </c>
      <c r="B308" s="0" t="s">
        <v>674</v>
      </c>
      <c r="E308" s="0" t="s">
        <v>19</v>
      </c>
      <c r="G308" s="0" t="s">
        <v>655</v>
      </c>
      <c r="H308" s="0" t="s">
        <v>5406</v>
      </c>
    </row>
    <row r="309" customFormat="false" ht="13.5" hidden="false" customHeight="false" outlineLevel="0" collapsed="false">
      <c r="A309" s="0" t="s">
        <v>675</v>
      </c>
      <c r="B309" s="0" t="s">
        <v>676</v>
      </c>
      <c r="E309" s="0" t="s">
        <v>19</v>
      </c>
      <c r="G309" s="0" t="s">
        <v>32</v>
      </c>
      <c r="H309" s="0" t="s">
        <v>5418</v>
      </c>
    </row>
    <row r="310" customFormat="false" ht="13.5" hidden="false" customHeight="false" outlineLevel="0" collapsed="false">
      <c r="A310" s="0" t="s">
        <v>677</v>
      </c>
      <c r="B310" s="0" t="s">
        <v>678</v>
      </c>
      <c r="E310" s="0" t="s">
        <v>19</v>
      </c>
      <c r="G310" s="0" t="s">
        <v>679</v>
      </c>
      <c r="H310" s="0" t="s">
        <v>5418</v>
      </c>
    </row>
    <row r="311" customFormat="false" ht="13.5" hidden="false" customHeight="false" outlineLevel="0" collapsed="false">
      <c r="A311" s="0" t="s">
        <v>680</v>
      </c>
      <c r="B311" s="0" t="s">
        <v>681</v>
      </c>
      <c r="E311" s="0" t="s">
        <v>19</v>
      </c>
      <c r="G311" s="0" t="s">
        <v>682</v>
      </c>
      <c r="H311" s="0" t="s">
        <v>5418</v>
      </c>
    </row>
    <row r="312" customFormat="false" ht="13.5" hidden="false" customHeight="false" outlineLevel="0" collapsed="false">
      <c r="A312" s="0" t="s">
        <v>683</v>
      </c>
      <c r="B312" s="0" t="s">
        <v>684</v>
      </c>
      <c r="E312" s="0" t="s">
        <v>19</v>
      </c>
      <c r="G312" s="0" t="s">
        <v>98</v>
      </c>
      <c r="H312" s="0" t="s">
        <v>5406</v>
      </c>
    </row>
    <row r="313" customFormat="false" ht="13.5" hidden="false" customHeight="false" outlineLevel="0" collapsed="false">
      <c r="A313" s="0" t="s">
        <v>685</v>
      </c>
      <c r="B313" s="0" t="s">
        <v>686</v>
      </c>
      <c r="E313" s="0" t="s">
        <v>19</v>
      </c>
      <c r="G313" s="0" t="s">
        <v>625</v>
      </c>
      <c r="H313" s="0" t="s">
        <v>5406</v>
      </c>
    </row>
    <row r="314" customFormat="false" ht="13.5" hidden="false" customHeight="false" outlineLevel="0" collapsed="false">
      <c r="A314" s="0" t="s">
        <v>687</v>
      </c>
      <c r="B314" s="0" t="s">
        <v>688</v>
      </c>
      <c r="E314" s="0" t="s">
        <v>24</v>
      </c>
      <c r="G314" s="0" t="s">
        <v>47</v>
      </c>
      <c r="H314" s="0" t="s">
        <v>5406</v>
      </c>
    </row>
    <row r="315" customFormat="false" ht="13.5" hidden="false" customHeight="false" outlineLevel="0" collapsed="false">
      <c r="A315" s="0" t="s">
        <v>689</v>
      </c>
      <c r="B315" s="0" t="s">
        <v>690</v>
      </c>
      <c r="E315" s="0" t="s">
        <v>24</v>
      </c>
      <c r="G315" s="0" t="s">
        <v>12</v>
      </c>
      <c r="H315" s="0" t="s">
        <v>5406</v>
      </c>
    </row>
    <row r="316" customFormat="false" ht="13.5" hidden="false" customHeight="false" outlineLevel="0" collapsed="false">
      <c r="A316" s="0" t="s">
        <v>691</v>
      </c>
      <c r="B316" s="0" t="s">
        <v>692</v>
      </c>
      <c r="E316" s="0" t="s">
        <v>19</v>
      </c>
      <c r="G316" s="0" t="s">
        <v>47</v>
      </c>
      <c r="H316" s="0" t="s">
        <v>5406</v>
      </c>
    </row>
    <row r="317" customFormat="false" ht="13.5" hidden="false" customHeight="false" outlineLevel="0" collapsed="false">
      <c r="A317" s="0" t="s">
        <v>693</v>
      </c>
      <c r="B317" s="0" t="s">
        <v>694</v>
      </c>
      <c r="E317" s="0" t="s">
        <v>19</v>
      </c>
      <c r="G317" s="0" t="s">
        <v>695</v>
      </c>
      <c r="H317" s="0" t="s">
        <v>5418</v>
      </c>
    </row>
    <row r="318" customFormat="false" ht="13.5" hidden="false" customHeight="false" outlineLevel="0" collapsed="false">
      <c r="A318" s="0" t="s">
        <v>696</v>
      </c>
      <c r="B318" s="0" t="s">
        <v>697</v>
      </c>
      <c r="E318" s="0" t="s">
        <v>19</v>
      </c>
      <c r="G318" s="0" t="s">
        <v>287</v>
      </c>
      <c r="H318" s="0" t="s">
        <v>5406</v>
      </c>
    </row>
    <row r="319" customFormat="false" ht="13.5" hidden="false" customHeight="false" outlineLevel="0" collapsed="false">
      <c r="A319" s="0" t="s">
        <v>698</v>
      </c>
      <c r="B319" s="0" t="s">
        <v>699</v>
      </c>
      <c r="E319" s="0" t="s">
        <v>19</v>
      </c>
      <c r="G319" s="0" t="s">
        <v>150</v>
      </c>
      <c r="H319" s="0" t="s">
        <v>5406</v>
      </c>
    </row>
    <row r="320" customFormat="false" ht="13.5" hidden="false" customHeight="false" outlineLevel="0" collapsed="false">
      <c r="A320" s="0" t="s">
        <v>700</v>
      </c>
      <c r="B320" s="0" t="s">
        <v>701</v>
      </c>
      <c r="E320" s="0" t="s">
        <v>19</v>
      </c>
      <c r="G320" s="0" t="s">
        <v>702</v>
      </c>
      <c r="H320" s="0" t="s">
        <v>5418</v>
      </c>
    </row>
    <row r="321" customFormat="false" ht="13.5" hidden="false" customHeight="false" outlineLevel="0" collapsed="false">
      <c r="A321" s="0" t="s">
        <v>703</v>
      </c>
      <c r="B321" s="0" t="s">
        <v>704</v>
      </c>
      <c r="E321" s="0" t="s">
        <v>19</v>
      </c>
      <c r="G321" s="0" t="s">
        <v>705</v>
      </c>
      <c r="H321" s="0" t="s">
        <v>5418</v>
      </c>
    </row>
    <row r="322" customFormat="false" ht="13.5" hidden="false" customHeight="false" outlineLevel="0" collapsed="false">
      <c r="A322" s="0" t="s">
        <v>706</v>
      </c>
      <c r="B322" s="0" t="s">
        <v>707</v>
      </c>
      <c r="E322" s="0" t="s">
        <v>24</v>
      </c>
      <c r="G322" s="0" t="s">
        <v>200</v>
      </c>
      <c r="H322" s="0" t="s">
        <v>5418</v>
      </c>
    </row>
    <row r="323" customFormat="false" ht="13.5" hidden="false" customHeight="false" outlineLevel="0" collapsed="false">
      <c r="A323" s="0" t="s">
        <v>708</v>
      </c>
      <c r="B323" s="0" t="s">
        <v>709</v>
      </c>
      <c r="E323" s="0" t="s">
        <v>19</v>
      </c>
      <c r="G323" s="0" t="s">
        <v>710</v>
      </c>
      <c r="H323" s="0" t="s">
        <v>5418</v>
      </c>
    </row>
    <row r="324" customFormat="false" ht="13.5" hidden="false" customHeight="false" outlineLevel="0" collapsed="false">
      <c r="A324" s="0" t="s">
        <v>711</v>
      </c>
      <c r="B324" s="0" t="s">
        <v>712</v>
      </c>
      <c r="E324" s="0" t="s">
        <v>24</v>
      </c>
      <c r="G324" s="0" t="s">
        <v>713</v>
      </c>
      <c r="H324" s="0" t="s">
        <v>5406</v>
      </c>
    </row>
    <row r="325" customFormat="false" ht="13.5" hidden="false" customHeight="false" outlineLevel="0" collapsed="false">
      <c r="A325" s="0" t="s">
        <v>714</v>
      </c>
      <c r="B325" s="0" t="s">
        <v>715</v>
      </c>
      <c r="E325" s="0" t="s">
        <v>19</v>
      </c>
      <c r="G325" s="0" t="s">
        <v>226</v>
      </c>
      <c r="H325" s="0" t="s">
        <v>5406</v>
      </c>
    </row>
    <row r="326" customFormat="false" ht="13.5" hidden="false" customHeight="false" outlineLevel="0" collapsed="false">
      <c r="A326" s="0" t="s">
        <v>716</v>
      </c>
      <c r="B326" s="0" t="s">
        <v>717</v>
      </c>
      <c r="E326" s="0" t="s">
        <v>19</v>
      </c>
      <c r="G326" s="0" t="s">
        <v>480</v>
      </c>
      <c r="H326" s="0" t="s">
        <v>5406</v>
      </c>
    </row>
    <row r="327" customFormat="false" ht="13.5" hidden="false" customHeight="false" outlineLevel="0" collapsed="false">
      <c r="A327" s="0" t="s">
        <v>718</v>
      </c>
      <c r="B327" s="0" t="s">
        <v>719</v>
      </c>
      <c r="E327" s="0" t="s">
        <v>19</v>
      </c>
      <c r="G327" s="0" t="s">
        <v>695</v>
      </c>
      <c r="H327" s="0" t="s">
        <v>5418</v>
      </c>
    </row>
    <row r="328" customFormat="false" ht="13.5" hidden="false" customHeight="false" outlineLevel="0" collapsed="false">
      <c r="A328" s="0" t="s">
        <v>720</v>
      </c>
      <c r="B328" s="0" t="s">
        <v>721</v>
      </c>
      <c r="E328" s="0" t="s">
        <v>19</v>
      </c>
      <c r="G328" s="0" t="s">
        <v>722</v>
      </c>
      <c r="H328" s="0" t="s">
        <v>5406</v>
      </c>
    </row>
    <row r="329" customFormat="false" ht="13.5" hidden="false" customHeight="false" outlineLevel="0" collapsed="false">
      <c r="A329" s="0" t="s">
        <v>723</v>
      </c>
      <c r="B329" s="0" t="s">
        <v>724</v>
      </c>
      <c r="E329" s="0" t="s">
        <v>725</v>
      </c>
      <c r="G329" s="0" t="s">
        <v>12</v>
      </c>
      <c r="H329" s="0" t="s">
        <v>5406</v>
      </c>
    </row>
    <row r="330" customFormat="false" ht="13.5" hidden="false" customHeight="false" outlineLevel="0" collapsed="false">
      <c r="A330" s="0" t="s">
        <v>726</v>
      </c>
      <c r="B330" s="0" t="s">
        <v>727</v>
      </c>
      <c r="E330" s="0" t="s">
        <v>24</v>
      </c>
      <c r="G330" s="0" t="s">
        <v>728</v>
      </c>
      <c r="H330" s="0" t="s">
        <v>5406</v>
      </c>
    </row>
    <row r="331" customFormat="false" ht="13.5" hidden="false" customHeight="false" outlineLevel="0" collapsed="false">
      <c r="A331" s="0" t="s">
        <v>729</v>
      </c>
      <c r="B331" s="0" t="s">
        <v>730</v>
      </c>
      <c r="E331" s="0" t="s">
        <v>19</v>
      </c>
      <c r="G331" s="0" t="s">
        <v>122</v>
      </c>
      <c r="H331" s="0" t="s">
        <v>5406</v>
      </c>
    </row>
    <row r="332" customFormat="false" ht="13.5" hidden="false" customHeight="false" outlineLevel="0" collapsed="false">
      <c r="A332" s="0" t="s">
        <v>731</v>
      </c>
      <c r="B332" s="0" t="s">
        <v>732</v>
      </c>
      <c r="E332" s="0" t="s">
        <v>19</v>
      </c>
      <c r="G332" s="0" t="s">
        <v>695</v>
      </c>
      <c r="H332" s="0" t="s">
        <v>5418</v>
      </c>
    </row>
    <row r="333" customFormat="false" ht="13.5" hidden="false" customHeight="false" outlineLevel="0" collapsed="false">
      <c r="A333" s="0" t="s">
        <v>733</v>
      </c>
      <c r="B333" s="0" t="s">
        <v>734</v>
      </c>
      <c r="E333" s="0" t="s">
        <v>19</v>
      </c>
      <c r="G333" s="0" t="s">
        <v>98</v>
      </c>
      <c r="H333" s="0" t="s">
        <v>5406</v>
      </c>
    </row>
    <row r="334" customFormat="false" ht="13.5" hidden="false" customHeight="false" outlineLevel="0" collapsed="false">
      <c r="A334" s="0" t="s">
        <v>735</v>
      </c>
      <c r="B334" s="0" t="s">
        <v>736</v>
      </c>
      <c r="E334" s="0" t="s">
        <v>19</v>
      </c>
      <c r="G334" s="0" t="s">
        <v>98</v>
      </c>
      <c r="H334" s="0" t="s">
        <v>5406</v>
      </c>
    </row>
    <row r="335" customFormat="false" ht="13.5" hidden="false" customHeight="false" outlineLevel="0" collapsed="false">
      <c r="A335" s="0" t="s">
        <v>737</v>
      </c>
      <c r="B335" s="0" t="s">
        <v>738</v>
      </c>
      <c r="E335" s="0" t="s">
        <v>19</v>
      </c>
      <c r="G335" s="0" t="s">
        <v>122</v>
      </c>
      <c r="H335" s="0" t="s">
        <v>5406</v>
      </c>
    </row>
    <row r="336" customFormat="false" ht="13.5" hidden="false" customHeight="false" outlineLevel="0" collapsed="false">
      <c r="A336" s="0" t="s">
        <v>739</v>
      </c>
      <c r="B336" s="0" t="s">
        <v>740</v>
      </c>
      <c r="E336" s="0" t="s">
        <v>19</v>
      </c>
      <c r="G336" s="0" t="s">
        <v>705</v>
      </c>
      <c r="H336" s="0" t="s">
        <v>5418</v>
      </c>
    </row>
    <row r="337" customFormat="false" ht="13.5" hidden="false" customHeight="false" outlineLevel="0" collapsed="false">
      <c r="A337" s="0" t="s">
        <v>741</v>
      </c>
      <c r="B337" s="0" t="s">
        <v>742</v>
      </c>
      <c r="E337" s="0" t="s">
        <v>24</v>
      </c>
      <c r="G337" s="0" t="s">
        <v>98</v>
      </c>
      <c r="H337" s="0" t="s">
        <v>5406</v>
      </c>
    </row>
    <row r="338" customFormat="false" ht="13.5" hidden="false" customHeight="false" outlineLevel="0" collapsed="false">
      <c r="A338" s="0" t="s">
        <v>743</v>
      </c>
      <c r="B338" s="0" t="s">
        <v>744</v>
      </c>
      <c r="E338" s="0" t="s">
        <v>19</v>
      </c>
      <c r="G338" s="0" t="s">
        <v>695</v>
      </c>
      <c r="H338" s="0" t="s">
        <v>5418</v>
      </c>
    </row>
    <row r="339" customFormat="false" ht="13.5" hidden="false" customHeight="false" outlineLevel="0" collapsed="false">
      <c r="A339" s="0" t="s">
        <v>745</v>
      </c>
      <c r="B339" s="0" t="s">
        <v>746</v>
      </c>
      <c r="E339" s="0" t="s">
        <v>19</v>
      </c>
      <c r="G339" s="0" t="s">
        <v>200</v>
      </c>
      <c r="H339" s="0" t="s">
        <v>5418</v>
      </c>
    </row>
    <row r="340" customFormat="false" ht="13.5" hidden="false" customHeight="false" outlineLevel="0" collapsed="false">
      <c r="A340" s="0" t="s">
        <v>747</v>
      </c>
      <c r="B340" s="0" t="s">
        <v>748</v>
      </c>
      <c r="E340" s="0" t="s">
        <v>19</v>
      </c>
      <c r="G340" s="0" t="s">
        <v>682</v>
      </c>
      <c r="H340" s="0" t="s">
        <v>5418</v>
      </c>
    </row>
    <row r="341" customFormat="false" ht="13.5" hidden="false" customHeight="false" outlineLevel="0" collapsed="false">
      <c r="A341" s="0" t="s">
        <v>749</v>
      </c>
      <c r="B341" s="0" t="s">
        <v>750</v>
      </c>
      <c r="E341" s="0" t="s">
        <v>19</v>
      </c>
      <c r="G341" s="0" t="s">
        <v>47</v>
      </c>
      <c r="H341" s="0" t="s">
        <v>5406</v>
      </c>
    </row>
    <row r="342" customFormat="false" ht="13.5" hidden="false" customHeight="false" outlineLevel="0" collapsed="false">
      <c r="A342" s="0" t="s">
        <v>751</v>
      </c>
      <c r="B342" s="0" t="s">
        <v>752</v>
      </c>
      <c r="E342" s="0" t="s">
        <v>19</v>
      </c>
      <c r="G342" s="0" t="s">
        <v>47</v>
      </c>
      <c r="H342" s="0" t="s">
        <v>5406</v>
      </c>
    </row>
    <row r="343" customFormat="false" ht="13.5" hidden="false" customHeight="false" outlineLevel="0" collapsed="false">
      <c r="A343" s="0" t="s">
        <v>753</v>
      </c>
      <c r="B343" s="0" t="s">
        <v>754</v>
      </c>
      <c r="E343" s="0" t="s">
        <v>19</v>
      </c>
      <c r="G343" s="0" t="s">
        <v>122</v>
      </c>
      <c r="H343" s="0" t="s">
        <v>5406</v>
      </c>
    </row>
    <row r="344" customFormat="false" ht="13.5" hidden="false" customHeight="false" outlineLevel="0" collapsed="false">
      <c r="A344" s="0" t="s">
        <v>755</v>
      </c>
      <c r="B344" s="0" t="s">
        <v>756</v>
      </c>
      <c r="E344" s="0" t="s">
        <v>19</v>
      </c>
      <c r="G344" s="0" t="s">
        <v>150</v>
      </c>
      <c r="H344" s="0" t="s">
        <v>5406</v>
      </c>
    </row>
    <row r="345" customFormat="false" ht="13.5" hidden="false" customHeight="false" outlineLevel="0" collapsed="false">
      <c r="A345" s="0" t="s">
        <v>757</v>
      </c>
      <c r="B345" s="0" t="s">
        <v>758</v>
      </c>
      <c r="E345" s="0" t="s">
        <v>19</v>
      </c>
      <c r="G345" s="0" t="s">
        <v>370</v>
      </c>
      <c r="H345" s="0" t="s">
        <v>5406</v>
      </c>
    </row>
    <row r="346" customFormat="false" ht="13.5" hidden="false" customHeight="false" outlineLevel="0" collapsed="false">
      <c r="A346" s="0" t="s">
        <v>759</v>
      </c>
      <c r="B346" s="0" t="s">
        <v>760</v>
      </c>
      <c r="E346" s="0" t="s">
        <v>19</v>
      </c>
      <c r="G346" s="0" t="s">
        <v>761</v>
      </c>
      <c r="H346" s="0" t="s">
        <v>5418</v>
      </c>
    </row>
    <row r="347" customFormat="false" ht="13.5" hidden="false" customHeight="false" outlineLevel="0" collapsed="false">
      <c r="A347" s="0" t="s">
        <v>762</v>
      </c>
      <c r="B347" s="0" t="s">
        <v>763</v>
      </c>
      <c r="E347" s="0" t="s">
        <v>19</v>
      </c>
      <c r="G347" s="0" t="s">
        <v>263</v>
      </c>
      <c r="H347" s="0" t="s">
        <v>5406</v>
      </c>
    </row>
    <row r="348" customFormat="false" ht="13.5" hidden="false" customHeight="false" outlineLevel="0" collapsed="false">
      <c r="A348" s="0" t="s">
        <v>764</v>
      </c>
      <c r="B348" s="0" t="s">
        <v>765</v>
      </c>
      <c r="E348" s="0" t="s">
        <v>19</v>
      </c>
      <c r="G348" s="0" t="s">
        <v>766</v>
      </c>
      <c r="H348" s="0" t="s">
        <v>5418</v>
      </c>
    </row>
    <row r="349" customFormat="false" ht="13.5" hidden="false" customHeight="false" outlineLevel="0" collapsed="false">
      <c r="A349" s="0" t="s">
        <v>767</v>
      </c>
      <c r="B349" s="0" t="s">
        <v>768</v>
      </c>
      <c r="E349" s="0" t="s">
        <v>19</v>
      </c>
      <c r="G349" s="0" t="s">
        <v>76</v>
      </c>
      <c r="H349" s="0" t="s">
        <v>5418</v>
      </c>
    </row>
    <row r="350" customFormat="false" ht="13.5" hidden="false" customHeight="false" outlineLevel="0" collapsed="false">
      <c r="A350" s="0" t="s">
        <v>769</v>
      </c>
      <c r="B350" s="0" t="s">
        <v>770</v>
      </c>
      <c r="E350" s="0" t="s">
        <v>19</v>
      </c>
      <c r="G350" s="0" t="s">
        <v>32</v>
      </c>
      <c r="H350" s="0" t="s">
        <v>5418</v>
      </c>
    </row>
    <row r="351" customFormat="false" ht="13.5" hidden="false" customHeight="false" outlineLevel="0" collapsed="false">
      <c r="A351" s="0" t="s">
        <v>771</v>
      </c>
      <c r="B351" s="0" t="s">
        <v>772</v>
      </c>
      <c r="E351" s="0" t="s">
        <v>19</v>
      </c>
      <c r="G351" s="0" t="s">
        <v>200</v>
      </c>
      <c r="H351" s="0" t="s">
        <v>5418</v>
      </c>
    </row>
    <row r="352" customFormat="false" ht="13.5" hidden="false" customHeight="false" outlineLevel="0" collapsed="false">
      <c r="A352" s="0" t="s">
        <v>773</v>
      </c>
      <c r="B352" s="0" t="s">
        <v>774</v>
      </c>
      <c r="E352" s="0" t="s">
        <v>19</v>
      </c>
      <c r="G352" s="0" t="s">
        <v>775</v>
      </c>
      <c r="H352" s="0" t="s">
        <v>5418</v>
      </c>
    </row>
    <row r="353" customFormat="false" ht="13.5" hidden="false" customHeight="false" outlineLevel="0" collapsed="false">
      <c r="A353" s="0" t="s">
        <v>776</v>
      </c>
      <c r="B353" s="0" t="s">
        <v>777</v>
      </c>
      <c r="E353" s="0" t="s">
        <v>19</v>
      </c>
      <c r="G353" s="0" t="s">
        <v>778</v>
      </c>
      <c r="H353" s="0" t="s">
        <v>5406</v>
      </c>
    </row>
    <row r="354" customFormat="false" ht="13.5" hidden="false" customHeight="false" outlineLevel="0" collapsed="false">
      <c r="A354" s="0" t="s">
        <v>779</v>
      </c>
      <c r="B354" s="0" t="s">
        <v>780</v>
      </c>
      <c r="E354" s="0" t="s">
        <v>19</v>
      </c>
      <c r="G354" s="0" t="s">
        <v>12</v>
      </c>
      <c r="H354" s="0" t="s">
        <v>5406</v>
      </c>
    </row>
    <row r="355" customFormat="false" ht="13.5" hidden="false" customHeight="false" outlineLevel="0" collapsed="false">
      <c r="A355" s="0" t="s">
        <v>781</v>
      </c>
      <c r="B355" s="0" t="s">
        <v>782</v>
      </c>
      <c r="E355" s="0" t="s">
        <v>19</v>
      </c>
      <c r="G355" s="0" t="s">
        <v>783</v>
      </c>
      <c r="H355" s="0" t="s">
        <v>5418</v>
      </c>
    </row>
    <row r="356" customFormat="false" ht="13.5" hidden="false" customHeight="false" outlineLevel="0" collapsed="false">
      <c r="A356" s="0" t="s">
        <v>784</v>
      </c>
      <c r="B356" s="0" t="s">
        <v>785</v>
      </c>
      <c r="E356" s="0" t="s">
        <v>19</v>
      </c>
      <c r="G356" s="0" t="s">
        <v>783</v>
      </c>
      <c r="H356" s="0" t="s">
        <v>5418</v>
      </c>
    </row>
    <row r="357" customFormat="false" ht="13.5" hidden="false" customHeight="false" outlineLevel="0" collapsed="false">
      <c r="A357" s="0" t="s">
        <v>786</v>
      </c>
      <c r="B357" s="0" t="s">
        <v>787</v>
      </c>
      <c r="E357" s="0" t="s">
        <v>19</v>
      </c>
      <c r="G357" s="0" t="s">
        <v>98</v>
      </c>
      <c r="H357" s="0" t="s">
        <v>5406</v>
      </c>
    </row>
    <row r="358" customFormat="false" ht="13.5" hidden="false" customHeight="false" outlineLevel="0" collapsed="false">
      <c r="A358" s="0" t="s">
        <v>788</v>
      </c>
      <c r="B358" s="0" t="s">
        <v>789</v>
      </c>
      <c r="E358" s="0" t="s">
        <v>19</v>
      </c>
      <c r="G358" s="0" t="s">
        <v>98</v>
      </c>
      <c r="H358" s="0" t="s">
        <v>5406</v>
      </c>
    </row>
    <row r="359" customFormat="false" ht="13.5" hidden="false" customHeight="false" outlineLevel="0" collapsed="false">
      <c r="A359" s="0" t="s">
        <v>790</v>
      </c>
      <c r="B359" s="0" t="s">
        <v>791</v>
      </c>
      <c r="E359" s="0" t="s">
        <v>19</v>
      </c>
      <c r="G359" s="0" t="s">
        <v>150</v>
      </c>
      <c r="H359" s="0" t="s">
        <v>5406</v>
      </c>
    </row>
    <row r="360" customFormat="false" ht="13.5" hidden="false" customHeight="false" outlineLevel="0" collapsed="false">
      <c r="A360" s="0" t="s">
        <v>792</v>
      </c>
      <c r="B360" s="0" t="s">
        <v>793</v>
      </c>
      <c r="E360" s="0" t="s">
        <v>19</v>
      </c>
      <c r="G360" s="0" t="s">
        <v>32</v>
      </c>
      <c r="H360" s="0" t="s">
        <v>5418</v>
      </c>
    </row>
    <row r="361" customFormat="false" ht="13.5" hidden="false" customHeight="false" outlineLevel="0" collapsed="false">
      <c r="A361" s="0" t="s">
        <v>794</v>
      </c>
      <c r="B361" s="0" t="s">
        <v>795</v>
      </c>
      <c r="E361" s="0" t="s">
        <v>19</v>
      </c>
      <c r="G361" s="0" t="s">
        <v>47</v>
      </c>
      <c r="H361" s="0" t="s">
        <v>5406</v>
      </c>
    </row>
    <row r="362" customFormat="false" ht="13.5" hidden="false" customHeight="false" outlineLevel="0" collapsed="false">
      <c r="A362" s="0" t="s">
        <v>796</v>
      </c>
      <c r="B362" s="0" t="s">
        <v>797</v>
      </c>
      <c r="E362" s="0" t="s">
        <v>19</v>
      </c>
      <c r="G362" s="0" t="s">
        <v>263</v>
      </c>
      <c r="H362" s="0" t="s">
        <v>5406</v>
      </c>
    </row>
    <row r="363" customFormat="false" ht="13.5" hidden="false" customHeight="false" outlineLevel="0" collapsed="false">
      <c r="A363" s="0" t="s">
        <v>798</v>
      </c>
      <c r="B363" s="0" t="s">
        <v>799</v>
      </c>
      <c r="E363" s="0" t="s">
        <v>19</v>
      </c>
      <c r="G363" s="0" t="s">
        <v>32</v>
      </c>
      <c r="H363" s="0" t="s">
        <v>5418</v>
      </c>
    </row>
    <row r="364" customFormat="false" ht="13.5" hidden="false" customHeight="false" outlineLevel="0" collapsed="false">
      <c r="A364" s="0" t="s">
        <v>800</v>
      </c>
      <c r="B364" s="0" t="s">
        <v>801</v>
      </c>
      <c r="E364" s="0" t="s">
        <v>19</v>
      </c>
      <c r="G364" s="0" t="s">
        <v>695</v>
      </c>
      <c r="H364" s="0" t="s">
        <v>5418</v>
      </c>
    </row>
    <row r="365" customFormat="false" ht="13.5" hidden="false" customHeight="false" outlineLevel="0" collapsed="false">
      <c r="A365" s="0" t="s">
        <v>802</v>
      </c>
      <c r="B365" s="0" t="s">
        <v>803</v>
      </c>
      <c r="E365" s="0" t="s">
        <v>19</v>
      </c>
      <c r="G365" s="0" t="s">
        <v>200</v>
      </c>
      <c r="H365" s="0" t="s">
        <v>5418</v>
      </c>
    </row>
    <row r="366" customFormat="false" ht="13.5" hidden="false" customHeight="false" outlineLevel="0" collapsed="false">
      <c r="A366" s="0" t="s">
        <v>804</v>
      </c>
      <c r="B366" s="0" t="s">
        <v>709</v>
      </c>
      <c r="E366" s="0" t="s">
        <v>19</v>
      </c>
      <c r="G366" s="0" t="s">
        <v>710</v>
      </c>
      <c r="H366" s="0" t="s">
        <v>5418</v>
      </c>
    </row>
    <row r="367" customFormat="false" ht="13.5" hidden="false" customHeight="false" outlineLevel="0" collapsed="false">
      <c r="A367" s="0" t="s">
        <v>805</v>
      </c>
      <c r="B367" s="0" t="s">
        <v>806</v>
      </c>
      <c r="E367" s="0" t="s">
        <v>19</v>
      </c>
      <c r="G367" s="0" t="s">
        <v>807</v>
      </c>
      <c r="H367" s="0" t="s">
        <v>5406</v>
      </c>
    </row>
    <row r="368" customFormat="false" ht="13.5" hidden="false" customHeight="false" outlineLevel="0" collapsed="false">
      <c r="A368" s="0" t="s">
        <v>808</v>
      </c>
      <c r="B368" s="0" t="s">
        <v>809</v>
      </c>
      <c r="E368" s="0" t="s">
        <v>19</v>
      </c>
      <c r="G368" s="0" t="s">
        <v>810</v>
      </c>
      <c r="H368" s="0" t="s">
        <v>5418</v>
      </c>
    </row>
    <row r="369" customFormat="false" ht="13.5" hidden="false" customHeight="false" outlineLevel="0" collapsed="false">
      <c r="A369" s="0" t="s">
        <v>811</v>
      </c>
      <c r="B369" s="0" t="s">
        <v>812</v>
      </c>
      <c r="E369" s="0" t="s">
        <v>19</v>
      </c>
      <c r="G369" s="0" t="s">
        <v>263</v>
      </c>
      <c r="H369" s="0" t="s">
        <v>5406</v>
      </c>
    </row>
    <row r="370" customFormat="false" ht="13.5" hidden="false" customHeight="false" outlineLevel="0" collapsed="false">
      <c r="A370" s="0" t="s">
        <v>813</v>
      </c>
      <c r="B370" s="0" t="s">
        <v>814</v>
      </c>
      <c r="E370" s="0" t="s">
        <v>19</v>
      </c>
      <c r="G370" s="0" t="s">
        <v>200</v>
      </c>
      <c r="H370" s="0" t="s">
        <v>5418</v>
      </c>
    </row>
    <row r="371" customFormat="false" ht="13.5" hidden="false" customHeight="false" outlineLevel="0" collapsed="false">
      <c r="A371" s="0" t="s">
        <v>815</v>
      </c>
      <c r="B371" s="0" t="s">
        <v>816</v>
      </c>
      <c r="E371" s="0" t="s">
        <v>19</v>
      </c>
      <c r="G371" s="0" t="s">
        <v>200</v>
      </c>
      <c r="H371" s="0" t="s">
        <v>5418</v>
      </c>
    </row>
    <row r="372" customFormat="false" ht="13.5" hidden="false" customHeight="false" outlineLevel="0" collapsed="false">
      <c r="A372" s="0" t="s">
        <v>817</v>
      </c>
      <c r="B372" s="0" t="s">
        <v>818</v>
      </c>
      <c r="E372" s="0" t="s">
        <v>19</v>
      </c>
      <c r="G372" s="0" t="s">
        <v>98</v>
      </c>
      <c r="H372" s="0" t="s">
        <v>5406</v>
      </c>
    </row>
    <row r="373" customFormat="false" ht="13.5" hidden="false" customHeight="false" outlineLevel="0" collapsed="false">
      <c r="A373" s="0" t="s">
        <v>819</v>
      </c>
      <c r="B373" s="0" t="s">
        <v>820</v>
      </c>
      <c r="E373" s="0" t="s">
        <v>19</v>
      </c>
      <c r="G373" s="0" t="s">
        <v>821</v>
      </c>
      <c r="H373" s="0" t="s">
        <v>5418</v>
      </c>
    </row>
    <row r="374" customFormat="false" ht="13.5" hidden="false" customHeight="false" outlineLevel="0" collapsed="false">
      <c r="A374" s="0" t="s">
        <v>822</v>
      </c>
      <c r="B374" s="0" t="s">
        <v>793</v>
      </c>
      <c r="E374" s="0" t="s">
        <v>19</v>
      </c>
      <c r="G374" s="0" t="s">
        <v>32</v>
      </c>
      <c r="H374" s="0" t="s">
        <v>5418</v>
      </c>
    </row>
    <row r="375" customFormat="false" ht="13.5" hidden="false" customHeight="false" outlineLevel="0" collapsed="false">
      <c r="A375" s="0" t="s">
        <v>823</v>
      </c>
      <c r="B375" s="0" t="s">
        <v>824</v>
      </c>
      <c r="E375" s="0" t="s">
        <v>19</v>
      </c>
      <c r="G375" s="0" t="s">
        <v>825</v>
      </c>
      <c r="H375" s="0" t="s">
        <v>5418</v>
      </c>
    </row>
    <row r="376" customFormat="false" ht="13.5" hidden="false" customHeight="false" outlineLevel="0" collapsed="false">
      <c r="A376" s="0" t="s">
        <v>826</v>
      </c>
      <c r="B376" s="0" t="s">
        <v>827</v>
      </c>
      <c r="E376" s="0" t="s">
        <v>19</v>
      </c>
      <c r="G376" s="0" t="s">
        <v>12</v>
      </c>
      <c r="H376" s="0" t="s">
        <v>5406</v>
      </c>
    </row>
    <row r="377" customFormat="false" ht="13.5" hidden="false" customHeight="false" outlineLevel="0" collapsed="false">
      <c r="A377" s="0" t="s">
        <v>828</v>
      </c>
      <c r="B377" s="0" t="s">
        <v>829</v>
      </c>
      <c r="E377" s="0" t="s">
        <v>19</v>
      </c>
      <c r="G377" s="0" t="s">
        <v>830</v>
      </c>
      <c r="H377" s="0" t="s">
        <v>5418</v>
      </c>
    </row>
    <row r="378" customFormat="false" ht="13.5" hidden="false" customHeight="false" outlineLevel="0" collapsed="false">
      <c r="A378" s="0" t="s">
        <v>831</v>
      </c>
      <c r="B378" s="0" t="s">
        <v>832</v>
      </c>
      <c r="E378" s="0" t="s">
        <v>19</v>
      </c>
      <c r="G378" s="0" t="s">
        <v>200</v>
      </c>
      <c r="H378" s="0" t="s">
        <v>5418</v>
      </c>
    </row>
    <row r="379" customFormat="false" ht="13.5" hidden="false" customHeight="false" outlineLevel="0" collapsed="false">
      <c r="A379" s="0" t="s">
        <v>833</v>
      </c>
      <c r="B379" s="0" t="s">
        <v>834</v>
      </c>
      <c r="E379" s="0" t="s">
        <v>19</v>
      </c>
      <c r="G379" s="0" t="s">
        <v>32</v>
      </c>
      <c r="H379" s="0" t="s">
        <v>5418</v>
      </c>
    </row>
    <row r="380" customFormat="false" ht="13.5" hidden="false" customHeight="false" outlineLevel="0" collapsed="false">
      <c r="A380" s="0" t="s">
        <v>835</v>
      </c>
      <c r="B380" s="0" t="s">
        <v>836</v>
      </c>
      <c r="E380" s="0" t="s">
        <v>19</v>
      </c>
      <c r="G380" s="0" t="s">
        <v>837</v>
      </c>
      <c r="H380" s="0" t="s">
        <v>5406</v>
      </c>
    </row>
    <row r="381" customFormat="false" ht="13.5" hidden="false" customHeight="false" outlineLevel="0" collapsed="false">
      <c r="A381" s="0" t="s">
        <v>838</v>
      </c>
      <c r="B381" s="0" t="s">
        <v>839</v>
      </c>
      <c r="E381" s="0" t="s">
        <v>19</v>
      </c>
      <c r="G381" s="0" t="s">
        <v>98</v>
      </c>
      <c r="H381" s="0" t="s">
        <v>5406</v>
      </c>
    </row>
    <row r="382" customFormat="false" ht="13.5" hidden="false" customHeight="false" outlineLevel="0" collapsed="false">
      <c r="A382" s="0" t="s">
        <v>840</v>
      </c>
      <c r="B382" s="0" t="s">
        <v>836</v>
      </c>
      <c r="E382" s="0" t="s">
        <v>19</v>
      </c>
      <c r="G382" s="0" t="s">
        <v>98</v>
      </c>
      <c r="H382" s="0" t="s">
        <v>5406</v>
      </c>
    </row>
    <row r="383" customFormat="false" ht="13.5" hidden="false" customHeight="false" outlineLevel="0" collapsed="false">
      <c r="A383" s="0" t="s">
        <v>841</v>
      </c>
      <c r="B383" s="0" t="s">
        <v>842</v>
      </c>
      <c r="E383" s="0" t="s">
        <v>19</v>
      </c>
      <c r="G383" s="0" t="s">
        <v>200</v>
      </c>
      <c r="H383" s="0" t="s">
        <v>5418</v>
      </c>
    </row>
    <row r="384" customFormat="false" ht="13.5" hidden="false" customHeight="false" outlineLevel="0" collapsed="false">
      <c r="A384" s="0" t="s">
        <v>843</v>
      </c>
      <c r="B384" s="0" t="s">
        <v>844</v>
      </c>
      <c r="E384" s="0" t="s">
        <v>19</v>
      </c>
      <c r="G384" s="0" t="s">
        <v>845</v>
      </c>
      <c r="H384" s="0" t="s">
        <v>5418</v>
      </c>
    </row>
    <row r="385" customFormat="false" ht="13.5" hidden="false" customHeight="false" outlineLevel="0" collapsed="false">
      <c r="A385" s="0" t="s">
        <v>846</v>
      </c>
      <c r="B385" s="0" t="s">
        <v>847</v>
      </c>
      <c r="E385" s="0" t="s">
        <v>19</v>
      </c>
      <c r="G385" s="0" t="s">
        <v>53</v>
      </c>
      <c r="H385" s="0" t="s">
        <v>5418</v>
      </c>
    </row>
    <row r="386" customFormat="false" ht="13.5" hidden="false" customHeight="false" outlineLevel="0" collapsed="false">
      <c r="A386" s="0" t="s">
        <v>848</v>
      </c>
      <c r="B386" s="0" t="s">
        <v>849</v>
      </c>
      <c r="E386" s="0" t="s">
        <v>24</v>
      </c>
      <c r="G386" s="0" t="s">
        <v>850</v>
      </c>
      <c r="H386" s="0" t="s">
        <v>5406</v>
      </c>
    </row>
    <row r="387" customFormat="false" ht="13.5" hidden="false" customHeight="false" outlineLevel="0" collapsed="false">
      <c r="A387" s="0" t="s">
        <v>851</v>
      </c>
      <c r="B387" s="0" t="s">
        <v>852</v>
      </c>
      <c r="E387" s="0" t="s">
        <v>19</v>
      </c>
      <c r="G387" s="0" t="s">
        <v>853</v>
      </c>
      <c r="H387" s="0" t="s">
        <v>5418</v>
      </c>
    </row>
    <row r="388" customFormat="false" ht="13.5" hidden="false" customHeight="false" outlineLevel="0" collapsed="false">
      <c r="A388" s="0" t="s">
        <v>854</v>
      </c>
      <c r="B388" s="0" t="s">
        <v>855</v>
      </c>
      <c r="E388" s="0" t="s">
        <v>24</v>
      </c>
      <c r="G388" s="0" t="s">
        <v>501</v>
      </c>
      <c r="H388" s="0" t="s">
        <v>5406</v>
      </c>
    </row>
    <row r="389" customFormat="false" ht="13.5" hidden="false" customHeight="false" outlineLevel="0" collapsed="false">
      <c r="A389" s="0" t="s">
        <v>856</v>
      </c>
      <c r="B389" s="0" t="s">
        <v>857</v>
      </c>
      <c r="E389" s="0" t="s">
        <v>19</v>
      </c>
      <c r="G389" s="0" t="s">
        <v>150</v>
      </c>
      <c r="H389" s="0" t="s">
        <v>5406</v>
      </c>
    </row>
    <row r="390" customFormat="false" ht="13.5" hidden="false" customHeight="false" outlineLevel="0" collapsed="false">
      <c r="A390" s="0" t="s">
        <v>858</v>
      </c>
      <c r="B390" s="0" t="s">
        <v>859</v>
      </c>
      <c r="E390" s="0" t="s">
        <v>19</v>
      </c>
      <c r="G390" s="0" t="s">
        <v>498</v>
      </c>
      <c r="H390" s="0" t="s">
        <v>5418</v>
      </c>
    </row>
    <row r="391" customFormat="false" ht="13.5" hidden="false" customHeight="false" outlineLevel="0" collapsed="false">
      <c r="A391" s="0" t="s">
        <v>860</v>
      </c>
      <c r="B391" s="0" t="s">
        <v>861</v>
      </c>
      <c r="E391" s="0" t="s">
        <v>19</v>
      </c>
      <c r="G391" s="0" t="s">
        <v>862</v>
      </c>
      <c r="H391" s="0" t="s">
        <v>5418</v>
      </c>
    </row>
    <row r="392" customFormat="false" ht="13.5" hidden="false" customHeight="false" outlineLevel="0" collapsed="false">
      <c r="A392" s="0" t="s">
        <v>863</v>
      </c>
      <c r="B392" s="0" t="s">
        <v>864</v>
      </c>
      <c r="E392" s="0" t="s">
        <v>19</v>
      </c>
      <c r="G392" s="0" t="s">
        <v>98</v>
      </c>
      <c r="H392" s="0" t="s">
        <v>5406</v>
      </c>
    </row>
    <row r="393" customFormat="false" ht="13.5" hidden="false" customHeight="false" outlineLevel="0" collapsed="false">
      <c r="A393" s="0" t="s">
        <v>865</v>
      </c>
      <c r="B393" s="0" t="s">
        <v>866</v>
      </c>
      <c r="E393" s="0" t="s">
        <v>19</v>
      </c>
      <c r="G393" s="0" t="s">
        <v>47</v>
      </c>
      <c r="H393" s="0" t="s">
        <v>5406</v>
      </c>
    </row>
    <row r="394" customFormat="false" ht="13.5" hidden="false" customHeight="false" outlineLevel="0" collapsed="false">
      <c r="A394" s="0" t="s">
        <v>867</v>
      </c>
      <c r="B394" s="0" t="s">
        <v>868</v>
      </c>
      <c r="E394" s="0" t="s">
        <v>19</v>
      </c>
      <c r="G394" s="0" t="s">
        <v>869</v>
      </c>
      <c r="H394" s="0" t="s">
        <v>5418</v>
      </c>
    </row>
    <row r="395" customFormat="false" ht="13.5" hidden="false" customHeight="false" outlineLevel="0" collapsed="false">
      <c r="A395" s="0" t="s">
        <v>870</v>
      </c>
      <c r="B395" s="0" t="s">
        <v>871</v>
      </c>
      <c r="E395" s="0" t="s">
        <v>19</v>
      </c>
      <c r="G395" s="0" t="s">
        <v>872</v>
      </c>
      <c r="H395" s="0" t="s">
        <v>5406</v>
      </c>
    </row>
    <row r="396" customFormat="false" ht="13.5" hidden="false" customHeight="false" outlineLevel="0" collapsed="false">
      <c r="A396" s="0" t="s">
        <v>873</v>
      </c>
      <c r="B396" s="0" t="s">
        <v>874</v>
      </c>
      <c r="E396" s="0" t="s">
        <v>19</v>
      </c>
      <c r="G396" s="0" t="s">
        <v>122</v>
      </c>
      <c r="H396" s="0" t="s">
        <v>5406</v>
      </c>
    </row>
    <row r="397" customFormat="false" ht="13.5" hidden="false" customHeight="false" outlineLevel="0" collapsed="false">
      <c r="A397" s="0" t="s">
        <v>875</v>
      </c>
      <c r="B397" s="0" t="s">
        <v>876</v>
      </c>
      <c r="E397" s="0" t="s">
        <v>19</v>
      </c>
      <c r="G397" s="0" t="s">
        <v>877</v>
      </c>
      <c r="H397" s="0" t="s">
        <v>5406</v>
      </c>
    </row>
    <row r="398" customFormat="false" ht="13.5" hidden="false" customHeight="false" outlineLevel="0" collapsed="false">
      <c r="A398" s="0" t="s">
        <v>878</v>
      </c>
      <c r="B398" s="0" t="s">
        <v>879</v>
      </c>
      <c r="E398" s="0" t="s">
        <v>19</v>
      </c>
      <c r="G398" s="0" t="s">
        <v>122</v>
      </c>
      <c r="H398" s="0" t="s">
        <v>5406</v>
      </c>
    </row>
    <row r="399" customFormat="false" ht="13.5" hidden="false" customHeight="false" outlineLevel="0" collapsed="false">
      <c r="A399" s="0" t="s">
        <v>880</v>
      </c>
      <c r="B399" s="0" t="s">
        <v>881</v>
      </c>
      <c r="E399" s="0" t="s">
        <v>19</v>
      </c>
      <c r="G399" s="0" t="s">
        <v>882</v>
      </c>
      <c r="H399" s="0" t="s">
        <v>5406</v>
      </c>
    </row>
    <row r="400" customFormat="false" ht="13.5" hidden="false" customHeight="false" outlineLevel="0" collapsed="false">
      <c r="A400" s="0" t="s">
        <v>883</v>
      </c>
      <c r="B400" s="0" t="s">
        <v>884</v>
      </c>
      <c r="E400" s="0" t="s">
        <v>19</v>
      </c>
      <c r="G400" s="0" t="s">
        <v>32</v>
      </c>
      <c r="H400" s="0" t="s">
        <v>5418</v>
      </c>
    </row>
    <row r="401" customFormat="false" ht="13.5" hidden="false" customHeight="false" outlineLevel="0" collapsed="false">
      <c r="A401" s="0" t="s">
        <v>885</v>
      </c>
      <c r="B401" s="0" t="s">
        <v>886</v>
      </c>
      <c r="E401" s="0" t="s">
        <v>24</v>
      </c>
      <c r="G401" s="0" t="s">
        <v>98</v>
      </c>
      <c r="H401" s="0" t="s">
        <v>5406</v>
      </c>
    </row>
    <row r="402" customFormat="false" ht="13.5" hidden="false" customHeight="false" outlineLevel="0" collapsed="false">
      <c r="A402" s="0" t="s">
        <v>887</v>
      </c>
      <c r="B402" s="0" t="s">
        <v>888</v>
      </c>
      <c r="E402" s="0" t="s">
        <v>19</v>
      </c>
      <c r="G402" s="0" t="s">
        <v>226</v>
      </c>
      <c r="H402" s="0" t="s">
        <v>5406</v>
      </c>
    </row>
    <row r="403" customFormat="false" ht="13.5" hidden="false" customHeight="false" outlineLevel="0" collapsed="false">
      <c r="A403" s="0" t="s">
        <v>889</v>
      </c>
      <c r="B403" s="0" t="s">
        <v>890</v>
      </c>
      <c r="E403" s="0" t="s">
        <v>19</v>
      </c>
      <c r="G403" s="0" t="s">
        <v>150</v>
      </c>
      <c r="H403" s="0" t="s">
        <v>5406</v>
      </c>
    </row>
    <row r="404" customFormat="false" ht="13.5" hidden="false" customHeight="false" outlineLevel="0" collapsed="false">
      <c r="A404" s="0" t="s">
        <v>891</v>
      </c>
      <c r="B404" s="0" t="s">
        <v>292</v>
      </c>
      <c r="E404" s="0" t="s">
        <v>19</v>
      </c>
      <c r="G404" s="0" t="s">
        <v>32</v>
      </c>
      <c r="H404" s="0" t="s">
        <v>5418</v>
      </c>
    </row>
    <row r="405" customFormat="false" ht="13.5" hidden="false" customHeight="false" outlineLevel="0" collapsed="false">
      <c r="A405" s="0" t="s">
        <v>892</v>
      </c>
      <c r="B405" s="0" t="s">
        <v>893</v>
      </c>
      <c r="E405" s="0" t="s">
        <v>19</v>
      </c>
      <c r="G405" s="0" t="s">
        <v>150</v>
      </c>
      <c r="H405" s="0" t="s">
        <v>5406</v>
      </c>
    </row>
    <row r="406" customFormat="false" ht="13.5" hidden="false" customHeight="false" outlineLevel="0" collapsed="false">
      <c r="A406" s="0" t="s">
        <v>894</v>
      </c>
      <c r="B406" s="0" t="s">
        <v>895</v>
      </c>
      <c r="E406" s="0" t="s">
        <v>24</v>
      </c>
      <c r="G406" s="0" t="s">
        <v>12</v>
      </c>
      <c r="H406" s="0" t="s">
        <v>5406</v>
      </c>
    </row>
    <row r="407" customFormat="false" ht="13.5" hidden="false" customHeight="false" outlineLevel="0" collapsed="false">
      <c r="A407" s="0" t="s">
        <v>896</v>
      </c>
      <c r="B407" s="0" t="s">
        <v>897</v>
      </c>
      <c r="E407" s="0" t="s">
        <v>19</v>
      </c>
      <c r="G407" s="0" t="s">
        <v>898</v>
      </c>
      <c r="H407" s="0" t="s">
        <v>5406</v>
      </c>
    </row>
    <row r="408" customFormat="false" ht="13.5" hidden="false" customHeight="false" outlineLevel="0" collapsed="false">
      <c r="A408" s="0" t="s">
        <v>900</v>
      </c>
      <c r="B408" s="0" t="s">
        <v>901</v>
      </c>
      <c r="E408" s="0" t="s">
        <v>19</v>
      </c>
      <c r="G408" s="0" t="s">
        <v>902</v>
      </c>
      <c r="H408" s="0" t="s">
        <v>5406</v>
      </c>
    </row>
    <row r="409" customFormat="false" ht="13.5" hidden="false" customHeight="false" outlineLevel="0" collapsed="false">
      <c r="A409" s="0" t="s">
        <v>903</v>
      </c>
      <c r="B409" s="0" t="s">
        <v>904</v>
      </c>
      <c r="E409" s="0" t="s">
        <v>19</v>
      </c>
      <c r="G409" s="0" t="s">
        <v>98</v>
      </c>
      <c r="H409" s="0" t="s">
        <v>5406</v>
      </c>
    </row>
    <row r="410" customFormat="false" ht="13.5" hidden="false" customHeight="false" outlineLevel="0" collapsed="false">
      <c r="A410" s="0" t="s">
        <v>905</v>
      </c>
      <c r="B410" s="0" t="s">
        <v>906</v>
      </c>
      <c r="E410" s="0" t="s">
        <v>19</v>
      </c>
      <c r="G410" s="0" t="s">
        <v>869</v>
      </c>
      <c r="H410" s="0" t="s">
        <v>5418</v>
      </c>
    </row>
    <row r="411" customFormat="false" ht="13.5" hidden="false" customHeight="false" outlineLevel="0" collapsed="false">
      <c r="A411" s="0" t="s">
        <v>907</v>
      </c>
      <c r="B411" s="0" t="s">
        <v>908</v>
      </c>
      <c r="E411" s="0" t="s">
        <v>19</v>
      </c>
      <c r="G411" s="0" t="s">
        <v>47</v>
      </c>
      <c r="H411" s="0" t="s">
        <v>5406</v>
      </c>
    </row>
    <row r="412" customFormat="false" ht="13.5" hidden="false" customHeight="false" outlineLevel="0" collapsed="false">
      <c r="A412" s="0" t="s">
        <v>909</v>
      </c>
      <c r="B412" s="0" t="s">
        <v>910</v>
      </c>
      <c r="E412" s="0" t="s">
        <v>19</v>
      </c>
      <c r="G412" s="0" t="s">
        <v>911</v>
      </c>
      <c r="H412" s="0" t="s">
        <v>5418</v>
      </c>
    </row>
    <row r="413" customFormat="false" ht="13.5" hidden="false" customHeight="false" outlineLevel="0" collapsed="false">
      <c r="A413" s="0" t="s">
        <v>913</v>
      </c>
      <c r="B413" s="0" t="s">
        <v>914</v>
      </c>
      <c r="E413" s="0" t="s">
        <v>19</v>
      </c>
      <c r="G413" s="0" t="s">
        <v>98</v>
      </c>
      <c r="H413" s="0" t="s">
        <v>5406</v>
      </c>
    </row>
    <row r="414" customFormat="false" ht="13.5" hidden="false" customHeight="false" outlineLevel="0" collapsed="false">
      <c r="A414" s="0" t="s">
        <v>915</v>
      </c>
      <c r="B414" s="0" t="s">
        <v>916</v>
      </c>
      <c r="E414" s="0" t="s">
        <v>19</v>
      </c>
      <c r="G414" s="0" t="s">
        <v>351</v>
      </c>
      <c r="H414" s="0" t="s">
        <v>5406</v>
      </c>
    </row>
    <row r="415" customFormat="false" ht="13.5" hidden="false" customHeight="false" outlineLevel="0" collapsed="false">
      <c r="A415" s="0" t="s">
        <v>917</v>
      </c>
      <c r="B415" s="0" t="s">
        <v>918</v>
      </c>
      <c r="E415" s="0" t="s">
        <v>19</v>
      </c>
      <c r="G415" s="0" t="s">
        <v>32</v>
      </c>
      <c r="H415" s="0" t="s">
        <v>5418</v>
      </c>
    </row>
    <row r="416" customFormat="false" ht="13.5" hidden="false" customHeight="false" outlineLevel="0" collapsed="false">
      <c r="A416" s="0" t="s">
        <v>919</v>
      </c>
      <c r="B416" s="0" t="s">
        <v>920</v>
      </c>
      <c r="E416" s="0" t="s">
        <v>19</v>
      </c>
      <c r="G416" s="0" t="s">
        <v>32</v>
      </c>
      <c r="H416" s="0" t="s">
        <v>5418</v>
      </c>
    </row>
    <row r="417" customFormat="false" ht="13.5" hidden="false" customHeight="false" outlineLevel="0" collapsed="false">
      <c r="A417" s="0" t="s">
        <v>921</v>
      </c>
      <c r="B417" s="0" t="s">
        <v>922</v>
      </c>
      <c r="E417" s="0" t="s">
        <v>19</v>
      </c>
      <c r="G417" s="0" t="s">
        <v>923</v>
      </c>
      <c r="H417" s="0" t="s">
        <v>5418</v>
      </c>
    </row>
    <row r="418" customFormat="false" ht="13.5" hidden="false" customHeight="false" outlineLevel="0" collapsed="false">
      <c r="A418" s="0" t="s">
        <v>924</v>
      </c>
      <c r="B418" s="0" t="s">
        <v>925</v>
      </c>
      <c r="E418" s="0" t="s">
        <v>19</v>
      </c>
      <c r="G418" s="0" t="s">
        <v>47</v>
      </c>
      <c r="H418" s="0" t="s">
        <v>5406</v>
      </c>
    </row>
    <row r="419" customFormat="false" ht="13.5" hidden="false" customHeight="false" outlineLevel="0" collapsed="false">
      <c r="A419" s="0" t="s">
        <v>926</v>
      </c>
      <c r="B419" s="0" t="s">
        <v>927</v>
      </c>
      <c r="E419" s="0" t="s">
        <v>19</v>
      </c>
      <c r="G419" s="0" t="s">
        <v>76</v>
      </c>
      <c r="H419" s="0" t="s">
        <v>5418</v>
      </c>
    </row>
    <row r="420" customFormat="false" ht="13.5" hidden="false" customHeight="false" outlineLevel="0" collapsed="false">
      <c r="A420" s="0" t="s">
        <v>928</v>
      </c>
      <c r="B420" s="0" t="s">
        <v>929</v>
      </c>
      <c r="E420" s="0" t="s">
        <v>19</v>
      </c>
      <c r="G420" s="0" t="s">
        <v>312</v>
      </c>
      <c r="H420" s="0" t="s">
        <v>5418</v>
      </c>
    </row>
    <row r="421" customFormat="false" ht="13.5" hidden="false" customHeight="false" outlineLevel="0" collapsed="false">
      <c r="A421" s="0" t="s">
        <v>930</v>
      </c>
      <c r="B421" s="0" t="s">
        <v>931</v>
      </c>
      <c r="E421" s="0" t="s">
        <v>19</v>
      </c>
      <c r="G421" s="0" t="s">
        <v>200</v>
      </c>
      <c r="H421" s="0" t="s">
        <v>5418</v>
      </c>
    </row>
    <row r="422" customFormat="false" ht="13.5" hidden="false" customHeight="false" outlineLevel="0" collapsed="false">
      <c r="A422" s="0" t="s">
        <v>932</v>
      </c>
      <c r="B422" s="0" t="s">
        <v>933</v>
      </c>
      <c r="E422" s="0" t="s">
        <v>16</v>
      </c>
      <c r="G422" s="0" t="s">
        <v>934</v>
      </c>
      <c r="H422" s="0" t="s">
        <v>5418</v>
      </c>
    </row>
    <row r="423" customFormat="false" ht="13.5" hidden="false" customHeight="false" outlineLevel="0" collapsed="false">
      <c r="A423" s="0" t="s">
        <v>935</v>
      </c>
      <c r="B423" s="0" t="s">
        <v>861</v>
      </c>
      <c r="E423" s="0" t="s">
        <v>19</v>
      </c>
      <c r="G423" s="0" t="s">
        <v>936</v>
      </c>
      <c r="H423" s="0" t="s">
        <v>5418</v>
      </c>
    </row>
    <row r="424" customFormat="false" ht="13.5" hidden="false" customHeight="false" outlineLevel="0" collapsed="false">
      <c r="A424" s="0" t="s">
        <v>937</v>
      </c>
      <c r="B424" s="0" t="s">
        <v>938</v>
      </c>
      <c r="E424" s="0" t="s">
        <v>19</v>
      </c>
      <c r="G424" s="0" t="s">
        <v>939</v>
      </c>
      <c r="H424" s="0" t="s">
        <v>5406</v>
      </c>
    </row>
    <row r="425" customFormat="false" ht="13.5" hidden="false" customHeight="false" outlineLevel="0" collapsed="false">
      <c r="A425" s="0" t="s">
        <v>940</v>
      </c>
      <c r="B425" s="0" t="s">
        <v>941</v>
      </c>
      <c r="E425" s="0" t="s">
        <v>19</v>
      </c>
      <c r="G425" s="0" t="s">
        <v>942</v>
      </c>
      <c r="H425" s="0" t="s">
        <v>5406</v>
      </c>
    </row>
    <row r="426" customFormat="false" ht="13.5" hidden="false" customHeight="false" outlineLevel="0" collapsed="false">
      <c r="A426" s="0" t="s">
        <v>943</v>
      </c>
      <c r="B426" s="0" t="s">
        <v>944</v>
      </c>
      <c r="E426" s="0" t="s">
        <v>19</v>
      </c>
      <c r="G426" s="0" t="s">
        <v>945</v>
      </c>
      <c r="H426" s="0" t="s">
        <v>5418</v>
      </c>
    </row>
    <row r="427" customFormat="false" ht="13.5" hidden="false" customHeight="false" outlineLevel="0" collapsed="false">
      <c r="A427" s="0" t="s">
        <v>946</v>
      </c>
      <c r="B427" s="0" t="s">
        <v>947</v>
      </c>
      <c r="E427" s="0" t="s">
        <v>19</v>
      </c>
      <c r="G427" s="0" t="s">
        <v>948</v>
      </c>
      <c r="H427" s="0" t="s">
        <v>5406</v>
      </c>
    </row>
    <row r="428" customFormat="false" ht="13.5" hidden="false" customHeight="false" outlineLevel="0" collapsed="false">
      <c r="A428" s="0" t="s">
        <v>949</v>
      </c>
      <c r="B428" s="0" t="s">
        <v>427</v>
      </c>
      <c r="E428" s="0" t="s">
        <v>19</v>
      </c>
      <c r="G428" s="0" t="s">
        <v>872</v>
      </c>
      <c r="H428" s="0" t="s">
        <v>5406</v>
      </c>
    </row>
    <row r="429" customFormat="false" ht="13.5" hidden="false" customHeight="false" outlineLevel="0" collapsed="false">
      <c r="A429" s="0" t="s">
        <v>950</v>
      </c>
      <c r="B429" s="0" t="s">
        <v>951</v>
      </c>
      <c r="E429" s="0" t="s">
        <v>19</v>
      </c>
      <c r="G429" s="0" t="s">
        <v>32</v>
      </c>
      <c r="H429" s="0" t="s">
        <v>5418</v>
      </c>
    </row>
    <row r="430" customFormat="false" ht="13.5" hidden="false" customHeight="false" outlineLevel="0" collapsed="false">
      <c r="A430" s="0" t="s">
        <v>952</v>
      </c>
      <c r="B430" s="0" t="s">
        <v>953</v>
      </c>
      <c r="E430" s="0" t="s">
        <v>19</v>
      </c>
      <c r="G430" s="0" t="s">
        <v>954</v>
      </c>
      <c r="H430" s="0" t="s">
        <v>5418</v>
      </c>
    </row>
    <row r="431" customFormat="false" ht="13.5" hidden="false" customHeight="false" outlineLevel="0" collapsed="false">
      <c r="A431" s="0" t="s">
        <v>955</v>
      </c>
      <c r="B431" s="0" t="s">
        <v>824</v>
      </c>
      <c r="E431" s="0" t="s">
        <v>19</v>
      </c>
      <c r="G431" s="0" t="s">
        <v>32</v>
      </c>
      <c r="H431" s="0" t="s">
        <v>5418</v>
      </c>
    </row>
    <row r="432" customFormat="false" ht="13.5" hidden="false" customHeight="false" outlineLevel="0" collapsed="false">
      <c r="A432" s="0" t="s">
        <v>956</v>
      </c>
      <c r="B432" s="0" t="s">
        <v>957</v>
      </c>
      <c r="E432" s="0" t="s">
        <v>19</v>
      </c>
      <c r="G432" s="0" t="s">
        <v>958</v>
      </c>
      <c r="H432" s="0" t="s">
        <v>5406</v>
      </c>
    </row>
    <row r="433" customFormat="false" ht="13.5" hidden="false" customHeight="false" outlineLevel="0" collapsed="false">
      <c r="A433" s="0" t="s">
        <v>959</v>
      </c>
      <c r="B433" s="0" t="s">
        <v>960</v>
      </c>
      <c r="E433" s="0" t="s">
        <v>19</v>
      </c>
      <c r="G433" s="0" t="s">
        <v>12</v>
      </c>
      <c r="H433" s="0" t="s">
        <v>5406</v>
      </c>
    </row>
    <row r="434" customFormat="false" ht="13.5" hidden="false" customHeight="false" outlineLevel="0" collapsed="false">
      <c r="A434" s="0" t="s">
        <v>961</v>
      </c>
      <c r="B434" s="0" t="s">
        <v>962</v>
      </c>
      <c r="E434" s="0" t="s">
        <v>19</v>
      </c>
      <c r="G434" s="0" t="s">
        <v>963</v>
      </c>
      <c r="H434" s="0" t="s">
        <v>5406</v>
      </c>
    </row>
    <row r="435" customFormat="false" ht="13.5" hidden="false" customHeight="false" outlineLevel="0" collapsed="false">
      <c r="A435" s="0" t="s">
        <v>964</v>
      </c>
      <c r="B435" s="0" t="s">
        <v>965</v>
      </c>
      <c r="E435" s="0" t="s">
        <v>19</v>
      </c>
      <c r="G435" s="0" t="s">
        <v>59</v>
      </c>
      <c r="H435" s="0" t="s">
        <v>5418</v>
      </c>
    </row>
    <row r="436" customFormat="false" ht="13.5" hidden="false" customHeight="false" outlineLevel="0" collapsed="false">
      <c r="A436" s="0" t="s">
        <v>966</v>
      </c>
      <c r="B436" s="0" t="s">
        <v>967</v>
      </c>
      <c r="E436" s="0" t="s">
        <v>19</v>
      </c>
      <c r="G436" s="0" t="s">
        <v>541</v>
      </c>
      <c r="H436" s="0" t="s">
        <v>5418</v>
      </c>
    </row>
    <row r="437" customFormat="false" ht="13.5" hidden="false" customHeight="false" outlineLevel="0" collapsed="false">
      <c r="A437" s="0" t="s">
        <v>968</v>
      </c>
      <c r="B437" s="0" t="s">
        <v>969</v>
      </c>
      <c r="E437" s="0" t="s">
        <v>24</v>
      </c>
      <c r="G437" s="0" t="s">
        <v>970</v>
      </c>
      <c r="H437" s="0" t="s">
        <v>5418</v>
      </c>
    </row>
    <row r="438" customFormat="false" ht="13.5" hidden="false" customHeight="false" outlineLevel="0" collapsed="false">
      <c r="A438" s="0" t="s">
        <v>971</v>
      </c>
      <c r="B438" s="0" t="s">
        <v>972</v>
      </c>
      <c r="E438" s="0" t="s">
        <v>19</v>
      </c>
      <c r="G438" s="0" t="s">
        <v>32</v>
      </c>
      <c r="H438" s="0" t="s">
        <v>5418</v>
      </c>
    </row>
    <row r="439" customFormat="false" ht="13.5" hidden="false" customHeight="false" outlineLevel="0" collapsed="false">
      <c r="A439" s="0" t="s">
        <v>973</v>
      </c>
      <c r="B439" s="0" t="s">
        <v>974</v>
      </c>
      <c r="E439" s="0" t="s">
        <v>19</v>
      </c>
      <c r="G439" s="0" t="s">
        <v>263</v>
      </c>
      <c r="H439" s="0" t="s">
        <v>5406</v>
      </c>
    </row>
    <row r="440" customFormat="false" ht="13.5" hidden="false" customHeight="false" outlineLevel="0" collapsed="false">
      <c r="A440" s="0" t="s">
        <v>975</v>
      </c>
      <c r="B440" s="0" t="s">
        <v>976</v>
      </c>
      <c r="E440" s="0" t="s">
        <v>19</v>
      </c>
      <c r="G440" s="0" t="s">
        <v>493</v>
      </c>
      <c r="H440" s="0" t="s">
        <v>5406</v>
      </c>
    </row>
    <row r="441" customFormat="false" ht="13.5" hidden="false" customHeight="false" outlineLevel="0" collapsed="false">
      <c r="A441" s="0" t="s">
        <v>977</v>
      </c>
      <c r="B441" s="0" t="s">
        <v>844</v>
      </c>
      <c r="E441" s="0" t="s">
        <v>19</v>
      </c>
      <c r="G441" s="0" t="s">
        <v>226</v>
      </c>
      <c r="H441" s="0" t="s">
        <v>5406</v>
      </c>
    </row>
    <row r="442" customFormat="false" ht="13.5" hidden="false" customHeight="false" outlineLevel="0" collapsed="false">
      <c r="A442" s="0" t="s">
        <v>978</v>
      </c>
      <c r="B442" s="0" t="s">
        <v>979</v>
      </c>
      <c r="E442" s="0" t="s">
        <v>19</v>
      </c>
      <c r="G442" s="0" t="s">
        <v>869</v>
      </c>
      <c r="H442" s="0" t="s">
        <v>5418</v>
      </c>
    </row>
    <row r="443" customFormat="false" ht="13.5" hidden="false" customHeight="false" outlineLevel="0" collapsed="false">
      <c r="A443" s="0" t="s">
        <v>980</v>
      </c>
      <c r="B443" s="0" t="s">
        <v>981</v>
      </c>
      <c r="E443" s="0" t="s">
        <v>19</v>
      </c>
      <c r="G443" s="0" t="s">
        <v>150</v>
      </c>
      <c r="H443" s="0" t="s">
        <v>5406</v>
      </c>
    </row>
    <row r="444" customFormat="false" ht="13.5" hidden="false" customHeight="false" outlineLevel="0" collapsed="false">
      <c r="A444" s="0" t="s">
        <v>982</v>
      </c>
      <c r="B444" s="0" t="s">
        <v>983</v>
      </c>
      <c r="E444" s="0" t="s">
        <v>19</v>
      </c>
      <c r="G444" s="0" t="s">
        <v>984</v>
      </c>
      <c r="H444" s="0" t="s">
        <v>5418</v>
      </c>
    </row>
    <row r="445" customFormat="false" ht="13.5" hidden="false" customHeight="false" outlineLevel="0" collapsed="false">
      <c r="A445" s="0" t="s">
        <v>985</v>
      </c>
      <c r="B445" s="0" t="s">
        <v>986</v>
      </c>
      <c r="E445" s="0" t="s">
        <v>19</v>
      </c>
      <c r="G445" s="0" t="s">
        <v>56</v>
      </c>
      <c r="H445" s="0" t="s">
        <v>5418</v>
      </c>
    </row>
    <row r="446" customFormat="false" ht="13.5" hidden="false" customHeight="false" outlineLevel="0" collapsed="false">
      <c r="A446" s="0" t="s">
        <v>987</v>
      </c>
      <c r="B446" s="0" t="s">
        <v>988</v>
      </c>
      <c r="E446" s="0" t="s">
        <v>19</v>
      </c>
      <c r="G446" s="0" t="s">
        <v>400</v>
      </c>
      <c r="H446" s="0" t="s">
        <v>5406</v>
      </c>
    </row>
    <row r="447" customFormat="false" ht="13.5" hidden="false" customHeight="false" outlineLevel="0" collapsed="false">
      <c r="A447" s="0" t="s">
        <v>989</v>
      </c>
      <c r="B447" s="0" t="s">
        <v>990</v>
      </c>
      <c r="E447" s="0" t="s">
        <v>19</v>
      </c>
      <c r="G447" s="0" t="s">
        <v>47</v>
      </c>
      <c r="H447" s="0" t="s">
        <v>5406</v>
      </c>
    </row>
    <row r="448" customFormat="false" ht="13.5" hidden="false" customHeight="false" outlineLevel="0" collapsed="false">
      <c r="A448" s="0" t="s">
        <v>991</v>
      </c>
      <c r="B448" s="0" t="s">
        <v>992</v>
      </c>
      <c r="E448" s="0" t="s">
        <v>19</v>
      </c>
      <c r="G448" s="0" t="s">
        <v>32</v>
      </c>
      <c r="H448" s="0" t="s">
        <v>5418</v>
      </c>
    </row>
    <row r="449" customFormat="false" ht="13.5" hidden="false" customHeight="false" outlineLevel="0" collapsed="false">
      <c r="A449" s="0" t="s">
        <v>993</v>
      </c>
      <c r="B449" s="0" t="s">
        <v>994</v>
      </c>
      <c r="E449" s="0" t="s">
        <v>19</v>
      </c>
      <c r="G449" s="0" t="s">
        <v>995</v>
      </c>
      <c r="H449" s="0" t="s">
        <v>5418</v>
      </c>
    </row>
    <row r="450" customFormat="false" ht="13.5" hidden="false" customHeight="false" outlineLevel="0" collapsed="false">
      <c r="A450" s="0" t="s">
        <v>996</v>
      </c>
      <c r="B450" s="0" t="s">
        <v>997</v>
      </c>
      <c r="E450" s="0" t="s">
        <v>19</v>
      </c>
      <c r="G450" s="0" t="s">
        <v>998</v>
      </c>
      <c r="H450" s="0" t="s">
        <v>5418</v>
      </c>
    </row>
    <row r="451" customFormat="false" ht="13.5" hidden="false" customHeight="false" outlineLevel="0" collapsed="false">
      <c r="A451" s="0" t="s">
        <v>999</v>
      </c>
      <c r="B451" s="0" t="s">
        <v>1000</v>
      </c>
      <c r="E451" s="0" t="s">
        <v>19</v>
      </c>
      <c r="G451" s="0" t="s">
        <v>1001</v>
      </c>
      <c r="H451" s="0" t="s">
        <v>5406</v>
      </c>
    </row>
    <row r="452" customFormat="false" ht="13.5" hidden="false" customHeight="false" outlineLevel="0" collapsed="false">
      <c r="A452" s="0" t="s">
        <v>1002</v>
      </c>
      <c r="B452" s="0" t="s">
        <v>1003</v>
      </c>
      <c r="E452" s="0" t="s">
        <v>19</v>
      </c>
      <c r="G452" s="0" t="s">
        <v>1004</v>
      </c>
      <c r="H452" s="0" t="s">
        <v>5418</v>
      </c>
    </row>
    <row r="453" customFormat="false" ht="13.5" hidden="false" customHeight="false" outlineLevel="0" collapsed="false">
      <c r="A453" s="0" t="s">
        <v>1005</v>
      </c>
      <c r="B453" s="0" t="s">
        <v>1006</v>
      </c>
      <c r="E453" s="0" t="s">
        <v>19</v>
      </c>
      <c r="G453" s="0" t="s">
        <v>205</v>
      </c>
      <c r="H453" s="0" t="s">
        <v>5418</v>
      </c>
    </row>
    <row r="454" customFormat="false" ht="13.5" hidden="false" customHeight="false" outlineLevel="0" collapsed="false">
      <c r="A454" s="0" t="s">
        <v>1007</v>
      </c>
      <c r="B454" s="0" t="s">
        <v>1008</v>
      </c>
      <c r="E454" s="0" t="s">
        <v>19</v>
      </c>
      <c r="G454" s="0" t="s">
        <v>1009</v>
      </c>
      <c r="H454" s="0" t="s">
        <v>5418</v>
      </c>
    </row>
    <row r="455" customFormat="false" ht="13.5" hidden="false" customHeight="false" outlineLevel="0" collapsed="false">
      <c r="A455" s="0" t="s">
        <v>1010</v>
      </c>
      <c r="B455" s="0" t="s">
        <v>1011</v>
      </c>
      <c r="E455" s="0" t="s">
        <v>19</v>
      </c>
      <c r="G455" s="0" t="s">
        <v>1012</v>
      </c>
      <c r="H455" s="0" t="s">
        <v>5406</v>
      </c>
    </row>
    <row r="456" customFormat="false" ht="13.5" hidden="false" customHeight="false" outlineLevel="0" collapsed="false">
      <c r="A456" s="0" t="s">
        <v>1013</v>
      </c>
      <c r="B456" s="0" t="s">
        <v>1014</v>
      </c>
      <c r="E456" s="0" t="s">
        <v>19</v>
      </c>
      <c r="G456" s="0" t="s">
        <v>307</v>
      </c>
      <c r="H456" s="0" t="s">
        <v>5406</v>
      </c>
    </row>
    <row r="457" customFormat="false" ht="13.5" hidden="false" customHeight="false" outlineLevel="0" collapsed="false">
      <c r="A457" s="0" t="s">
        <v>1015</v>
      </c>
      <c r="B457" s="0" t="s">
        <v>1016</v>
      </c>
      <c r="E457" s="0" t="s">
        <v>19</v>
      </c>
      <c r="G457" s="0" t="s">
        <v>205</v>
      </c>
      <c r="H457" s="0" t="s">
        <v>5418</v>
      </c>
    </row>
    <row r="458" customFormat="false" ht="13.5" hidden="false" customHeight="false" outlineLevel="0" collapsed="false">
      <c r="A458" s="0" t="s">
        <v>1017</v>
      </c>
      <c r="B458" s="0" t="s">
        <v>1018</v>
      </c>
      <c r="E458" s="0" t="s">
        <v>19</v>
      </c>
      <c r="G458" s="0" t="s">
        <v>625</v>
      </c>
      <c r="H458" s="0" t="s">
        <v>5406</v>
      </c>
    </row>
    <row r="459" customFormat="false" ht="13.5" hidden="false" customHeight="false" outlineLevel="0" collapsed="false">
      <c r="A459" s="0" t="s">
        <v>1019</v>
      </c>
      <c r="B459" s="0" t="s">
        <v>1020</v>
      </c>
      <c r="E459" s="0" t="s">
        <v>19</v>
      </c>
      <c r="G459" s="0" t="s">
        <v>32</v>
      </c>
      <c r="H459" s="0" t="s">
        <v>5418</v>
      </c>
    </row>
    <row r="460" customFormat="false" ht="13.5" hidden="false" customHeight="false" outlineLevel="0" collapsed="false">
      <c r="A460" s="0" t="s">
        <v>1021</v>
      </c>
      <c r="B460" s="0" t="s">
        <v>1022</v>
      </c>
      <c r="E460" s="0" t="s">
        <v>19</v>
      </c>
      <c r="G460" s="0" t="s">
        <v>1023</v>
      </c>
      <c r="H460" s="0" t="s">
        <v>5418</v>
      </c>
    </row>
    <row r="461" customFormat="false" ht="13.5" hidden="false" customHeight="false" outlineLevel="0" collapsed="false">
      <c r="A461" s="0" t="s">
        <v>1024</v>
      </c>
      <c r="B461" s="0" t="s">
        <v>1025</v>
      </c>
      <c r="E461" s="0" t="s">
        <v>19</v>
      </c>
      <c r="G461" s="0" t="s">
        <v>32</v>
      </c>
      <c r="H461" s="0" t="s">
        <v>5418</v>
      </c>
    </row>
    <row r="462" customFormat="false" ht="13.5" hidden="false" customHeight="false" outlineLevel="0" collapsed="false">
      <c r="A462" s="0" t="s">
        <v>1026</v>
      </c>
      <c r="B462" s="0" t="s">
        <v>1027</v>
      </c>
      <c r="E462" s="0" t="s">
        <v>19</v>
      </c>
      <c r="G462" s="0" t="s">
        <v>486</v>
      </c>
      <c r="H462" s="0" t="s">
        <v>5406</v>
      </c>
    </row>
    <row r="463" customFormat="false" ht="13.5" hidden="false" customHeight="false" outlineLevel="0" collapsed="false">
      <c r="A463" s="0" t="s">
        <v>1028</v>
      </c>
      <c r="B463" s="0" t="s">
        <v>1029</v>
      </c>
      <c r="E463" s="0" t="s">
        <v>19</v>
      </c>
      <c r="G463" s="0" t="s">
        <v>1030</v>
      </c>
      <c r="H463" s="0" t="s">
        <v>5418</v>
      </c>
    </row>
    <row r="464" customFormat="false" ht="13.5" hidden="false" customHeight="false" outlineLevel="0" collapsed="false">
      <c r="A464" s="0" t="s">
        <v>1031</v>
      </c>
      <c r="B464" s="0" t="s">
        <v>1032</v>
      </c>
      <c r="E464" s="0" t="s">
        <v>19</v>
      </c>
      <c r="G464" s="0" t="s">
        <v>1033</v>
      </c>
      <c r="H464" s="0" t="s">
        <v>5406</v>
      </c>
    </row>
    <row r="465" customFormat="false" ht="13.5" hidden="false" customHeight="false" outlineLevel="0" collapsed="false">
      <c r="A465" s="0" t="s">
        <v>1034</v>
      </c>
      <c r="B465" s="0" t="s">
        <v>1035</v>
      </c>
      <c r="E465" s="0" t="s">
        <v>19</v>
      </c>
      <c r="G465" s="0" t="s">
        <v>1023</v>
      </c>
      <c r="H465" s="0" t="s">
        <v>5418</v>
      </c>
    </row>
    <row r="466" customFormat="false" ht="13.5" hidden="false" customHeight="false" outlineLevel="0" collapsed="false">
      <c r="A466" s="0" t="s">
        <v>1036</v>
      </c>
      <c r="B466" s="0" t="s">
        <v>1037</v>
      </c>
      <c r="E466" s="0" t="s">
        <v>19</v>
      </c>
      <c r="G466" s="0" t="s">
        <v>1038</v>
      </c>
      <c r="H466" s="0" t="s">
        <v>5418</v>
      </c>
    </row>
    <row r="467" customFormat="false" ht="13.5" hidden="false" customHeight="false" outlineLevel="0" collapsed="false">
      <c r="A467" s="0" t="s">
        <v>1039</v>
      </c>
      <c r="B467" s="0" t="s">
        <v>1040</v>
      </c>
      <c r="E467" s="0" t="s">
        <v>19</v>
      </c>
      <c r="G467" s="0" t="s">
        <v>32</v>
      </c>
      <c r="H467" s="0" t="s">
        <v>5418</v>
      </c>
    </row>
    <row r="468" customFormat="false" ht="13.5" hidden="false" customHeight="false" outlineLevel="0" collapsed="false">
      <c r="A468" s="0" t="s">
        <v>1041</v>
      </c>
      <c r="B468" s="0" t="s">
        <v>1042</v>
      </c>
      <c r="E468" s="0" t="s">
        <v>19</v>
      </c>
      <c r="G468" s="0" t="s">
        <v>1043</v>
      </c>
      <c r="H468" s="0" t="s">
        <v>5406</v>
      </c>
    </row>
    <row r="469" customFormat="false" ht="13.5" hidden="false" customHeight="false" outlineLevel="0" collapsed="false">
      <c r="A469" s="0" t="s">
        <v>1044</v>
      </c>
      <c r="B469" s="0" t="s">
        <v>1045</v>
      </c>
      <c r="E469" s="0" t="s">
        <v>19</v>
      </c>
      <c r="G469" s="0" t="s">
        <v>32</v>
      </c>
      <c r="H469" s="0" t="s">
        <v>5418</v>
      </c>
    </row>
    <row r="470" customFormat="false" ht="13.5" hidden="false" customHeight="false" outlineLevel="0" collapsed="false">
      <c r="A470" s="0" t="s">
        <v>1046</v>
      </c>
      <c r="B470" s="0" t="s">
        <v>1047</v>
      </c>
      <c r="E470" s="0" t="s">
        <v>19</v>
      </c>
      <c r="G470" s="0" t="s">
        <v>1048</v>
      </c>
      <c r="H470" s="0" t="s">
        <v>5406</v>
      </c>
    </row>
    <row r="471" customFormat="false" ht="13.5" hidden="false" customHeight="false" outlineLevel="0" collapsed="false">
      <c r="A471" s="0" t="s">
        <v>1049</v>
      </c>
      <c r="B471" s="0" t="s">
        <v>1050</v>
      </c>
      <c r="E471" s="0" t="s">
        <v>19</v>
      </c>
      <c r="G471" s="0" t="s">
        <v>181</v>
      </c>
      <c r="H471" s="0" t="s">
        <v>5406</v>
      </c>
    </row>
    <row r="472" customFormat="false" ht="13.5" hidden="false" customHeight="false" outlineLevel="0" collapsed="false">
      <c r="A472" s="0" t="s">
        <v>1051</v>
      </c>
      <c r="B472" s="0" t="s">
        <v>1052</v>
      </c>
      <c r="E472" s="0" t="s">
        <v>19</v>
      </c>
      <c r="G472" s="0" t="s">
        <v>98</v>
      </c>
      <c r="H472" s="0" t="s">
        <v>5406</v>
      </c>
    </row>
    <row r="473" customFormat="false" ht="13.5" hidden="false" customHeight="false" outlineLevel="0" collapsed="false">
      <c r="A473" s="0" t="s">
        <v>1053</v>
      </c>
      <c r="B473" s="0" t="s">
        <v>1054</v>
      </c>
      <c r="E473" s="0" t="s">
        <v>19</v>
      </c>
      <c r="G473" s="0" t="s">
        <v>1023</v>
      </c>
      <c r="H473" s="0" t="s">
        <v>5418</v>
      </c>
    </row>
    <row r="474" customFormat="false" ht="13.5" hidden="false" customHeight="false" outlineLevel="0" collapsed="false">
      <c r="A474" s="0" t="s">
        <v>1055</v>
      </c>
      <c r="B474" s="0" t="s">
        <v>1056</v>
      </c>
      <c r="E474" s="0" t="s">
        <v>19</v>
      </c>
      <c r="G474" s="0" t="s">
        <v>1057</v>
      </c>
      <c r="H474" s="0" t="s">
        <v>5418</v>
      </c>
    </row>
    <row r="475" customFormat="false" ht="13.5" hidden="false" customHeight="false" outlineLevel="0" collapsed="false">
      <c r="A475" s="0" t="s">
        <v>1058</v>
      </c>
      <c r="B475" s="0" t="s">
        <v>1059</v>
      </c>
      <c r="E475" s="0" t="s">
        <v>19</v>
      </c>
      <c r="G475" s="0" t="s">
        <v>1060</v>
      </c>
      <c r="H475" s="0" t="s">
        <v>5406</v>
      </c>
    </row>
    <row r="476" customFormat="false" ht="13.5" hidden="false" customHeight="false" outlineLevel="0" collapsed="false">
      <c r="A476" s="0" t="s">
        <v>1061</v>
      </c>
      <c r="B476" s="0" t="s">
        <v>1062</v>
      </c>
      <c r="E476" s="0" t="s">
        <v>19</v>
      </c>
      <c r="G476" s="0" t="s">
        <v>47</v>
      </c>
      <c r="H476" s="0" t="s">
        <v>5406</v>
      </c>
    </row>
    <row r="477" customFormat="false" ht="13.5" hidden="false" customHeight="false" outlineLevel="0" collapsed="false">
      <c r="A477" s="0" t="s">
        <v>1063</v>
      </c>
      <c r="B477" s="0" t="s">
        <v>1064</v>
      </c>
      <c r="E477" s="0" t="s">
        <v>19</v>
      </c>
      <c r="G477" s="0" t="s">
        <v>1065</v>
      </c>
      <c r="H477" s="0" t="s">
        <v>5406</v>
      </c>
    </row>
    <row r="478" customFormat="false" ht="13.5" hidden="false" customHeight="false" outlineLevel="0" collapsed="false">
      <c r="A478" s="0" t="s">
        <v>1066</v>
      </c>
      <c r="B478" s="0" t="s">
        <v>1067</v>
      </c>
      <c r="E478" s="0" t="s">
        <v>19</v>
      </c>
      <c r="G478" s="0" t="s">
        <v>1065</v>
      </c>
      <c r="H478" s="0" t="s">
        <v>5406</v>
      </c>
    </row>
    <row r="479" customFormat="false" ht="13.5" hidden="false" customHeight="false" outlineLevel="0" collapsed="false">
      <c r="A479" s="0" t="s">
        <v>1068</v>
      </c>
      <c r="B479" s="0" t="s">
        <v>1069</v>
      </c>
      <c r="E479" s="0" t="s">
        <v>19</v>
      </c>
      <c r="G479" s="0" t="s">
        <v>181</v>
      </c>
      <c r="H479" s="0" t="s">
        <v>5406</v>
      </c>
    </row>
    <row r="480" customFormat="false" ht="13.5" hidden="false" customHeight="false" outlineLevel="0" collapsed="false">
      <c r="A480" s="0" t="s">
        <v>1070</v>
      </c>
      <c r="B480" s="0" t="s">
        <v>1071</v>
      </c>
      <c r="E480" s="0" t="s">
        <v>19</v>
      </c>
      <c r="G480" s="0" t="s">
        <v>766</v>
      </c>
      <c r="H480" s="0" t="s">
        <v>5418</v>
      </c>
    </row>
    <row r="481" customFormat="false" ht="13.5" hidden="false" customHeight="false" outlineLevel="0" collapsed="false">
      <c r="A481" s="0" t="s">
        <v>1072</v>
      </c>
      <c r="B481" s="0" t="s">
        <v>1073</v>
      </c>
      <c r="E481" s="0" t="s">
        <v>19</v>
      </c>
      <c r="G481" s="0" t="s">
        <v>47</v>
      </c>
      <c r="H481" s="0" t="s">
        <v>5406</v>
      </c>
    </row>
    <row r="482" customFormat="false" ht="13.5" hidden="false" customHeight="false" outlineLevel="0" collapsed="false">
      <c r="A482" s="0" t="s">
        <v>1074</v>
      </c>
      <c r="B482" s="0" t="s">
        <v>1075</v>
      </c>
      <c r="E482" s="0" t="s">
        <v>19</v>
      </c>
      <c r="G482" s="0" t="s">
        <v>200</v>
      </c>
      <c r="H482" s="0" t="s">
        <v>5418</v>
      </c>
    </row>
    <row r="483" customFormat="false" ht="13.5" hidden="false" customHeight="false" outlineLevel="0" collapsed="false">
      <c r="A483" s="0" t="s">
        <v>1076</v>
      </c>
      <c r="B483" s="0" t="s">
        <v>1077</v>
      </c>
      <c r="E483" s="0" t="s">
        <v>19</v>
      </c>
      <c r="G483" s="0" t="s">
        <v>32</v>
      </c>
      <c r="H483" s="0" t="s">
        <v>5418</v>
      </c>
    </row>
    <row r="484" customFormat="false" ht="13.5" hidden="false" customHeight="false" outlineLevel="0" collapsed="false">
      <c r="A484" s="0" t="s">
        <v>1078</v>
      </c>
      <c r="B484" s="0" t="s">
        <v>1011</v>
      </c>
      <c r="E484" s="0" t="s">
        <v>19</v>
      </c>
      <c r="G484" s="0" t="s">
        <v>98</v>
      </c>
      <c r="H484" s="0" t="s">
        <v>5406</v>
      </c>
    </row>
    <row r="485" customFormat="false" ht="13.5" hidden="false" customHeight="false" outlineLevel="0" collapsed="false">
      <c r="A485" s="0" t="s">
        <v>1079</v>
      </c>
      <c r="B485" s="0" t="s">
        <v>1080</v>
      </c>
      <c r="E485" s="0" t="s">
        <v>19</v>
      </c>
      <c r="G485" s="0" t="s">
        <v>150</v>
      </c>
      <c r="H485" s="0" t="s">
        <v>5406</v>
      </c>
    </row>
    <row r="486" customFormat="false" ht="13.5" hidden="false" customHeight="false" outlineLevel="0" collapsed="false">
      <c r="A486" s="0" t="s">
        <v>1081</v>
      </c>
      <c r="B486" s="0" t="s">
        <v>1082</v>
      </c>
      <c r="E486" s="0" t="s">
        <v>19</v>
      </c>
      <c r="G486" s="0" t="s">
        <v>32</v>
      </c>
      <c r="H486" s="0" t="s">
        <v>5418</v>
      </c>
    </row>
    <row r="487" customFormat="false" ht="13.5" hidden="false" customHeight="false" outlineLevel="0" collapsed="false">
      <c r="A487" s="0" t="s">
        <v>1083</v>
      </c>
      <c r="B487" s="0" t="s">
        <v>1084</v>
      </c>
      <c r="E487" s="0" t="s">
        <v>19</v>
      </c>
      <c r="G487" s="0" t="s">
        <v>47</v>
      </c>
      <c r="H487" s="0" t="s">
        <v>5406</v>
      </c>
    </row>
    <row r="488" customFormat="false" ht="13.5" hidden="false" customHeight="false" outlineLevel="0" collapsed="false">
      <c r="A488" s="0" t="s">
        <v>1083</v>
      </c>
      <c r="B488" s="0" t="s">
        <v>1084</v>
      </c>
      <c r="E488" s="0" t="s">
        <v>19</v>
      </c>
      <c r="G488" s="0" t="s">
        <v>32</v>
      </c>
      <c r="H488" s="0" t="s">
        <v>5418</v>
      </c>
    </row>
    <row r="489" customFormat="false" ht="13.5" hidden="false" customHeight="false" outlineLevel="0" collapsed="false">
      <c r="A489" s="0" t="s">
        <v>1085</v>
      </c>
      <c r="B489" s="0" t="s">
        <v>1086</v>
      </c>
      <c r="E489" s="0" t="s">
        <v>19</v>
      </c>
      <c r="G489" s="0" t="s">
        <v>186</v>
      </c>
      <c r="H489" s="0" t="s">
        <v>5418</v>
      </c>
    </row>
    <row r="490" customFormat="false" ht="13.5" hidden="false" customHeight="false" outlineLevel="0" collapsed="false">
      <c r="A490" s="0" t="s">
        <v>1087</v>
      </c>
      <c r="B490" s="0" t="s">
        <v>1088</v>
      </c>
      <c r="E490" s="0" t="s">
        <v>19</v>
      </c>
      <c r="G490" s="0" t="s">
        <v>205</v>
      </c>
      <c r="H490" s="0" t="s">
        <v>5418</v>
      </c>
    </row>
    <row r="491" customFormat="false" ht="13.5" hidden="false" customHeight="false" outlineLevel="0" collapsed="false">
      <c r="A491" s="0" t="s">
        <v>1089</v>
      </c>
      <c r="B491" s="0" t="s">
        <v>1090</v>
      </c>
      <c r="E491" s="0" t="s">
        <v>19</v>
      </c>
      <c r="G491" s="0" t="s">
        <v>181</v>
      </c>
      <c r="H491" s="0" t="s">
        <v>5406</v>
      </c>
    </row>
    <row r="492" customFormat="false" ht="13.5" hidden="false" customHeight="false" outlineLevel="0" collapsed="false">
      <c r="A492" s="0" t="s">
        <v>1091</v>
      </c>
      <c r="B492" s="0" t="s">
        <v>1092</v>
      </c>
      <c r="E492" s="0" t="s">
        <v>19</v>
      </c>
      <c r="G492" s="0" t="s">
        <v>98</v>
      </c>
      <c r="H492" s="0" t="s">
        <v>5406</v>
      </c>
    </row>
    <row r="493" customFormat="false" ht="13.5" hidden="false" customHeight="false" outlineLevel="0" collapsed="false">
      <c r="A493" s="0" t="s">
        <v>1094</v>
      </c>
      <c r="B493" s="0" t="s">
        <v>1095</v>
      </c>
      <c r="E493" s="0" t="s">
        <v>19</v>
      </c>
      <c r="G493" s="0" t="s">
        <v>263</v>
      </c>
      <c r="H493" s="0" t="s">
        <v>5406</v>
      </c>
    </row>
    <row r="494" customFormat="false" ht="13.5" hidden="false" customHeight="false" outlineLevel="0" collapsed="false">
      <c r="A494" s="0" t="s">
        <v>1096</v>
      </c>
      <c r="B494" s="0" t="s">
        <v>1097</v>
      </c>
      <c r="E494" s="0" t="s">
        <v>19</v>
      </c>
      <c r="G494" s="0" t="s">
        <v>98</v>
      </c>
      <c r="H494" s="0" t="s">
        <v>5406</v>
      </c>
    </row>
    <row r="495" customFormat="false" ht="13.5" hidden="false" customHeight="false" outlineLevel="0" collapsed="false">
      <c r="A495" s="0" t="s">
        <v>1098</v>
      </c>
      <c r="B495" s="0" t="s">
        <v>1099</v>
      </c>
      <c r="E495" s="0" t="s">
        <v>19</v>
      </c>
      <c r="G495" s="0" t="s">
        <v>307</v>
      </c>
      <c r="H495" s="0" t="s">
        <v>5406</v>
      </c>
    </row>
    <row r="496" customFormat="false" ht="13.5" hidden="false" customHeight="false" outlineLevel="0" collapsed="false">
      <c r="A496" s="0" t="s">
        <v>1100</v>
      </c>
      <c r="B496" s="0" t="s">
        <v>1101</v>
      </c>
      <c r="E496" s="0" t="s">
        <v>19</v>
      </c>
      <c r="G496" s="0" t="s">
        <v>32</v>
      </c>
      <c r="H496" s="0" t="s">
        <v>5418</v>
      </c>
    </row>
    <row r="497" customFormat="false" ht="13.5" hidden="false" customHeight="false" outlineLevel="0" collapsed="false">
      <c r="A497" s="0" t="s">
        <v>1102</v>
      </c>
      <c r="B497" s="0" t="s">
        <v>1103</v>
      </c>
      <c r="E497" s="0" t="s">
        <v>19</v>
      </c>
      <c r="G497" s="0" t="s">
        <v>98</v>
      </c>
      <c r="H497" s="0" t="s">
        <v>5406</v>
      </c>
    </row>
    <row r="498" customFormat="false" ht="13.5" hidden="false" customHeight="false" outlineLevel="0" collapsed="false">
      <c r="A498" s="0" t="s">
        <v>1104</v>
      </c>
      <c r="B498" s="0" t="s">
        <v>1105</v>
      </c>
      <c r="E498" s="0" t="s">
        <v>19</v>
      </c>
      <c r="G498" s="0" t="s">
        <v>1106</v>
      </c>
      <c r="H498" s="0" t="s">
        <v>5406</v>
      </c>
    </row>
    <row r="499" customFormat="false" ht="13.5" hidden="false" customHeight="false" outlineLevel="0" collapsed="false">
      <c r="A499" s="0" t="s">
        <v>1107</v>
      </c>
      <c r="B499" s="0" t="s">
        <v>1108</v>
      </c>
      <c r="E499" s="0" t="s">
        <v>19</v>
      </c>
      <c r="G499" s="0" t="s">
        <v>766</v>
      </c>
      <c r="H499" s="0" t="s">
        <v>5418</v>
      </c>
    </row>
    <row r="500" customFormat="false" ht="13.5" hidden="false" customHeight="false" outlineLevel="0" collapsed="false">
      <c r="A500" s="0" t="s">
        <v>1109</v>
      </c>
      <c r="B500" s="0" t="s">
        <v>1110</v>
      </c>
      <c r="E500" s="0" t="s">
        <v>19</v>
      </c>
      <c r="G500" s="0" t="s">
        <v>1111</v>
      </c>
      <c r="H500" s="0" t="s">
        <v>5406</v>
      </c>
    </row>
    <row r="501" customFormat="false" ht="13.5" hidden="false" customHeight="false" outlineLevel="0" collapsed="false">
      <c r="A501" s="0" t="s">
        <v>1112</v>
      </c>
      <c r="B501" s="0" t="s">
        <v>1113</v>
      </c>
      <c r="E501" s="0" t="s">
        <v>19</v>
      </c>
      <c r="G501" s="0" t="s">
        <v>32</v>
      </c>
      <c r="H501" s="0" t="s">
        <v>5418</v>
      </c>
    </row>
    <row r="502" customFormat="false" ht="13.5" hidden="false" customHeight="false" outlineLevel="0" collapsed="false">
      <c r="A502" s="0" t="s">
        <v>1114</v>
      </c>
      <c r="B502" s="0" t="s">
        <v>1115</v>
      </c>
      <c r="E502" s="0" t="s">
        <v>19</v>
      </c>
      <c r="G502" s="0" t="s">
        <v>1116</v>
      </c>
      <c r="H502" s="0" t="s">
        <v>5406</v>
      </c>
    </row>
    <row r="503" customFormat="false" ht="13.5" hidden="false" customHeight="false" outlineLevel="0" collapsed="false">
      <c r="A503" s="0" t="s">
        <v>1117</v>
      </c>
      <c r="B503" s="0" t="s">
        <v>1118</v>
      </c>
      <c r="E503" s="0" t="s">
        <v>19</v>
      </c>
      <c r="G503" s="0" t="s">
        <v>1119</v>
      </c>
      <c r="H503" s="0" t="s">
        <v>5406</v>
      </c>
    </row>
    <row r="504" customFormat="false" ht="13.5" hidden="false" customHeight="false" outlineLevel="0" collapsed="false">
      <c r="A504" s="0" t="s">
        <v>1120</v>
      </c>
      <c r="B504" s="0" t="s">
        <v>1121</v>
      </c>
      <c r="E504" s="0" t="s">
        <v>19</v>
      </c>
      <c r="G504" s="0" t="s">
        <v>679</v>
      </c>
      <c r="H504" s="0" t="s">
        <v>5418</v>
      </c>
    </row>
    <row r="505" customFormat="false" ht="13.5" hidden="false" customHeight="false" outlineLevel="0" collapsed="false">
      <c r="A505" s="0" t="s">
        <v>1122</v>
      </c>
      <c r="B505" s="0" t="s">
        <v>1123</v>
      </c>
      <c r="E505" s="0" t="s">
        <v>19</v>
      </c>
      <c r="G505" s="0" t="s">
        <v>200</v>
      </c>
      <c r="H505" s="0" t="s">
        <v>5418</v>
      </c>
    </row>
    <row r="506" customFormat="false" ht="13.5" hidden="false" customHeight="false" outlineLevel="0" collapsed="false">
      <c r="A506" s="0" t="s">
        <v>1124</v>
      </c>
      <c r="B506" s="0" t="s">
        <v>1125</v>
      </c>
      <c r="E506" s="0" t="s">
        <v>19</v>
      </c>
      <c r="G506" s="0" t="s">
        <v>200</v>
      </c>
      <c r="H506" s="0" t="s">
        <v>5418</v>
      </c>
    </row>
    <row r="507" customFormat="false" ht="13.5" hidden="false" customHeight="false" outlineLevel="0" collapsed="false">
      <c r="A507" s="0" t="s">
        <v>1126</v>
      </c>
      <c r="B507" s="0" t="s">
        <v>1127</v>
      </c>
      <c r="E507" s="0" t="s">
        <v>19</v>
      </c>
      <c r="G507" s="0" t="s">
        <v>32</v>
      </c>
      <c r="H507" s="0" t="s">
        <v>5418</v>
      </c>
    </row>
    <row r="508" customFormat="false" ht="13.5" hidden="false" customHeight="false" outlineLevel="0" collapsed="false">
      <c r="A508" s="0" t="s">
        <v>1128</v>
      </c>
      <c r="B508" s="0" t="s">
        <v>1129</v>
      </c>
      <c r="E508" s="0" t="s">
        <v>19</v>
      </c>
      <c r="G508" s="0" t="s">
        <v>200</v>
      </c>
      <c r="H508" s="0" t="s">
        <v>5418</v>
      </c>
    </row>
    <row r="509" customFormat="false" ht="13.5" hidden="false" customHeight="false" outlineLevel="0" collapsed="false">
      <c r="A509" s="0" t="s">
        <v>1130</v>
      </c>
      <c r="B509" s="0" t="s">
        <v>1131</v>
      </c>
      <c r="E509" s="0" t="s">
        <v>19</v>
      </c>
      <c r="G509" s="0" t="s">
        <v>150</v>
      </c>
      <c r="H509" s="0" t="s">
        <v>5406</v>
      </c>
    </row>
    <row r="510" customFormat="false" ht="13.5" hidden="false" customHeight="false" outlineLevel="0" collapsed="false">
      <c r="A510" s="0" t="s">
        <v>1132</v>
      </c>
      <c r="B510" s="0" t="s">
        <v>1133</v>
      </c>
      <c r="E510" s="0" t="s">
        <v>19</v>
      </c>
      <c r="G510" s="0" t="s">
        <v>1134</v>
      </c>
      <c r="H510" s="0" t="s">
        <v>5406</v>
      </c>
    </row>
    <row r="511" customFormat="false" ht="13.5" hidden="false" customHeight="false" outlineLevel="0" collapsed="false">
      <c r="A511" s="0" t="s">
        <v>1135</v>
      </c>
      <c r="B511" s="0" t="s">
        <v>1136</v>
      </c>
      <c r="E511" s="0" t="s">
        <v>19</v>
      </c>
      <c r="G511" s="0" t="s">
        <v>47</v>
      </c>
      <c r="H511" s="0" t="s">
        <v>5406</v>
      </c>
    </row>
    <row r="512" customFormat="false" ht="13.5" hidden="false" customHeight="false" outlineLevel="0" collapsed="false">
      <c r="A512" s="0" t="s">
        <v>1137</v>
      </c>
      <c r="B512" s="0" t="s">
        <v>1138</v>
      </c>
      <c r="E512" s="0" t="s">
        <v>19</v>
      </c>
      <c r="G512" s="0" t="s">
        <v>153</v>
      </c>
      <c r="H512" s="0" t="s">
        <v>5406</v>
      </c>
    </row>
    <row r="513" customFormat="false" ht="13.5" hidden="false" customHeight="false" outlineLevel="0" collapsed="false">
      <c r="A513" s="0" t="s">
        <v>1140</v>
      </c>
      <c r="B513" s="0" t="s">
        <v>1141</v>
      </c>
      <c r="E513" s="0" t="s">
        <v>19</v>
      </c>
      <c r="G513" s="0" t="s">
        <v>410</v>
      </c>
      <c r="H513" s="0" t="s">
        <v>5418</v>
      </c>
    </row>
    <row r="514" customFormat="false" ht="13.5" hidden="false" customHeight="false" outlineLevel="0" collapsed="false">
      <c r="A514" s="0" t="s">
        <v>1142</v>
      </c>
      <c r="B514" s="0" t="s">
        <v>1143</v>
      </c>
      <c r="E514" s="0" t="s">
        <v>19</v>
      </c>
      <c r="G514" s="0" t="s">
        <v>1134</v>
      </c>
      <c r="H514" s="0" t="s">
        <v>5406</v>
      </c>
    </row>
    <row r="515" customFormat="false" ht="13.5" hidden="false" customHeight="false" outlineLevel="0" collapsed="false">
      <c r="A515" s="0" t="s">
        <v>1144</v>
      </c>
      <c r="B515" s="0" t="s">
        <v>1145</v>
      </c>
      <c r="E515" s="0" t="s">
        <v>19</v>
      </c>
      <c r="G515" s="0" t="s">
        <v>98</v>
      </c>
      <c r="H515" s="0" t="s">
        <v>5406</v>
      </c>
    </row>
    <row r="516" customFormat="false" ht="13.5" hidden="false" customHeight="false" outlineLevel="0" collapsed="false">
      <c r="A516" s="0" t="s">
        <v>1146</v>
      </c>
      <c r="B516" s="0" t="s">
        <v>1147</v>
      </c>
      <c r="E516" s="0" t="s">
        <v>19</v>
      </c>
      <c r="G516" s="0" t="s">
        <v>1148</v>
      </c>
      <c r="H516" s="0" t="s">
        <v>5406</v>
      </c>
    </row>
    <row r="517" customFormat="false" ht="13.5" hidden="false" customHeight="false" outlineLevel="0" collapsed="false">
      <c r="A517" s="0" t="s">
        <v>1149</v>
      </c>
      <c r="B517" s="0" t="s">
        <v>1150</v>
      </c>
      <c r="E517" s="0" t="s">
        <v>19</v>
      </c>
      <c r="G517" s="0" t="s">
        <v>1151</v>
      </c>
      <c r="H517" s="0" t="s">
        <v>5418</v>
      </c>
    </row>
    <row r="518" customFormat="false" ht="13.5" hidden="false" customHeight="false" outlineLevel="0" collapsed="false">
      <c r="A518" s="0" t="s">
        <v>1153</v>
      </c>
      <c r="B518" s="0" t="s">
        <v>1037</v>
      </c>
      <c r="E518" s="0" t="s">
        <v>19</v>
      </c>
      <c r="G518" s="0" t="s">
        <v>695</v>
      </c>
      <c r="H518" s="0" t="s">
        <v>5418</v>
      </c>
    </row>
    <row r="519" customFormat="false" ht="13.5" hidden="false" customHeight="false" outlineLevel="0" collapsed="false">
      <c r="A519" s="0" t="s">
        <v>1154</v>
      </c>
      <c r="B519" s="0" t="s">
        <v>1155</v>
      </c>
      <c r="E519" s="0" t="s">
        <v>19</v>
      </c>
      <c r="G519" s="0" t="s">
        <v>1151</v>
      </c>
      <c r="H519" s="0" t="s">
        <v>5418</v>
      </c>
    </row>
    <row r="520" customFormat="false" ht="13.5" hidden="false" customHeight="false" outlineLevel="0" collapsed="false">
      <c r="A520" s="0" t="s">
        <v>1156</v>
      </c>
      <c r="B520" s="0" t="s">
        <v>1157</v>
      </c>
      <c r="E520" s="0" t="s">
        <v>19</v>
      </c>
      <c r="G520" s="0" t="s">
        <v>1158</v>
      </c>
      <c r="H520" s="0" t="s">
        <v>5406</v>
      </c>
    </row>
    <row r="521" customFormat="false" ht="13.5" hidden="false" customHeight="false" outlineLevel="0" collapsed="false">
      <c r="A521" s="0" t="s">
        <v>1159</v>
      </c>
      <c r="B521" s="0" t="s">
        <v>1160</v>
      </c>
      <c r="E521" s="0" t="s">
        <v>19</v>
      </c>
      <c r="G521" s="0" t="s">
        <v>1161</v>
      </c>
      <c r="H521" s="0" t="s">
        <v>5406</v>
      </c>
    </row>
    <row r="522" customFormat="false" ht="13.5" hidden="false" customHeight="false" outlineLevel="0" collapsed="false">
      <c r="A522" s="0" t="s">
        <v>1162</v>
      </c>
      <c r="B522" s="0" t="s">
        <v>1163</v>
      </c>
      <c r="E522" s="0" t="s">
        <v>19</v>
      </c>
      <c r="G522" s="0" t="s">
        <v>47</v>
      </c>
      <c r="H522" s="0" t="s">
        <v>5406</v>
      </c>
    </row>
    <row r="523" customFormat="false" ht="13.5" hidden="false" customHeight="false" outlineLevel="0" collapsed="false">
      <c r="A523" s="0" t="s">
        <v>1164</v>
      </c>
      <c r="B523" s="0" t="s">
        <v>1165</v>
      </c>
      <c r="E523" s="0" t="s">
        <v>19</v>
      </c>
      <c r="G523" s="0" t="s">
        <v>1166</v>
      </c>
      <c r="H523" s="0" t="s">
        <v>5406</v>
      </c>
    </row>
    <row r="524" customFormat="false" ht="13.5" hidden="false" customHeight="false" outlineLevel="0" collapsed="false">
      <c r="A524" s="0" t="s">
        <v>1167</v>
      </c>
      <c r="B524" s="0" t="s">
        <v>1168</v>
      </c>
      <c r="E524" s="0" t="s">
        <v>19</v>
      </c>
      <c r="G524" s="0" t="s">
        <v>263</v>
      </c>
      <c r="H524" s="0" t="s">
        <v>5406</v>
      </c>
    </row>
    <row r="525" customFormat="false" ht="13.5" hidden="false" customHeight="false" outlineLevel="0" collapsed="false">
      <c r="A525" s="0" t="s">
        <v>1169</v>
      </c>
      <c r="B525" s="0" t="s">
        <v>1170</v>
      </c>
      <c r="E525" s="0" t="s">
        <v>19</v>
      </c>
      <c r="G525" s="0" t="s">
        <v>98</v>
      </c>
      <c r="H525" s="0" t="s">
        <v>5406</v>
      </c>
    </row>
    <row r="526" customFormat="false" ht="13.5" hidden="false" customHeight="false" outlineLevel="0" collapsed="false">
      <c r="A526" s="0" t="s">
        <v>1171</v>
      </c>
      <c r="B526" s="0" t="s">
        <v>1172</v>
      </c>
      <c r="E526" s="0" t="s">
        <v>19</v>
      </c>
      <c r="G526" s="0" t="s">
        <v>98</v>
      </c>
      <c r="H526" s="0" t="s">
        <v>5406</v>
      </c>
    </row>
    <row r="527" customFormat="false" ht="13.5" hidden="false" customHeight="false" outlineLevel="0" collapsed="false">
      <c r="A527" s="0" t="s">
        <v>1173</v>
      </c>
      <c r="B527" s="0" t="s">
        <v>1174</v>
      </c>
      <c r="E527" s="0" t="s">
        <v>19</v>
      </c>
      <c r="G527" s="0" t="s">
        <v>705</v>
      </c>
      <c r="H527" s="0" t="s">
        <v>5418</v>
      </c>
    </row>
    <row r="528" customFormat="false" ht="13.5" hidden="false" customHeight="false" outlineLevel="0" collapsed="false">
      <c r="A528" s="0" t="s">
        <v>1175</v>
      </c>
      <c r="B528" s="0" t="s">
        <v>1176</v>
      </c>
      <c r="E528" s="0" t="s">
        <v>19</v>
      </c>
      <c r="G528" s="0" t="s">
        <v>47</v>
      </c>
      <c r="H528" s="0" t="s">
        <v>5406</v>
      </c>
    </row>
    <row r="529" customFormat="false" ht="13.5" hidden="false" customHeight="false" outlineLevel="0" collapsed="false">
      <c r="A529" s="0" t="s">
        <v>1177</v>
      </c>
      <c r="B529" s="0" t="s">
        <v>1178</v>
      </c>
      <c r="E529" s="0" t="s">
        <v>19</v>
      </c>
      <c r="G529" s="0" t="s">
        <v>783</v>
      </c>
      <c r="H529" s="0" t="s">
        <v>5418</v>
      </c>
    </row>
    <row r="530" customFormat="false" ht="13.5" hidden="false" customHeight="false" outlineLevel="0" collapsed="false">
      <c r="A530" s="0" t="s">
        <v>1179</v>
      </c>
      <c r="B530" s="0" t="s">
        <v>1180</v>
      </c>
      <c r="E530" s="0" t="s">
        <v>19</v>
      </c>
      <c r="G530" s="0" t="s">
        <v>122</v>
      </c>
      <c r="H530" s="0" t="s">
        <v>5406</v>
      </c>
    </row>
    <row r="531" customFormat="false" ht="13.5" hidden="false" customHeight="false" outlineLevel="0" collapsed="false">
      <c r="A531" s="0" t="s">
        <v>1181</v>
      </c>
      <c r="B531" s="0" t="s">
        <v>1182</v>
      </c>
      <c r="E531" s="0" t="s">
        <v>19</v>
      </c>
      <c r="G531" s="0" t="s">
        <v>200</v>
      </c>
      <c r="H531" s="0" t="s">
        <v>5418</v>
      </c>
    </row>
    <row r="532" customFormat="false" ht="13.5" hidden="false" customHeight="false" outlineLevel="0" collapsed="false">
      <c r="A532" s="0" t="s">
        <v>1183</v>
      </c>
      <c r="B532" s="0" t="s">
        <v>1184</v>
      </c>
      <c r="E532" s="0" t="s">
        <v>19</v>
      </c>
      <c r="G532" s="0" t="s">
        <v>186</v>
      </c>
      <c r="H532" s="0" t="s">
        <v>5418</v>
      </c>
    </row>
    <row r="533" customFormat="false" ht="13.5" hidden="false" customHeight="false" outlineLevel="0" collapsed="false">
      <c r="A533" s="0" t="s">
        <v>1185</v>
      </c>
      <c r="B533" s="0" t="s">
        <v>1186</v>
      </c>
      <c r="E533" s="0" t="s">
        <v>19</v>
      </c>
      <c r="G533" s="0" t="s">
        <v>47</v>
      </c>
      <c r="H533" s="0" t="s">
        <v>5406</v>
      </c>
    </row>
    <row r="534" customFormat="false" ht="13.5" hidden="false" customHeight="false" outlineLevel="0" collapsed="false">
      <c r="A534" s="0" t="s">
        <v>1187</v>
      </c>
      <c r="B534" s="0" t="s">
        <v>1188</v>
      </c>
      <c r="E534" s="0" t="s">
        <v>19</v>
      </c>
      <c r="G534" s="0" t="s">
        <v>98</v>
      </c>
      <c r="H534" s="0" t="s">
        <v>5406</v>
      </c>
    </row>
    <row r="535" customFormat="false" ht="13.5" hidden="false" customHeight="false" outlineLevel="0" collapsed="false">
      <c r="A535" s="0" t="s">
        <v>1189</v>
      </c>
      <c r="B535" s="0" t="s">
        <v>1190</v>
      </c>
      <c r="E535" s="0" t="s">
        <v>19</v>
      </c>
      <c r="G535" s="0" t="s">
        <v>1191</v>
      </c>
      <c r="H535" s="0" t="s">
        <v>5418</v>
      </c>
    </row>
    <row r="536" customFormat="false" ht="13.5" hidden="false" customHeight="false" outlineLevel="0" collapsed="false">
      <c r="A536" s="0" t="s">
        <v>1192</v>
      </c>
      <c r="B536" s="0" t="s">
        <v>1193</v>
      </c>
      <c r="E536" s="0" t="s">
        <v>19</v>
      </c>
      <c r="G536" s="0" t="s">
        <v>53</v>
      </c>
      <c r="H536" s="0" t="s">
        <v>5418</v>
      </c>
    </row>
    <row r="537" customFormat="false" ht="13.5" hidden="false" customHeight="false" outlineLevel="0" collapsed="false">
      <c r="A537" s="0" t="s">
        <v>1194</v>
      </c>
      <c r="B537" s="0" t="s">
        <v>1195</v>
      </c>
      <c r="E537" s="0" t="s">
        <v>19</v>
      </c>
      <c r="G537" s="0" t="s">
        <v>47</v>
      </c>
      <c r="H537" s="0" t="s">
        <v>5406</v>
      </c>
    </row>
    <row r="538" customFormat="false" ht="13.5" hidden="false" customHeight="false" outlineLevel="0" collapsed="false">
      <c r="A538" s="0" t="s">
        <v>1196</v>
      </c>
      <c r="B538" s="0" t="s">
        <v>1197</v>
      </c>
      <c r="E538" s="0" t="s">
        <v>19</v>
      </c>
      <c r="G538" s="0" t="s">
        <v>1198</v>
      </c>
      <c r="H538" s="0" t="s">
        <v>5406</v>
      </c>
    </row>
    <row r="539" customFormat="false" ht="13.5" hidden="false" customHeight="false" outlineLevel="0" collapsed="false">
      <c r="A539" s="0" t="s">
        <v>1199</v>
      </c>
      <c r="B539" s="0" t="s">
        <v>1200</v>
      </c>
      <c r="E539" s="0" t="s">
        <v>19</v>
      </c>
      <c r="G539" s="0" t="s">
        <v>98</v>
      </c>
      <c r="H539" s="0" t="s">
        <v>5406</v>
      </c>
    </row>
    <row r="540" customFormat="false" ht="13.5" hidden="false" customHeight="false" outlineLevel="0" collapsed="false">
      <c r="A540" s="0" t="s">
        <v>1201</v>
      </c>
      <c r="B540" s="0" t="s">
        <v>1202</v>
      </c>
      <c r="E540" s="0" t="s">
        <v>19</v>
      </c>
      <c r="G540" s="0" t="s">
        <v>47</v>
      </c>
      <c r="H540" s="0" t="s">
        <v>5406</v>
      </c>
    </row>
    <row r="541" customFormat="false" ht="13.5" hidden="false" customHeight="false" outlineLevel="0" collapsed="false">
      <c r="A541" s="0" t="s">
        <v>1203</v>
      </c>
      <c r="B541" s="0" t="s">
        <v>1204</v>
      </c>
      <c r="E541" s="0" t="s">
        <v>19</v>
      </c>
      <c r="G541" s="0" t="s">
        <v>98</v>
      </c>
      <c r="H541" s="0" t="s">
        <v>5406</v>
      </c>
    </row>
    <row r="542" customFormat="false" ht="13.5" hidden="false" customHeight="false" outlineLevel="0" collapsed="false">
      <c r="A542" s="0" t="s">
        <v>1205</v>
      </c>
      <c r="B542" s="0" t="s">
        <v>1206</v>
      </c>
      <c r="E542" s="0" t="s">
        <v>19</v>
      </c>
      <c r="G542" s="0" t="s">
        <v>695</v>
      </c>
      <c r="H542" s="0" t="s">
        <v>5418</v>
      </c>
    </row>
    <row r="543" customFormat="false" ht="13.5" hidden="false" customHeight="false" outlineLevel="0" collapsed="false">
      <c r="A543" s="0" t="s">
        <v>1207</v>
      </c>
      <c r="B543" s="0" t="s">
        <v>1208</v>
      </c>
      <c r="E543" s="0" t="s">
        <v>19</v>
      </c>
      <c r="G543" s="0" t="s">
        <v>1209</v>
      </c>
      <c r="H543" s="0" t="s">
        <v>5406</v>
      </c>
    </row>
    <row r="544" customFormat="false" ht="13.5" hidden="false" customHeight="false" outlineLevel="0" collapsed="false">
      <c r="A544" s="0" t="s">
        <v>1210</v>
      </c>
      <c r="B544" s="0" t="s">
        <v>1211</v>
      </c>
      <c r="E544" s="0" t="s">
        <v>19</v>
      </c>
      <c r="G544" s="0" t="s">
        <v>98</v>
      </c>
      <c r="H544" s="0" t="s">
        <v>5406</v>
      </c>
    </row>
    <row r="545" customFormat="false" ht="13.5" hidden="false" customHeight="false" outlineLevel="0" collapsed="false">
      <c r="A545" s="0" t="s">
        <v>1212</v>
      </c>
      <c r="B545" s="0" t="s">
        <v>1213</v>
      </c>
      <c r="E545" s="0" t="s">
        <v>19</v>
      </c>
      <c r="G545" s="0" t="s">
        <v>1214</v>
      </c>
      <c r="H545" s="0" t="s">
        <v>5418</v>
      </c>
    </row>
    <row r="546" customFormat="false" ht="13.5" hidden="false" customHeight="false" outlineLevel="0" collapsed="false">
      <c r="A546" s="0" t="s">
        <v>1215</v>
      </c>
      <c r="B546" s="0" t="s">
        <v>1216</v>
      </c>
      <c r="E546" s="0" t="s">
        <v>19</v>
      </c>
      <c r="G546" s="0" t="s">
        <v>1217</v>
      </c>
      <c r="H546" s="0" t="s">
        <v>5418</v>
      </c>
    </row>
    <row r="547" customFormat="false" ht="13.5" hidden="false" customHeight="false" outlineLevel="0" collapsed="false">
      <c r="A547" s="0" t="s">
        <v>1218</v>
      </c>
      <c r="B547" s="0" t="s">
        <v>1219</v>
      </c>
      <c r="E547" s="0" t="s">
        <v>19</v>
      </c>
      <c r="G547" s="0" t="s">
        <v>1023</v>
      </c>
      <c r="H547" s="0" t="s">
        <v>5418</v>
      </c>
    </row>
    <row r="548" customFormat="false" ht="13.5" hidden="false" customHeight="false" outlineLevel="0" collapsed="false">
      <c r="A548" s="0" t="s">
        <v>1220</v>
      </c>
      <c r="B548" s="0" t="s">
        <v>1221</v>
      </c>
      <c r="E548" s="0" t="s">
        <v>19</v>
      </c>
      <c r="G548" s="0" t="s">
        <v>655</v>
      </c>
      <c r="H548" s="0" t="s">
        <v>5406</v>
      </c>
    </row>
    <row r="549" customFormat="false" ht="13.5" hidden="false" customHeight="false" outlineLevel="0" collapsed="false">
      <c r="A549" s="0" t="s">
        <v>1222</v>
      </c>
      <c r="B549" s="0" t="s">
        <v>1223</v>
      </c>
      <c r="E549" s="0" t="s">
        <v>19</v>
      </c>
      <c r="G549" s="0" t="s">
        <v>695</v>
      </c>
      <c r="H549" s="0" t="s">
        <v>5418</v>
      </c>
    </row>
    <row r="550" customFormat="false" ht="13.5" hidden="false" customHeight="false" outlineLevel="0" collapsed="false">
      <c r="A550" s="0" t="s">
        <v>1224</v>
      </c>
      <c r="B550" s="0" t="s">
        <v>1225</v>
      </c>
      <c r="E550" s="0" t="s">
        <v>19</v>
      </c>
      <c r="G550" s="0" t="s">
        <v>32</v>
      </c>
      <c r="H550" s="0" t="s">
        <v>5418</v>
      </c>
    </row>
    <row r="551" customFormat="false" ht="13.5" hidden="false" customHeight="false" outlineLevel="0" collapsed="false">
      <c r="A551" s="0" t="s">
        <v>1226</v>
      </c>
      <c r="B551" s="0" t="s">
        <v>615</v>
      </c>
      <c r="E551" s="0" t="s">
        <v>19</v>
      </c>
      <c r="G551" s="0" t="s">
        <v>1227</v>
      </c>
      <c r="H551" s="0" t="s">
        <v>5418</v>
      </c>
    </row>
    <row r="552" customFormat="false" ht="13.5" hidden="false" customHeight="false" outlineLevel="0" collapsed="false">
      <c r="A552" s="0" t="s">
        <v>1228</v>
      </c>
      <c r="B552" s="0" t="s">
        <v>1229</v>
      </c>
      <c r="E552" s="0" t="s">
        <v>19</v>
      </c>
      <c r="G552" s="0" t="s">
        <v>882</v>
      </c>
      <c r="H552" s="0" t="s">
        <v>5406</v>
      </c>
    </row>
    <row r="553" customFormat="false" ht="13.5" hidden="false" customHeight="false" outlineLevel="0" collapsed="false">
      <c r="A553" s="0" t="s">
        <v>1230</v>
      </c>
      <c r="B553" s="0" t="s">
        <v>799</v>
      </c>
      <c r="E553" s="0" t="s">
        <v>19</v>
      </c>
      <c r="G553" s="0" t="s">
        <v>47</v>
      </c>
      <c r="H553" s="0" t="s">
        <v>5406</v>
      </c>
    </row>
    <row r="554" customFormat="false" ht="13.5" hidden="false" customHeight="false" outlineLevel="0" collapsed="false">
      <c r="A554" s="0" t="s">
        <v>1231</v>
      </c>
      <c r="B554" s="0" t="s">
        <v>1232</v>
      </c>
      <c r="E554" s="0" t="s">
        <v>19</v>
      </c>
      <c r="G554" s="0" t="s">
        <v>53</v>
      </c>
      <c r="H554" s="0" t="s">
        <v>5418</v>
      </c>
    </row>
    <row r="555" customFormat="false" ht="13.5" hidden="false" customHeight="false" outlineLevel="0" collapsed="false">
      <c r="A555" s="0" t="s">
        <v>1233</v>
      </c>
      <c r="B555" s="0" t="s">
        <v>1234</v>
      </c>
      <c r="E555" s="0" t="s">
        <v>19</v>
      </c>
      <c r="G555" s="0" t="s">
        <v>200</v>
      </c>
      <c r="H555" s="0" t="s">
        <v>5418</v>
      </c>
    </row>
    <row r="556" customFormat="false" ht="13.5" hidden="false" customHeight="false" outlineLevel="0" collapsed="false">
      <c r="A556" s="0" t="s">
        <v>1235</v>
      </c>
      <c r="B556" s="0" t="s">
        <v>1236</v>
      </c>
      <c r="E556" s="0" t="s">
        <v>19</v>
      </c>
      <c r="G556" s="0" t="s">
        <v>32</v>
      </c>
      <c r="H556" s="0" t="s">
        <v>5418</v>
      </c>
    </row>
    <row r="557" customFormat="false" ht="13.5" hidden="false" customHeight="false" outlineLevel="0" collapsed="false">
      <c r="A557" s="0" t="s">
        <v>1237</v>
      </c>
      <c r="B557" s="0" t="s">
        <v>1238</v>
      </c>
      <c r="E557" s="0" t="s">
        <v>19</v>
      </c>
      <c r="G557" s="0" t="s">
        <v>348</v>
      </c>
      <c r="H557" s="0" t="s">
        <v>5406</v>
      </c>
    </row>
    <row r="558" customFormat="false" ht="13.5" hidden="false" customHeight="false" outlineLevel="0" collapsed="false">
      <c r="A558" s="0" t="s">
        <v>1239</v>
      </c>
      <c r="B558" s="0" t="s">
        <v>1240</v>
      </c>
      <c r="E558" s="0" t="s">
        <v>19</v>
      </c>
      <c r="G558" s="0" t="s">
        <v>98</v>
      </c>
      <c r="H558" s="0" t="s">
        <v>5406</v>
      </c>
    </row>
    <row r="559" customFormat="false" ht="13.5" hidden="false" customHeight="false" outlineLevel="0" collapsed="false">
      <c r="A559" s="0" t="s">
        <v>1241</v>
      </c>
      <c r="B559" s="0" t="s">
        <v>1242</v>
      </c>
      <c r="E559" s="0" t="s">
        <v>19</v>
      </c>
      <c r="G559" s="0" t="s">
        <v>1243</v>
      </c>
      <c r="H559" s="0" t="s">
        <v>5418</v>
      </c>
    </row>
    <row r="560" customFormat="false" ht="13.5" hidden="false" customHeight="false" outlineLevel="0" collapsed="false">
      <c r="A560" s="0" t="s">
        <v>1244</v>
      </c>
      <c r="B560" s="0" t="s">
        <v>1245</v>
      </c>
      <c r="E560" s="0" t="s">
        <v>19</v>
      </c>
      <c r="G560" s="0" t="s">
        <v>348</v>
      </c>
      <c r="H560" s="0" t="s">
        <v>5406</v>
      </c>
    </row>
    <row r="561" customFormat="false" ht="13.5" hidden="false" customHeight="false" outlineLevel="0" collapsed="false">
      <c r="A561" s="0" t="s">
        <v>1246</v>
      </c>
      <c r="B561" s="0" t="s">
        <v>1247</v>
      </c>
      <c r="E561" s="0" t="s">
        <v>19</v>
      </c>
      <c r="G561" s="0" t="s">
        <v>32</v>
      </c>
      <c r="H561" s="0" t="s">
        <v>5418</v>
      </c>
    </row>
    <row r="562" customFormat="false" ht="13.5" hidden="false" customHeight="false" outlineLevel="0" collapsed="false">
      <c r="A562" s="0" t="s">
        <v>1248</v>
      </c>
      <c r="B562" s="0" t="s">
        <v>1249</v>
      </c>
      <c r="E562" s="0" t="s">
        <v>19</v>
      </c>
      <c r="G562" s="0" t="s">
        <v>695</v>
      </c>
      <c r="H562" s="0" t="s">
        <v>5418</v>
      </c>
    </row>
    <row r="563" customFormat="false" ht="13.5" hidden="false" customHeight="false" outlineLevel="0" collapsed="false">
      <c r="A563" s="0" t="s">
        <v>1250</v>
      </c>
      <c r="B563" s="0" t="s">
        <v>1195</v>
      </c>
      <c r="E563" s="0" t="s">
        <v>19</v>
      </c>
      <c r="G563" s="0" t="s">
        <v>348</v>
      </c>
      <c r="H563" s="0" t="s">
        <v>5406</v>
      </c>
    </row>
    <row r="564" customFormat="false" ht="13.5" hidden="false" customHeight="false" outlineLevel="0" collapsed="false">
      <c r="A564" s="0" t="s">
        <v>1251</v>
      </c>
      <c r="B564" s="0" t="s">
        <v>1252</v>
      </c>
      <c r="E564" s="0" t="s">
        <v>19</v>
      </c>
      <c r="G564" s="0" t="s">
        <v>1253</v>
      </c>
      <c r="H564" s="0" t="s">
        <v>5418</v>
      </c>
    </row>
    <row r="565" customFormat="false" ht="13.5" hidden="false" customHeight="false" outlineLevel="0" collapsed="false">
      <c r="A565" s="0" t="s">
        <v>1254</v>
      </c>
      <c r="B565" s="0" t="s">
        <v>1255</v>
      </c>
      <c r="E565" s="0" t="s">
        <v>19</v>
      </c>
      <c r="G565" s="0" t="s">
        <v>98</v>
      </c>
      <c r="H565" s="0" t="s">
        <v>5406</v>
      </c>
    </row>
    <row r="566" customFormat="false" ht="13.5" hidden="false" customHeight="false" outlineLevel="0" collapsed="false">
      <c r="A566" s="0" t="s">
        <v>1256</v>
      </c>
      <c r="B566" s="0" t="s">
        <v>1257</v>
      </c>
      <c r="E566" s="0" t="s">
        <v>19</v>
      </c>
      <c r="G566" s="0" t="s">
        <v>56</v>
      </c>
      <c r="H566" s="0" t="s">
        <v>5418</v>
      </c>
    </row>
    <row r="567" customFormat="false" ht="13.5" hidden="false" customHeight="false" outlineLevel="0" collapsed="false">
      <c r="A567" s="0" t="s">
        <v>1258</v>
      </c>
      <c r="B567" s="0" t="s">
        <v>1259</v>
      </c>
      <c r="E567" s="0" t="s">
        <v>19</v>
      </c>
      <c r="G567" s="0" t="s">
        <v>12</v>
      </c>
      <c r="H567" s="0" t="s">
        <v>5406</v>
      </c>
    </row>
    <row r="568" customFormat="false" ht="13.5" hidden="false" customHeight="false" outlineLevel="0" collapsed="false">
      <c r="A568" s="0" t="s">
        <v>1260</v>
      </c>
      <c r="B568" s="0" t="s">
        <v>1035</v>
      </c>
      <c r="E568" s="0" t="s">
        <v>19</v>
      </c>
      <c r="G568" s="0" t="s">
        <v>200</v>
      </c>
      <c r="H568" s="0" t="s">
        <v>5418</v>
      </c>
    </row>
    <row r="569" customFormat="false" ht="13.5" hidden="false" customHeight="false" outlineLevel="0" collapsed="false">
      <c r="A569" s="0" t="s">
        <v>1261</v>
      </c>
      <c r="B569" s="0" t="s">
        <v>1262</v>
      </c>
      <c r="E569" s="0" t="s">
        <v>19</v>
      </c>
      <c r="G569" s="0" t="s">
        <v>312</v>
      </c>
      <c r="H569" s="0" t="s">
        <v>5418</v>
      </c>
    </row>
    <row r="570" customFormat="false" ht="13.5" hidden="false" customHeight="false" outlineLevel="0" collapsed="false">
      <c r="A570" s="0" t="s">
        <v>1263</v>
      </c>
      <c r="B570" s="0" t="s">
        <v>1264</v>
      </c>
      <c r="E570" s="0" t="s">
        <v>19</v>
      </c>
      <c r="G570" s="0" t="s">
        <v>98</v>
      </c>
      <c r="H570" s="0" t="s">
        <v>5406</v>
      </c>
    </row>
    <row r="571" customFormat="false" ht="13.5" hidden="false" customHeight="false" outlineLevel="0" collapsed="false">
      <c r="A571" s="0" t="s">
        <v>1265</v>
      </c>
      <c r="B571" s="0" t="s">
        <v>1266</v>
      </c>
      <c r="E571" s="0" t="s">
        <v>19</v>
      </c>
      <c r="G571" s="0" t="s">
        <v>695</v>
      </c>
      <c r="H571" s="0" t="s">
        <v>5418</v>
      </c>
    </row>
    <row r="572" customFormat="false" ht="13.5" hidden="false" customHeight="false" outlineLevel="0" collapsed="false">
      <c r="A572" s="0" t="s">
        <v>1267</v>
      </c>
      <c r="B572" s="0" t="s">
        <v>1268</v>
      </c>
      <c r="E572" s="0" t="s">
        <v>19</v>
      </c>
      <c r="G572" s="0" t="s">
        <v>348</v>
      </c>
      <c r="H572" s="0" t="s">
        <v>5406</v>
      </c>
    </row>
    <row r="573" customFormat="false" ht="13.5" hidden="false" customHeight="false" outlineLevel="0" collapsed="false">
      <c r="A573" s="0" t="s">
        <v>1269</v>
      </c>
      <c r="B573" s="0" t="s">
        <v>1270</v>
      </c>
      <c r="E573" s="0" t="s">
        <v>19</v>
      </c>
      <c r="G573" s="0" t="s">
        <v>56</v>
      </c>
      <c r="H573" s="0" t="s">
        <v>5418</v>
      </c>
    </row>
    <row r="574" customFormat="false" ht="13.5" hidden="false" customHeight="false" outlineLevel="0" collapsed="false">
      <c r="A574" s="0" t="s">
        <v>1271</v>
      </c>
      <c r="B574" s="0" t="s">
        <v>1272</v>
      </c>
      <c r="E574" s="0" t="s">
        <v>19</v>
      </c>
      <c r="G574" s="0" t="s">
        <v>1273</v>
      </c>
      <c r="H574" s="0" t="s">
        <v>5418</v>
      </c>
    </row>
    <row r="575" customFormat="false" ht="13.5" hidden="false" customHeight="false" outlineLevel="0" collapsed="false">
      <c r="A575" s="0" t="s">
        <v>1274</v>
      </c>
      <c r="B575" s="0" t="s">
        <v>94</v>
      </c>
      <c r="E575" s="0" t="s">
        <v>19</v>
      </c>
      <c r="G575" s="0" t="s">
        <v>1043</v>
      </c>
      <c r="H575" s="0" t="s">
        <v>5406</v>
      </c>
    </row>
    <row r="576" customFormat="false" ht="13.5" hidden="false" customHeight="false" outlineLevel="0" collapsed="false">
      <c r="A576" s="0" t="s">
        <v>1275</v>
      </c>
      <c r="B576" s="0" t="s">
        <v>1186</v>
      </c>
      <c r="E576" s="0" t="s">
        <v>19</v>
      </c>
      <c r="G576" s="0" t="s">
        <v>47</v>
      </c>
      <c r="H576" s="0" t="s">
        <v>5406</v>
      </c>
    </row>
    <row r="577" customFormat="false" ht="13.5" hidden="false" customHeight="false" outlineLevel="0" collapsed="false">
      <c r="A577" s="0" t="s">
        <v>1276</v>
      </c>
      <c r="B577" s="0" t="s">
        <v>1277</v>
      </c>
      <c r="E577" s="0" t="s">
        <v>19</v>
      </c>
      <c r="G577" s="0" t="s">
        <v>1278</v>
      </c>
      <c r="H577" s="0" t="s">
        <v>5406</v>
      </c>
    </row>
    <row r="578" customFormat="false" ht="13.5" hidden="false" customHeight="false" outlineLevel="0" collapsed="false">
      <c r="A578" s="0" t="s">
        <v>1279</v>
      </c>
      <c r="B578" s="0" t="s">
        <v>1280</v>
      </c>
      <c r="E578" s="0" t="s">
        <v>19</v>
      </c>
      <c r="G578" s="0" t="s">
        <v>98</v>
      </c>
      <c r="H578" s="0" t="s">
        <v>5406</v>
      </c>
    </row>
    <row r="579" customFormat="false" ht="13.5" hidden="false" customHeight="false" outlineLevel="0" collapsed="false">
      <c r="A579" s="0" t="s">
        <v>1281</v>
      </c>
      <c r="B579" s="0" t="s">
        <v>1282</v>
      </c>
      <c r="E579" s="0" t="s">
        <v>19</v>
      </c>
      <c r="G579" s="0" t="s">
        <v>1283</v>
      </c>
      <c r="H579" s="0" t="s">
        <v>5406</v>
      </c>
    </row>
    <row r="580" customFormat="false" ht="13.5" hidden="false" customHeight="false" outlineLevel="0" collapsed="false">
      <c r="A580" s="0" t="s">
        <v>1284</v>
      </c>
      <c r="B580" s="0" t="s">
        <v>1285</v>
      </c>
      <c r="E580" s="0" t="s">
        <v>19</v>
      </c>
      <c r="G580" s="0" t="s">
        <v>200</v>
      </c>
      <c r="H580" s="0" t="s">
        <v>5418</v>
      </c>
    </row>
    <row r="581" customFormat="false" ht="13.5" hidden="false" customHeight="false" outlineLevel="0" collapsed="false">
      <c r="A581" s="0" t="s">
        <v>1286</v>
      </c>
      <c r="B581" s="0" t="s">
        <v>1282</v>
      </c>
      <c r="E581" s="0" t="s">
        <v>19</v>
      </c>
      <c r="G581" s="0" t="s">
        <v>1283</v>
      </c>
      <c r="H581" s="0" t="s">
        <v>5406</v>
      </c>
    </row>
    <row r="582" customFormat="false" ht="13.5" hidden="false" customHeight="false" outlineLevel="0" collapsed="false">
      <c r="A582" s="0" t="s">
        <v>1287</v>
      </c>
      <c r="B582" s="0" t="s">
        <v>1288</v>
      </c>
      <c r="E582" s="0" t="s">
        <v>19</v>
      </c>
      <c r="G582" s="0" t="s">
        <v>1289</v>
      </c>
      <c r="H582" s="0" t="s">
        <v>5418</v>
      </c>
    </row>
    <row r="583" customFormat="false" ht="13.5" hidden="false" customHeight="false" outlineLevel="0" collapsed="false">
      <c r="A583" s="0" t="s">
        <v>1290</v>
      </c>
      <c r="B583" s="0" t="s">
        <v>1291</v>
      </c>
      <c r="E583" s="0" t="s">
        <v>19</v>
      </c>
      <c r="G583" s="0" t="s">
        <v>1292</v>
      </c>
      <c r="H583" s="0" t="s">
        <v>5418</v>
      </c>
    </row>
    <row r="584" customFormat="false" ht="13.5" hidden="false" customHeight="false" outlineLevel="0" collapsed="false">
      <c r="A584" s="0" t="s">
        <v>1293</v>
      </c>
      <c r="B584" s="0" t="s">
        <v>1288</v>
      </c>
      <c r="E584" s="0" t="s">
        <v>19</v>
      </c>
      <c r="G584" s="0" t="s">
        <v>1289</v>
      </c>
      <c r="H584" s="0" t="s">
        <v>5418</v>
      </c>
    </row>
    <row r="585" customFormat="false" ht="13.5" hidden="false" customHeight="false" outlineLevel="0" collapsed="false">
      <c r="A585" s="0" t="s">
        <v>1294</v>
      </c>
      <c r="B585" s="0" t="s">
        <v>1295</v>
      </c>
      <c r="E585" s="0" t="s">
        <v>19</v>
      </c>
      <c r="G585" s="0" t="s">
        <v>317</v>
      </c>
      <c r="H585" s="0" t="s">
        <v>5406</v>
      </c>
    </row>
    <row r="586" customFormat="false" ht="13.5" hidden="false" customHeight="false" outlineLevel="0" collapsed="false">
      <c r="A586" s="0" t="s">
        <v>1296</v>
      </c>
      <c r="B586" s="0" t="s">
        <v>1297</v>
      </c>
      <c r="E586" s="0" t="s">
        <v>19</v>
      </c>
      <c r="G586" s="0" t="s">
        <v>390</v>
      </c>
      <c r="H586" s="0" t="s">
        <v>5406</v>
      </c>
    </row>
    <row r="587" customFormat="false" ht="13.5" hidden="false" customHeight="false" outlineLevel="0" collapsed="false">
      <c r="A587" s="0" t="s">
        <v>1298</v>
      </c>
      <c r="B587" s="0" t="s">
        <v>1299</v>
      </c>
      <c r="E587" s="0" t="s">
        <v>19</v>
      </c>
      <c r="G587" s="0" t="s">
        <v>98</v>
      </c>
      <c r="H587" s="0" t="s">
        <v>5406</v>
      </c>
    </row>
    <row r="588" customFormat="false" ht="13.5" hidden="false" customHeight="false" outlineLevel="0" collapsed="false">
      <c r="A588" s="0" t="s">
        <v>1300</v>
      </c>
      <c r="B588" s="0" t="s">
        <v>1301</v>
      </c>
      <c r="E588" s="0" t="s">
        <v>19</v>
      </c>
      <c r="G588" s="0" t="s">
        <v>98</v>
      </c>
      <c r="H588" s="0" t="s">
        <v>5406</v>
      </c>
    </row>
    <row r="589" customFormat="false" ht="13.5" hidden="false" customHeight="false" outlineLevel="0" collapsed="false">
      <c r="A589" s="0" t="s">
        <v>1302</v>
      </c>
      <c r="B589" s="0" t="s">
        <v>1303</v>
      </c>
      <c r="E589" s="0" t="s">
        <v>19</v>
      </c>
      <c r="G589" s="0" t="s">
        <v>1289</v>
      </c>
      <c r="H589" s="0" t="s">
        <v>5418</v>
      </c>
    </row>
    <row r="590" customFormat="false" ht="13.5" hidden="false" customHeight="false" outlineLevel="0" collapsed="false">
      <c r="A590" s="0" t="s">
        <v>1304</v>
      </c>
      <c r="B590" s="0" t="s">
        <v>1305</v>
      </c>
      <c r="E590" s="0" t="s">
        <v>19</v>
      </c>
      <c r="G590" s="0" t="s">
        <v>150</v>
      </c>
      <c r="H590" s="0" t="s">
        <v>5406</v>
      </c>
    </row>
    <row r="591" customFormat="false" ht="13.5" hidden="false" customHeight="false" outlineLevel="0" collapsed="false">
      <c r="A591" s="0" t="s">
        <v>1306</v>
      </c>
      <c r="B591" s="0" t="s">
        <v>1307</v>
      </c>
      <c r="E591" s="0" t="s">
        <v>19</v>
      </c>
      <c r="G591" s="0" t="s">
        <v>1308</v>
      </c>
      <c r="H591" s="0" t="s">
        <v>5418</v>
      </c>
    </row>
    <row r="592" customFormat="false" ht="13.5" hidden="false" customHeight="false" outlineLevel="0" collapsed="false">
      <c r="A592" s="0" t="s">
        <v>1309</v>
      </c>
      <c r="B592" s="0" t="s">
        <v>1310</v>
      </c>
      <c r="E592" s="0" t="s">
        <v>19</v>
      </c>
      <c r="G592" s="0" t="s">
        <v>679</v>
      </c>
      <c r="H592" s="0" t="s">
        <v>5418</v>
      </c>
    </row>
    <row r="593" customFormat="false" ht="13.5" hidden="false" customHeight="false" outlineLevel="0" collapsed="false">
      <c r="A593" s="0" t="s">
        <v>1311</v>
      </c>
      <c r="B593" s="0" t="s">
        <v>1312</v>
      </c>
      <c r="E593" s="0" t="s">
        <v>19</v>
      </c>
      <c r="G593" s="0" t="s">
        <v>200</v>
      </c>
      <c r="H593" s="0" t="s">
        <v>5418</v>
      </c>
    </row>
    <row r="594" customFormat="false" ht="13.5" hidden="false" customHeight="false" outlineLevel="0" collapsed="false">
      <c r="A594" s="0" t="s">
        <v>1313</v>
      </c>
      <c r="B594" s="0" t="s">
        <v>1314</v>
      </c>
      <c r="E594" s="0" t="s">
        <v>19</v>
      </c>
      <c r="G594" s="0" t="s">
        <v>98</v>
      </c>
      <c r="H594" s="0" t="s">
        <v>5406</v>
      </c>
    </row>
    <row r="595" customFormat="false" ht="13.5" hidden="false" customHeight="false" outlineLevel="0" collapsed="false">
      <c r="A595" s="0" t="s">
        <v>1315</v>
      </c>
      <c r="B595" s="0" t="s">
        <v>1316</v>
      </c>
      <c r="E595" s="0" t="s">
        <v>19</v>
      </c>
      <c r="G595" s="0" t="s">
        <v>783</v>
      </c>
      <c r="H595" s="0" t="s">
        <v>5418</v>
      </c>
    </row>
    <row r="596" customFormat="false" ht="13.5" hidden="false" customHeight="false" outlineLevel="0" collapsed="false">
      <c r="A596" s="0" t="s">
        <v>1317</v>
      </c>
      <c r="B596" s="0" t="s">
        <v>1318</v>
      </c>
      <c r="E596" s="0" t="s">
        <v>19</v>
      </c>
      <c r="G596" s="0" t="s">
        <v>923</v>
      </c>
      <c r="H596" s="0" t="s">
        <v>5418</v>
      </c>
    </row>
    <row r="597" customFormat="false" ht="13.5" hidden="false" customHeight="false" outlineLevel="0" collapsed="false">
      <c r="A597" s="0" t="s">
        <v>1319</v>
      </c>
      <c r="B597" s="0" t="s">
        <v>1320</v>
      </c>
      <c r="E597" s="0" t="s">
        <v>19</v>
      </c>
      <c r="G597" s="0" t="s">
        <v>679</v>
      </c>
      <c r="H597" s="0" t="s">
        <v>5418</v>
      </c>
    </row>
    <row r="598" customFormat="false" ht="13.5" hidden="false" customHeight="false" outlineLevel="0" collapsed="false">
      <c r="A598" s="0" t="s">
        <v>1321</v>
      </c>
      <c r="B598" s="0" t="s">
        <v>1322</v>
      </c>
      <c r="E598" s="0" t="s">
        <v>19</v>
      </c>
      <c r="G598" s="0" t="s">
        <v>134</v>
      </c>
      <c r="H598" s="0" t="s">
        <v>5418</v>
      </c>
    </row>
    <row r="599" customFormat="false" ht="13.5" hidden="false" customHeight="false" outlineLevel="0" collapsed="false">
      <c r="A599" s="0" t="s">
        <v>1323</v>
      </c>
      <c r="B599" s="0" t="s">
        <v>1324</v>
      </c>
      <c r="E599" s="0" t="s">
        <v>19</v>
      </c>
      <c r="G599" s="0" t="s">
        <v>98</v>
      </c>
      <c r="H599" s="0" t="s">
        <v>5406</v>
      </c>
    </row>
    <row r="600" customFormat="false" ht="13.5" hidden="false" customHeight="false" outlineLevel="0" collapsed="false">
      <c r="A600" s="0" t="s">
        <v>1325</v>
      </c>
      <c r="B600" s="0" t="s">
        <v>1326</v>
      </c>
      <c r="E600" s="0" t="s">
        <v>19</v>
      </c>
      <c r="G600" s="0" t="s">
        <v>98</v>
      </c>
      <c r="H600" s="0" t="s">
        <v>5406</v>
      </c>
    </row>
    <row r="601" customFormat="false" ht="13.5" hidden="false" customHeight="false" outlineLevel="0" collapsed="false">
      <c r="A601" s="0" t="s">
        <v>1327</v>
      </c>
      <c r="B601" s="0" t="s">
        <v>1282</v>
      </c>
      <c r="E601" s="0" t="s">
        <v>19</v>
      </c>
      <c r="G601" s="0" t="s">
        <v>1151</v>
      </c>
      <c r="H601" s="0" t="s">
        <v>5418</v>
      </c>
    </row>
    <row r="602" customFormat="false" ht="13.5" hidden="false" customHeight="false" outlineLevel="0" collapsed="false">
      <c r="A602" s="0" t="s">
        <v>1328</v>
      </c>
      <c r="B602" s="0" t="s">
        <v>1329</v>
      </c>
      <c r="E602" s="0" t="s">
        <v>19</v>
      </c>
      <c r="G602" s="0" t="s">
        <v>200</v>
      </c>
      <c r="H602" s="0" t="s">
        <v>5418</v>
      </c>
    </row>
    <row r="603" customFormat="false" ht="13.5" hidden="false" customHeight="false" outlineLevel="0" collapsed="false">
      <c r="A603" s="0" t="s">
        <v>1330</v>
      </c>
      <c r="B603" s="0" t="s">
        <v>1331</v>
      </c>
      <c r="E603" s="0" t="s">
        <v>19</v>
      </c>
      <c r="G603" s="0" t="s">
        <v>317</v>
      </c>
      <c r="H603" s="0" t="s">
        <v>5418</v>
      </c>
    </row>
    <row r="604" customFormat="false" ht="13.5" hidden="false" customHeight="false" outlineLevel="0" collapsed="false">
      <c r="A604" s="0" t="s">
        <v>1332</v>
      </c>
      <c r="B604" s="0" t="s">
        <v>1333</v>
      </c>
      <c r="E604" s="0" t="s">
        <v>19</v>
      </c>
      <c r="G604" s="0" t="s">
        <v>98</v>
      </c>
      <c r="H604" s="0" t="s">
        <v>5406</v>
      </c>
    </row>
    <row r="605" customFormat="false" ht="13.5" hidden="false" customHeight="false" outlineLevel="0" collapsed="false">
      <c r="A605" s="0" t="s">
        <v>1334</v>
      </c>
      <c r="B605" s="0" t="s">
        <v>1335</v>
      </c>
      <c r="E605" s="0" t="s">
        <v>19</v>
      </c>
      <c r="G605" s="0" t="s">
        <v>1336</v>
      </c>
      <c r="H605" s="0" t="s">
        <v>5406</v>
      </c>
    </row>
    <row r="606" customFormat="false" ht="13.5" hidden="false" customHeight="false" outlineLevel="0" collapsed="false">
      <c r="A606" s="0" t="s">
        <v>1337</v>
      </c>
      <c r="B606" s="0" t="s">
        <v>1338</v>
      </c>
      <c r="E606" s="0" t="s">
        <v>19</v>
      </c>
      <c r="G606" s="0" t="s">
        <v>200</v>
      </c>
      <c r="H606" s="0" t="s">
        <v>5418</v>
      </c>
    </row>
    <row r="607" customFormat="false" ht="13.5" hidden="false" customHeight="false" outlineLevel="0" collapsed="false">
      <c r="A607" s="0" t="s">
        <v>1339</v>
      </c>
      <c r="B607" s="0" t="s">
        <v>1340</v>
      </c>
      <c r="E607" s="0" t="s">
        <v>19</v>
      </c>
      <c r="G607" s="0" t="s">
        <v>98</v>
      </c>
      <c r="H607" s="0" t="s">
        <v>5406</v>
      </c>
    </row>
    <row r="608" customFormat="false" ht="13.5" hidden="false" customHeight="false" outlineLevel="0" collapsed="false">
      <c r="A608" s="0" t="s">
        <v>1341</v>
      </c>
      <c r="B608" s="0" t="s">
        <v>1342</v>
      </c>
      <c r="E608" s="0" t="s">
        <v>19</v>
      </c>
      <c r="G608" s="0" t="s">
        <v>307</v>
      </c>
      <c r="H608" s="0" t="s">
        <v>5406</v>
      </c>
    </row>
    <row r="609" customFormat="false" ht="13.5" hidden="false" customHeight="false" outlineLevel="0" collapsed="false">
      <c r="A609" s="0" t="s">
        <v>1343</v>
      </c>
      <c r="B609" s="0" t="s">
        <v>1344</v>
      </c>
      <c r="E609" s="0" t="s">
        <v>19</v>
      </c>
      <c r="G609" s="0" t="s">
        <v>98</v>
      </c>
      <c r="H609" s="0" t="s">
        <v>5406</v>
      </c>
    </row>
    <row r="610" customFormat="false" ht="13.5" hidden="false" customHeight="false" outlineLevel="0" collapsed="false">
      <c r="A610" s="0" t="s">
        <v>1345</v>
      </c>
      <c r="B610" s="0" t="s">
        <v>1346</v>
      </c>
      <c r="E610" s="0" t="s">
        <v>19</v>
      </c>
      <c r="G610" s="0" t="s">
        <v>200</v>
      </c>
      <c r="H610" s="0" t="s">
        <v>5418</v>
      </c>
    </row>
    <row r="611" customFormat="false" ht="13.5" hidden="false" customHeight="false" outlineLevel="0" collapsed="false">
      <c r="A611" s="0" t="s">
        <v>1347</v>
      </c>
      <c r="B611" s="0" t="s">
        <v>1348</v>
      </c>
      <c r="E611" s="0" t="s">
        <v>19</v>
      </c>
      <c r="G611" s="0" t="s">
        <v>1043</v>
      </c>
      <c r="H611" s="0" t="s">
        <v>5406</v>
      </c>
    </row>
    <row r="612" customFormat="false" ht="13.5" hidden="false" customHeight="false" outlineLevel="0" collapsed="false">
      <c r="A612" s="0" t="s">
        <v>1349</v>
      </c>
      <c r="B612" s="0" t="s">
        <v>1350</v>
      </c>
      <c r="E612" s="0" t="s">
        <v>19</v>
      </c>
      <c r="G612" s="0" t="s">
        <v>348</v>
      </c>
      <c r="H612" s="0" t="s">
        <v>5406</v>
      </c>
    </row>
    <row r="613" customFormat="false" ht="13.5" hidden="false" customHeight="false" outlineLevel="0" collapsed="false">
      <c r="A613" s="0" t="s">
        <v>1351</v>
      </c>
      <c r="B613" s="0" t="s">
        <v>1352</v>
      </c>
      <c r="E613" s="0" t="s">
        <v>19</v>
      </c>
      <c r="G613" s="0" t="s">
        <v>695</v>
      </c>
      <c r="H613" s="0" t="s">
        <v>5418</v>
      </c>
    </row>
    <row r="614" customFormat="false" ht="13.5" hidden="false" customHeight="false" outlineLevel="0" collapsed="false">
      <c r="A614" s="0" t="s">
        <v>1353</v>
      </c>
      <c r="B614" s="0" t="s">
        <v>1354</v>
      </c>
      <c r="E614" s="0" t="s">
        <v>19</v>
      </c>
      <c r="G614" s="0" t="s">
        <v>695</v>
      </c>
      <c r="H614" s="0" t="s">
        <v>5418</v>
      </c>
    </row>
    <row r="615" customFormat="false" ht="13.5" hidden="false" customHeight="false" outlineLevel="0" collapsed="false">
      <c r="A615" s="0" t="s">
        <v>1355</v>
      </c>
      <c r="B615" s="0" t="s">
        <v>1356</v>
      </c>
      <c r="E615" s="0" t="s">
        <v>19</v>
      </c>
      <c r="G615" s="0" t="s">
        <v>695</v>
      </c>
      <c r="H615" s="0" t="s">
        <v>5418</v>
      </c>
    </row>
    <row r="616" customFormat="false" ht="13.5" hidden="false" customHeight="false" outlineLevel="0" collapsed="false">
      <c r="A616" s="0" t="s">
        <v>1357</v>
      </c>
      <c r="B616" s="0" t="s">
        <v>1358</v>
      </c>
      <c r="E616" s="0" t="s">
        <v>19</v>
      </c>
      <c r="G616" s="0" t="s">
        <v>98</v>
      </c>
      <c r="H616" s="0" t="s">
        <v>5406</v>
      </c>
    </row>
    <row r="617" customFormat="false" ht="13.5" hidden="false" customHeight="false" outlineLevel="0" collapsed="false">
      <c r="A617" s="0" t="s">
        <v>1359</v>
      </c>
      <c r="B617" s="0" t="s">
        <v>1360</v>
      </c>
      <c r="E617" s="0" t="s">
        <v>19</v>
      </c>
      <c r="G617" s="0" t="s">
        <v>317</v>
      </c>
      <c r="H617" s="0" t="s">
        <v>5418</v>
      </c>
    </row>
    <row r="618" customFormat="false" ht="13.5" hidden="false" customHeight="false" outlineLevel="0" collapsed="false">
      <c r="A618" s="0" t="s">
        <v>1361</v>
      </c>
      <c r="B618" s="0" t="s">
        <v>1362</v>
      </c>
      <c r="E618" s="0" t="s">
        <v>19</v>
      </c>
      <c r="G618" s="0" t="s">
        <v>287</v>
      </c>
      <c r="H618" s="0" t="s">
        <v>5406</v>
      </c>
    </row>
    <row r="619" customFormat="false" ht="13.5" hidden="false" customHeight="false" outlineLevel="0" collapsed="false">
      <c r="A619" s="0" t="s">
        <v>1363</v>
      </c>
      <c r="B619" s="0" t="s">
        <v>1364</v>
      </c>
      <c r="E619" s="0" t="s">
        <v>19</v>
      </c>
      <c r="G619" s="0" t="s">
        <v>122</v>
      </c>
      <c r="H619" s="0" t="s">
        <v>5406</v>
      </c>
    </row>
    <row r="620" customFormat="false" ht="13.5" hidden="false" customHeight="false" outlineLevel="0" collapsed="false">
      <c r="A620" s="0" t="s">
        <v>1365</v>
      </c>
      <c r="B620" s="0" t="s">
        <v>1366</v>
      </c>
      <c r="E620" s="0" t="s">
        <v>19</v>
      </c>
      <c r="G620" s="0" t="s">
        <v>32</v>
      </c>
      <c r="H620" s="0" t="s">
        <v>5418</v>
      </c>
    </row>
    <row r="621" customFormat="false" ht="13.5" hidden="false" customHeight="false" outlineLevel="0" collapsed="false">
      <c r="A621" s="0" t="s">
        <v>1367</v>
      </c>
      <c r="B621" s="0" t="s">
        <v>1368</v>
      </c>
      <c r="E621" s="0" t="s">
        <v>19</v>
      </c>
      <c r="G621" s="0" t="s">
        <v>679</v>
      </c>
      <c r="H621" s="0" t="s">
        <v>5418</v>
      </c>
    </row>
    <row r="622" customFormat="false" ht="13.5" hidden="false" customHeight="false" outlineLevel="0" collapsed="false">
      <c r="A622" s="0" t="s">
        <v>1369</v>
      </c>
      <c r="B622" s="0" t="s">
        <v>1370</v>
      </c>
      <c r="E622" s="0" t="s">
        <v>19</v>
      </c>
      <c r="G622" s="0" t="s">
        <v>200</v>
      </c>
      <c r="H622" s="0" t="s">
        <v>5418</v>
      </c>
    </row>
    <row r="623" customFormat="false" ht="13.5" hidden="false" customHeight="false" outlineLevel="0" collapsed="false">
      <c r="A623" s="0" t="s">
        <v>1371</v>
      </c>
      <c r="B623" s="0" t="s">
        <v>1372</v>
      </c>
      <c r="E623" s="0" t="s">
        <v>19</v>
      </c>
      <c r="G623" s="0" t="s">
        <v>317</v>
      </c>
      <c r="H623" s="0" t="s">
        <v>5418</v>
      </c>
    </row>
    <row r="624" customFormat="false" ht="13.5" hidden="false" customHeight="false" outlineLevel="0" collapsed="false">
      <c r="A624" s="0" t="s">
        <v>1373</v>
      </c>
      <c r="B624" s="0" t="s">
        <v>1374</v>
      </c>
      <c r="E624" s="0" t="s">
        <v>19</v>
      </c>
      <c r="G624" s="0" t="s">
        <v>53</v>
      </c>
      <c r="H624" s="0" t="s">
        <v>5418</v>
      </c>
    </row>
    <row r="625" customFormat="false" ht="13.5" hidden="false" customHeight="false" outlineLevel="0" collapsed="false">
      <c r="A625" s="0" t="s">
        <v>1375</v>
      </c>
      <c r="B625" s="0" t="s">
        <v>1376</v>
      </c>
      <c r="E625" s="0" t="s">
        <v>19</v>
      </c>
      <c r="G625" s="0" t="s">
        <v>307</v>
      </c>
      <c r="H625" s="0" t="s">
        <v>5406</v>
      </c>
    </row>
    <row r="626" customFormat="false" ht="13.5" hidden="false" customHeight="false" outlineLevel="0" collapsed="false">
      <c r="A626" s="0" t="s">
        <v>1377</v>
      </c>
      <c r="B626" s="0" t="s">
        <v>1378</v>
      </c>
      <c r="E626" s="0" t="s">
        <v>19</v>
      </c>
      <c r="G626" s="0" t="s">
        <v>1379</v>
      </c>
      <c r="H626" s="0" t="s">
        <v>5406</v>
      </c>
    </row>
    <row r="627" customFormat="false" ht="13.5" hidden="false" customHeight="false" outlineLevel="0" collapsed="false">
      <c r="A627" s="0" t="s">
        <v>1380</v>
      </c>
      <c r="B627" s="0" t="s">
        <v>861</v>
      </c>
      <c r="E627" s="0" t="s">
        <v>19</v>
      </c>
      <c r="G627" s="0" t="s">
        <v>936</v>
      </c>
      <c r="H627" s="0" t="s">
        <v>5418</v>
      </c>
    </row>
    <row r="628" customFormat="false" ht="13.5" hidden="false" customHeight="false" outlineLevel="0" collapsed="false">
      <c r="A628" s="0" t="s">
        <v>1381</v>
      </c>
      <c r="B628" s="0" t="s">
        <v>1382</v>
      </c>
      <c r="E628" s="0" t="s">
        <v>19</v>
      </c>
      <c r="G628" s="0" t="s">
        <v>775</v>
      </c>
      <c r="H628" s="0" t="s">
        <v>5418</v>
      </c>
    </row>
    <row r="629" customFormat="false" ht="13.5" hidden="false" customHeight="false" outlineLevel="0" collapsed="false">
      <c r="A629" s="0" t="s">
        <v>1383</v>
      </c>
      <c r="B629" s="0" t="s">
        <v>1384</v>
      </c>
      <c r="E629" s="0" t="s">
        <v>19</v>
      </c>
      <c r="G629" s="0" t="s">
        <v>1385</v>
      </c>
      <c r="H629" s="0" t="s">
        <v>5418</v>
      </c>
    </row>
    <row r="630" customFormat="false" ht="13.5" hidden="false" customHeight="false" outlineLevel="0" collapsed="false">
      <c r="A630" s="0" t="s">
        <v>1386</v>
      </c>
      <c r="B630" s="0" t="s">
        <v>1387</v>
      </c>
      <c r="E630" s="0" t="s">
        <v>19</v>
      </c>
      <c r="G630" s="0" t="s">
        <v>98</v>
      </c>
      <c r="H630" s="0" t="s">
        <v>5406</v>
      </c>
    </row>
    <row r="631" customFormat="false" ht="13.5" hidden="false" customHeight="false" outlineLevel="0" collapsed="false">
      <c r="A631" s="0" t="s">
        <v>1388</v>
      </c>
      <c r="B631" s="0" t="s">
        <v>1389</v>
      </c>
      <c r="E631" s="0" t="s">
        <v>19</v>
      </c>
      <c r="G631" s="0" t="s">
        <v>882</v>
      </c>
      <c r="H631" s="0" t="s">
        <v>5406</v>
      </c>
    </row>
    <row r="632" customFormat="false" ht="13.5" hidden="false" customHeight="false" outlineLevel="0" collapsed="false">
      <c r="A632" s="0" t="s">
        <v>1390</v>
      </c>
      <c r="B632" s="0" t="s">
        <v>1358</v>
      </c>
      <c r="E632" s="0" t="s">
        <v>19</v>
      </c>
      <c r="G632" s="0" t="s">
        <v>98</v>
      </c>
      <c r="H632" s="0" t="s">
        <v>5406</v>
      </c>
    </row>
    <row r="633" customFormat="false" ht="13.5" hidden="false" customHeight="false" outlineLevel="0" collapsed="false">
      <c r="A633" s="0" t="s">
        <v>1391</v>
      </c>
      <c r="B633" s="0" t="s">
        <v>1392</v>
      </c>
      <c r="E633" s="0" t="s">
        <v>19</v>
      </c>
      <c r="G633" s="0" t="s">
        <v>1393</v>
      </c>
      <c r="H633" s="0" t="s">
        <v>5418</v>
      </c>
    </row>
    <row r="634" customFormat="false" ht="13.5" hidden="false" customHeight="false" outlineLevel="0" collapsed="false">
      <c r="A634" s="0" t="s">
        <v>1394</v>
      </c>
      <c r="B634" s="0" t="s">
        <v>1395</v>
      </c>
      <c r="E634" s="0" t="s">
        <v>19</v>
      </c>
      <c r="G634" s="0" t="s">
        <v>1396</v>
      </c>
      <c r="H634" s="0" t="s">
        <v>5418</v>
      </c>
    </row>
    <row r="635" customFormat="false" ht="13.5" hidden="false" customHeight="false" outlineLevel="0" collapsed="false">
      <c r="A635" s="0" t="s">
        <v>1397</v>
      </c>
      <c r="B635" s="0" t="s">
        <v>1398</v>
      </c>
      <c r="E635" s="0" t="s">
        <v>19</v>
      </c>
      <c r="G635" s="0" t="s">
        <v>1399</v>
      </c>
      <c r="H635" s="0" t="s">
        <v>5406</v>
      </c>
    </row>
    <row r="636" customFormat="false" ht="13.5" hidden="false" customHeight="false" outlineLevel="0" collapsed="false">
      <c r="A636" s="0" t="s">
        <v>1400</v>
      </c>
      <c r="B636" s="0" t="s">
        <v>1401</v>
      </c>
      <c r="E636" s="0" t="s">
        <v>19</v>
      </c>
      <c r="G636" s="0" t="s">
        <v>1119</v>
      </c>
      <c r="H636" s="0" t="s">
        <v>5406</v>
      </c>
    </row>
    <row r="637" customFormat="false" ht="13.5" hidden="false" customHeight="false" outlineLevel="0" collapsed="false">
      <c r="A637" s="0" t="s">
        <v>1402</v>
      </c>
      <c r="B637" s="0" t="s">
        <v>1403</v>
      </c>
      <c r="E637" s="0" t="s">
        <v>19</v>
      </c>
      <c r="G637" s="0" t="s">
        <v>390</v>
      </c>
      <c r="H637" s="0" t="s">
        <v>5406</v>
      </c>
    </row>
    <row r="638" customFormat="false" ht="13.5" hidden="false" customHeight="false" outlineLevel="0" collapsed="false">
      <c r="A638" s="0" t="s">
        <v>1404</v>
      </c>
      <c r="B638" s="0" t="s">
        <v>1405</v>
      </c>
      <c r="E638" s="0" t="s">
        <v>19</v>
      </c>
      <c r="G638" s="0" t="s">
        <v>56</v>
      </c>
      <c r="H638" s="0" t="s">
        <v>5418</v>
      </c>
    </row>
    <row r="639" customFormat="false" ht="13.5" hidden="false" customHeight="false" outlineLevel="0" collapsed="false">
      <c r="A639" s="0" t="s">
        <v>1406</v>
      </c>
      <c r="B639" s="0" t="s">
        <v>1407</v>
      </c>
      <c r="E639" s="0" t="s">
        <v>19</v>
      </c>
      <c r="G639" s="0" t="s">
        <v>200</v>
      </c>
      <c r="H639" s="0" t="s">
        <v>5418</v>
      </c>
    </row>
    <row r="640" customFormat="false" ht="13.5" hidden="false" customHeight="false" outlineLevel="0" collapsed="false">
      <c r="A640" s="0" t="s">
        <v>1408</v>
      </c>
      <c r="B640" s="0" t="s">
        <v>1409</v>
      </c>
      <c r="E640" s="0" t="s">
        <v>19</v>
      </c>
      <c r="G640" s="0" t="s">
        <v>98</v>
      </c>
      <c r="H640" s="0" t="s">
        <v>5406</v>
      </c>
    </row>
    <row r="641" customFormat="false" ht="13.5" hidden="false" customHeight="false" outlineLevel="0" collapsed="false">
      <c r="A641" s="0" t="s">
        <v>1410</v>
      </c>
      <c r="B641" s="0" t="s">
        <v>1411</v>
      </c>
      <c r="E641" s="0" t="s">
        <v>19</v>
      </c>
      <c r="G641" s="0" t="s">
        <v>98</v>
      </c>
      <c r="H641" s="0" t="s">
        <v>5406</v>
      </c>
    </row>
    <row r="642" customFormat="false" ht="13.5" hidden="false" customHeight="false" outlineLevel="0" collapsed="false">
      <c r="A642" s="0" t="s">
        <v>1412</v>
      </c>
      <c r="B642" s="0" t="s">
        <v>1413</v>
      </c>
      <c r="E642" s="0" t="s">
        <v>19</v>
      </c>
      <c r="G642" s="0" t="s">
        <v>1151</v>
      </c>
      <c r="H642" s="0" t="s">
        <v>5418</v>
      </c>
    </row>
    <row r="643" customFormat="false" ht="13.5" hidden="false" customHeight="false" outlineLevel="0" collapsed="false">
      <c r="A643" s="0" t="s">
        <v>1414</v>
      </c>
      <c r="B643" s="0" t="s">
        <v>1415</v>
      </c>
      <c r="E643" s="0" t="s">
        <v>19</v>
      </c>
      <c r="G643" s="0" t="s">
        <v>1253</v>
      </c>
      <c r="H643" s="0" t="s">
        <v>5418</v>
      </c>
    </row>
    <row r="644" customFormat="false" ht="13.5" hidden="false" customHeight="false" outlineLevel="0" collapsed="false">
      <c r="A644" s="0" t="s">
        <v>1416</v>
      </c>
      <c r="B644" s="0" t="s">
        <v>1417</v>
      </c>
      <c r="E644" s="0" t="s">
        <v>19</v>
      </c>
      <c r="G644" s="0" t="s">
        <v>1418</v>
      </c>
      <c r="H644" s="0" t="s">
        <v>5406</v>
      </c>
    </row>
    <row r="645" customFormat="false" ht="13.5" hidden="false" customHeight="false" outlineLevel="0" collapsed="false">
      <c r="A645" s="0" t="s">
        <v>1419</v>
      </c>
      <c r="B645" s="0" t="s">
        <v>1420</v>
      </c>
      <c r="E645" s="0" t="s">
        <v>19</v>
      </c>
      <c r="G645" s="0" t="s">
        <v>1421</v>
      </c>
      <c r="H645" s="0" t="s">
        <v>5406</v>
      </c>
    </row>
    <row r="646" customFormat="false" ht="13.5" hidden="false" customHeight="false" outlineLevel="0" collapsed="false">
      <c r="A646" s="0" t="s">
        <v>1422</v>
      </c>
      <c r="B646" s="0" t="s">
        <v>1423</v>
      </c>
      <c r="E646" s="0" t="s">
        <v>19</v>
      </c>
      <c r="G646" s="0" t="s">
        <v>32</v>
      </c>
      <c r="H646" s="0" t="s">
        <v>5418</v>
      </c>
    </row>
    <row r="647" customFormat="false" ht="13.5" hidden="false" customHeight="false" outlineLevel="0" collapsed="false">
      <c r="A647" s="0" t="s">
        <v>1424</v>
      </c>
      <c r="B647" s="0" t="s">
        <v>1425</v>
      </c>
      <c r="E647" s="0" t="s">
        <v>19</v>
      </c>
      <c r="G647" s="0" t="s">
        <v>200</v>
      </c>
      <c r="H647" s="0" t="s">
        <v>5406</v>
      </c>
    </row>
    <row r="648" customFormat="false" ht="13.5" hidden="false" customHeight="false" outlineLevel="0" collapsed="false">
      <c r="A648" s="0" t="s">
        <v>1426</v>
      </c>
      <c r="B648" s="0" t="s">
        <v>1427</v>
      </c>
      <c r="E648" s="0" t="s">
        <v>19</v>
      </c>
      <c r="G648" s="0" t="s">
        <v>882</v>
      </c>
      <c r="H648" s="0" t="s">
        <v>5406</v>
      </c>
    </row>
    <row r="649" customFormat="false" ht="13.5" hidden="false" customHeight="false" outlineLevel="0" collapsed="false">
      <c r="A649" s="0" t="s">
        <v>1428</v>
      </c>
      <c r="B649" s="0" t="s">
        <v>1429</v>
      </c>
      <c r="E649" s="0" t="s">
        <v>19</v>
      </c>
      <c r="G649" s="0" t="s">
        <v>1430</v>
      </c>
      <c r="H649" s="0" t="s">
        <v>5406</v>
      </c>
    </row>
    <row r="650" customFormat="false" ht="13.5" hidden="false" customHeight="false" outlineLevel="0" collapsed="false">
      <c r="A650" s="0" t="s">
        <v>1431</v>
      </c>
      <c r="B650" s="0" t="s">
        <v>1432</v>
      </c>
      <c r="E650" s="0" t="s">
        <v>19</v>
      </c>
      <c r="G650" s="0" t="s">
        <v>47</v>
      </c>
      <c r="H650" s="0" t="s">
        <v>5406</v>
      </c>
    </row>
    <row r="651" customFormat="false" ht="13.5" hidden="false" customHeight="false" outlineLevel="0" collapsed="false">
      <c r="A651" s="0" t="s">
        <v>1433</v>
      </c>
      <c r="B651" s="0" t="s">
        <v>1434</v>
      </c>
      <c r="E651" s="0" t="s">
        <v>19</v>
      </c>
      <c r="G651" s="0" t="s">
        <v>47</v>
      </c>
      <c r="H651" s="0" t="s">
        <v>5406</v>
      </c>
    </row>
    <row r="652" customFormat="false" ht="13.5" hidden="false" customHeight="false" outlineLevel="0" collapsed="false">
      <c r="A652" s="0" t="s">
        <v>1435</v>
      </c>
      <c r="B652" s="0" t="s">
        <v>1436</v>
      </c>
      <c r="E652" s="0" t="s">
        <v>19</v>
      </c>
      <c r="G652" s="0" t="s">
        <v>47</v>
      </c>
      <c r="H652" s="0" t="s">
        <v>5406</v>
      </c>
    </row>
    <row r="653" customFormat="false" ht="13.5" hidden="false" customHeight="false" outlineLevel="0" collapsed="false">
      <c r="A653" s="0" t="s">
        <v>1437</v>
      </c>
      <c r="B653" s="0" t="s">
        <v>1438</v>
      </c>
      <c r="E653" s="0" t="s">
        <v>24</v>
      </c>
      <c r="G653" s="0" t="s">
        <v>12</v>
      </c>
      <c r="H653" s="0" t="s">
        <v>5406</v>
      </c>
    </row>
    <row r="654" customFormat="false" ht="13.5" hidden="false" customHeight="false" outlineLevel="0" collapsed="false">
      <c r="A654" s="0" t="s">
        <v>1439</v>
      </c>
      <c r="B654" s="0" t="s">
        <v>1440</v>
      </c>
      <c r="E654" s="0" t="s">
        <v>19</v>
      </c>
      <c r="G654" s="0" t="s">
        <v>98</v>
      </c>
      <c r="H654" s="0" t="s">
        <v>5406</v>
      </c>
    </row>
    <row r="655" customFormat="false" ht="13.5" hidden="false" customHeight="false" outlineLevel="0" collapsed="false">
      <c r="A655" s="0" t="s">
        <v>1441</v>
      </c>
      <c r="B655" s="0" t="s">
        <v>1442</v>
      </c>
      <c r="E655" s="0" t="s">
        <v>625</v>
      </c>
      <c r="H655" s="0" t="s">
        <v>5406</v>
      </c>
    </row>
    <row r="656" customFormat="false" ht="13.5" hidden="false" customHeight="false" outlineLevel="0" collapsed="false">
      <c r="A656" s="0" t="s">
        <v>1443</v>
      </c>
      <c r="B656" s="0" t="s">
        <v>1444</v>
      </c>
      <c r="E656" s="0" t="s">
        <v>19</v>
      </c>
      <c r="G656" s="0" t="s">
        <v>47</v>
      </c>
      <c r="H656" s="0" t="s">
        <v>5406</v>
      </c>
    </row>
    <row r="657" customFormat="false" ht="13.5" hidden="false" customHeight="false" outlineLevel="0" collapsed="false">
      <c r="A657" s="0" t="s">
        <v>1445</v>
      </c>
      <c r="B657" s="0" t="s">
        <v>1446</v>
      </c>
      <c r="E657" s="0" t="s">
        <v>19</v>
      </c>
      <c r="G657" s="0" t="s">
        <v>200</v>
      </c>
      <c r="H657" s="0" t="s">
        <v>5418</v>
      </c>
    </row>
    <row r="658" customFormat="false" ht="13.5" hidden="false" customHeight="false" outlineLevel="0" collapsed="false">
      <c r="A658" s="0" t="s">
        <v>1447</v>
      </c>
      <c r="B658" s="0" t="s">
        <v>1448</v>
      </c>
      <c r="E658" s="0" t="s">
        <v>19</v>
      </c>
      <c r="G658" s="0" t="s">
        <v>98</v>
      </c>
      <c r="H658" s="0" t="s">
        <v>5406</v>
      </c>
    </row>
    <row r="659" customFormat="false" ht="13.5" hidden="false" customHeight="false" outlineLevel="0" collapsed="false">
      <c r="A659" s="0" t="s">
        <v>1449</v>
      </c>
      <c r="B659" s="0" t="s">
        <v>1450</v>
      </c>
      <c r="E659" s="0" t="s">
        <v>19</v>
      </c>
      <c r="G659" s="0" t="s">
        <v>53</v>
      </c>
      <c r="H659" s="0" t="s">
        <v>5418</v>
      </c>
    </row>
    <row r="660" customFormat="false" ht="13.5" hidden="false" customHeight="false" outlineLevel="0" collapsed="false">
      <c r="A660" s="0" t="s">
        <v>1451</v>
      </c>
      <c r="B660" s="0" t="s">
        <v>1452</v>
      </c>
      <c r="E660" s="0" t="s">
        <v>19</v>
      </c>
      <c r="G660" s="0" t="s">
        <v>1453</v>
      </c>
      <c r="H660" s="0" t="s">
        <v>5418</v>
      </c>
    </row>
    <row r="661" customFormat="false" ht="13.5" hidden="false" customHeight="false" outlineLevel="0" collapsed="false">
      <c r="A661" s="0" t="s">
        <v>1454</v>
      </c>
      <c r="B661" s="0" t="s">
        <v>1455</v>
      </c>
      <c r="E661" s="0" t="s">
        <v>19</v>
      </c>
      <c r="G661" s="0" t="s">
        <v>1456</v>
      </c>
      <c r="H661" s="0" t="s">
        <v>5406</v>
      </c>
    </row>
    <row r="662" customFormat="false" ht="13.5" hidden="false" customHeight="false" outlineLevel="0" collapsed="false">
      <c r="A662" s="0" t="s">
        <v>1457</v>
      </c>
      <c r="B662" s="0" t="s">
        <v>1458</v>
      </c>
      <c r="E662" s="0" t="s">
        <v>19</v>
      </c>
      <c r="G662" s="0" t="s">
        <v>1459</v>
      </c>
      <c r="H662" s="0" t="s">
        <v>5418</v>
      </c>
    </row>
    <row r="663" customFormat="false" ht="13.5" hidden="false" customHeight="false" outlineLevel="0" collapsed="false">
      <c r="A663" s="0" t="s">
        <v>1460</v>
      </c>
      <c r="B663" s="0" t="s">
        <v>1461</v>
      </c>
      <c r="E663" s="0" t="s">
        <v>19</v>
      </c>
      <c r="G663" s="0" t="s">
        <v>1151</v>
      </c>
      <c r="H663" s="0" t="s">
        <v>5418</v>
      </c>
    </row>
    <row r="664" customFormat="false" ht="13.5" hidden="false" customHeight="false" outlineLevel="0" collapsed="false">
      <c r="A664" s="0" t="s">
        <v>1462</v>
      </c>
      <c r="B664" s="0" t="s">
        <v>1463</v>
      </c>
      <c r="E664" s="0" t="s">
        <v>1464</v>
      </c>
      <c r="H664" s="0" t="s">
        <v>5406</v>
      </c>
    </row>
    <row r="665" customFormat="false" ht="13.5" hidden="false" customHeight="false" outlineLevel="0" collapsed="false">
      <c r="A665" s="0" t="s">
        <v>1465</v>
      </c>
      <c r="B665" s="0" t="s">
        <v>1466</v>
      </c>
      <c r="E665" s="0" t="s">
        <v>19</v>
      </c>
      <c r="G665" s="0" t="s">
        <v>122</v>
      </c>
      <c r="H665" s="0" t="s">
        <v>5406</v>
      </c>
    </row>
    <row r="666" customFormat="false" ht="13.5" hidden="false" customHeight="false" outlineLevel="0" collapsed="false">
      <c r="A666" s="0" t="s">
        <v>1467</v>
      </c>
      <c r="B666" s="0" t="s">
        <v>1468</v>
      </c>
      <c r="E666" s="0" t="s">
        <v>19</v>
      </c>
      <c r="G666" s="0" t="s">
        <v>150</v>
      </c>
      <c r="H666" s="0" t="s">
        <v>5406</v>
      </c>
    </row>
    <row r="667" customFormat="false" ht="13.5" hidden="false" customHeight="false" outlineLevel="0" collapsed="false">
      <c r="A667" s="0" t="s">
        <v>1469</v>
      </c>
      <c r="B667" s="0" t="s">
        <v>1470</v>
      </c>
      <c r="E667" s="0" t="s">
        <v>19</v>
      </c>
      <c r="G667" s="0" t="s">
        <v>98</v>
      </c>
      <c r="H667" s="0" t="s">
        <v>5406</v>
      </c>
    </row>
    <row r="668" customFormat="false" ht="13.5" hidden="false" customHeight="false" outlineLevel="0" collapsed="false">
      <c r="A668" s="0" t="s">
        <v>1471</v>
      </c>
      <c r="B668" s="0" t="s">
        <v>1472</v>
      </c>
      <c r="E668" s="0" t="s">
        <v>19</v>
      </c>
      <c r="G668" s="0" t="s">
        <v>287</v>
      </c>
      <c r="H668" s="0" t="s">
        <v>5406</v>
      </c>
    </row>
    <row r="669" customFormat="false" ht="13.5" hidden="false" customHeight="false" outlineLevel="0" collapsed="false">
      <c r="A669" s="0" t="s">
        <v>1473</v>
      </c>
      <c r="B669" s="0" t="s">
        <v>1474</v>
      </c>
      <c r="E669" s="0" t="s">
        <v>19</v>
      </c>
      <c r="G669" s="0" t="s">
        <v>1043</v>
      </c>
      <c r="H669" s="0" t="s">
        <v>5406</v>
      </c>
    </row>
    <row r="670" customFormat="false" ht="13.5" hidden="false" customHeight="false" outlineLevel="0" collapsed="false">
      <c r="A670" s="0" t="s">
        <v>1475</v>
      </c>
      <c r="B670" s="0" t="s">
        <v>1476</v>
      </c>
      <c r="E670" s="0" t="s">
        <v>16</v>
      </c>
      <c r="G670" s="0" t="s">
        <v>36</v>
      </c>
      <c r="H670" s="0" t="s">
        <v>5418</v>
      </c>
    </row>
    <row r="671" customFormat="false" ht="13.5" hidden="false" customHeight="false" outlineLevel="0" collapsed="false">
      <c r="A671" s="0" t="s">
        <v>1477</v>
      </c>
      <c r="B671" s="0" t="s">
        <v>1478</v>
      </c>
      <c r="E671" s="0" t="s">
        <v>16</v>
      </c>
      <c r="G671" s="0" t="s">
        <v>936</v>
      </c>
      <c r="H671" s="0" t="s">
        <v>5418</v>
      </c>
    </row>
    <row r="672" customFormat="false" ht="13.5" hidden="false" customHeight="false" outlineLevel="0" collapsed="false">
      <c r="A672" s="0" t="s">
        <v>1479</v>
      </c>
      <c r="B672" s="0" t="s">
        <v>1480</v>
      </c>
      <c r="E672" s="0" t="s">
        <v>19</v>
      </c>
      <c r="G672" s="0" t="s">
        <v>1043</v>
      </c>
      <c r="H672" s="0" t="s">
        <v>5406</v>
      </c>
    </row>
    <row r="673" customFormat="false" ht="13.5" hidden="false" customHeight="false" outlineLevel="0" collapsed="false">
      <c r="A673" s="0" t="s">
        <v>1481</v>
      </c>
      <c r="B673" s="0" t="s">
        <v>1482</v>
      </c>
      <c r="E673" s="0" t="s">
        <v>19</v>
      </c>
      <c r="G673" s="0" t="s">
        <v>32</v>
      </c>
      <c r="H673" s="0" t="s">
        <v>5418</v>
      </c>
    </row>
    <row r="674" customFormat="false" ht="13.5" hidden="false" customHeight="false" outlineLevel="0" collapsed="false">
      <c r="A674" s="0" t="s">
        <v>1483</v>
      </c>
      <c r="B674" s="0" t="s">
        <v>1484</v>
      </c>
      <c r="E674" s="0" t="s">
        <v>24</v>
      </c>
      <c r="G674" s="0" t="s">
        <v>1043</v>
      </c>
      <c r="H674" s="0" t="s">
        <v>5406</v>
      </c>
    </row>
    <row r="675" customFormat="false" ht="13.5" hidden="false" customHeight="false" outlineLevel="0" collapsed="false">
      <c r="A675" s="0" t="s">
        <v>1485</v>
      </c>
      <c r="B675" s="0" t="s">
        <v>1486</v>
      </c>
      <c r="E675" s="0" t="s">
        <v>19</v>
      </c>
      <c r="G675" s="0" t="s">
        <v>652</v>
      </c>
      <c r="H675" s="0" t="s">
        <v>5406</v>
      </c>
    </row>
    <row r="676" customFormat="false" ht="13.5" hidden="false" customHeight="false" outlineLevel="0" collapsed="false">
      <c r="A676" s="0" t="s">
        <v>1487</v>
      </c>
      <c r="B676" s="0" t="s">
        <v>1488</v>
      </c>
      <c r="E676" s="0" t="s">
        <v>19</v>
      </c>
      <c r="G676" s="0" t="s">
        <v>1043</v>
      </c>
      <c r="H676" s="0" t="s">
        <v>5406</v>
      </c>
    </row>
    <row r="677" customFormat="false" ht="13.5" hidden="false" customHeight="false" outlineLevel="0" collapsed="false">
      <c r="A677" s="0" t="s">
        <v>1489</v>
      </c>
      <c r="B677" s="0" t="s">
        <v>1490</v>
      </c>
      <c r="E677" s="0" t="s">
        <v>19</v>
      </c>
      <c r="G677" s="0" t="s">
        <v>56</v>
      </c>
      <c r="H677" s="0" t="s">
        <v>5418</v>
      </c>
    </row>
    <row r="678" customFormat="false" ht="13.5" hidden="false" customHeight="false" outlineLevel="0" collapsed="false">
      <c r="A678" s="0" t="s">
        <v>1491</v>
      </c>
      <c r="B678" s="0" t="s">
        <v>1492</v>
      </c>
      <c r="E678" s="0" t="s">
        <v>19</v>
      </c>
      <c r="G678" s="0" t="s">
        <v>200</v>
      </c>
      <c r="H678" s="0" t="s">
        <v>5418</v>
      </c>
    </row>
    <row r="679" customFormat="false" ht="13.5" hidden="false" customHeight="false" outlineLevel="0" collapsed="false">
      <c r="A679" s="0" t="s">
        <v>1493</v>
      </c>
      <c r="B679" s="0" t="s">
        <v>1494</v>
      </c>
      <c r="E679" s="0" t="s">
        <v>19</v>
      </c>
      <c r="G679" s="0" t="s">
        <v>98</v>
      </c>
      <c r="H679" s="0" t="s">
        <v>5406</v>
      </c>
    </row>
    <row r="680" customFormat="false" ht="13.5" hidden="false" customHeight="false" outlineLevel="0" collapsed="false">
      <c r="A680" s="0" t="s">
        <v>1495</v>
      </c>
      <c r="B680" s="0" t="s">
        <v>1496</v>
      </c>
      <c r="E680" s="0" t="s">
        <v>19</v>
      </c>
      <c r="G680" s="0" t="s">
        <v>98</v>
      </c>
      <c r="H680" s="0" t="s">
        <v>5406</v>
      </c>
    </row>
    <row r="681" customFormat="false" ht="13.5" hidden="false" customHeight="false" outlineLevel="0" collapsed="false">
      <c r="A681" s="0" t="s">
        <v>1497</v>
      </c>
      <c r="B681" s="0" t="s">
        <v>1498</v>
      </c>
      <c r="E681" s="0" t="s">
        <v>19</v>
      </c>
      <c r="G681" s="0" t="s">
        <v>98</v>
      </c>
      <c r="H681" s="0" t="s">
        <v>5406</v>
      </c>
    </row>
    <row r="682" customFormat="false" ht="13.5" hidden="false" customHeight="false" outlineLevel="0" collapsed="false">
      <c r="A682" s="0" t="s">
        <v>1497</v>
      </c>
      <c r="B682" s="0" t="s">
        <v>1498</v>
      </c>
      <c r="E682" s="0" t="s">
        <v>19</v>
      </c>
      <c r="G682" s="0" t="s">
        <v>150</v>
      </c>
      <c r="H682" s="0" t="s">
        <v>5406</v>
      </c>
    </row>
    <row r="685" customFormat="false" ht="13.5" hidden="false" customHeight="false" outlineLevel="0" collapsed="false">
      <c r="I685" s="0" t="s">
        <v>12</v>
      </c>
      <c r="J685" s="0" t="s">
        <v>98</v>
      </c>
      <c r="K685" s="0" t="s">
        <v>150</v>
      </c>
      <c r="L685" s="0" t="s">
        <v>32</v>
      </c>
      <c r="M685" s="0" t="s">
        <v>1043</v>
      </c>
    </row>
    <row r="686" customFormat="false" ht="13.5" hidden="false" customHeight="false" outlineLevel="0" collapsed="false">
      <c r="I686" s="0" t="n">
        <f aca="false">COUNTIF(G:G,"V1")</f>
        <v>34</v>
      </c>
      <c r="J686" s="0" t="n">
        <f aca="false">COUNTIF(G:G,"M1")</f>
        <v>65</v>
      </c>
      <c r="K686" s="0" t="n">
        <f aca="false">COUNTIF(G:G,"S1")</f>
        <v>25</v>
      </c>
      <c r="L686" s="0" t="n">
        <f aca="false">COUNTIF(G:G,"SC")</f>
        <v>59</v>
      </c>
      <c r="M686" s="0" t="n">
        <f aca="false">COUNTIF(G:G,"IT")</f>
        <v>14</v>
      </c>
      <c r="N686" s="0" t="n">
        <f aca="false">COUNTIF(G:G,"FEF")</f>
        <v>58</v>
      </c>
    </row>
    <row r="688" customFormat="false" ht="13.5" hidden="false" customHeight="false" outlineLevel="0" collapsed="false">
      <c r="H688" s="0" t="n">
        <f aca="false">COUNTIF(E:E,"electrical")</f>
        <v>641</v>
      </c>
      <c r="I688" s="0" t="n">
        <f aca="false">COUNTIF(H:H,"cortical")</f>
        <v>399</v>
      </c>
      <c r="J688" s="0" t="n">
        <f aca="false">I688/I690*100</f>
        <v>58.5903083700441</v>
      </c>
    </row>
    <row r="689" customFormat="false" ht="13.5" hidden="false" customHeight="false" outlineLevel="0" collapsed="false">
      <c r="H689" s="0" t="n">
        <f aca="false">COUNTIF(E:E,"optogenetic")</f>
        <v>32</v>
      </c>
      <c r="I689" s="0" t="n">
        <f aca="false">COUNTIF(H:H,"subcortical")</f>
        <v>282</v>
      </c>
    </row>
    <row r="690" customFormat="false" ht="13.5" hidden="false" customHeight="false" outlineLevel="0" collapsed="false">
      <c r="H690" s="0" t="n">
        <f aca="false">COUNTIF(E:E,"electrical (DBS)")</f>
        <v>3</v>
      </c>
      <c r="I690" s="0" t="n">
        <f aca="false">SUM(I688+I689)</f>
        <v>681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375" defaultRowHeight="13.5" zeroHeight="false" outlineLevelRow="0" outlineLevelCol="0"/>
  <cols>
    <col collapsed="false" customWidth="true" hidden="false" outlineLevel="0" max="1" min="1" style="0" width="24.75"/>
    <col collapsed="false" customWidth="true" hidden="false" outlineLevel="0" max="2" min="2" style="0" width="24.44"/>
    <col collapsed="false" customWidth="true" hidden="false" outlineLevel="0" max="3" min="3" style="0" width="21.32"/>
    <col collapsed="false" customWidth="true" hidden="false" outlineLevel="0" max="4" min="4" style="0" width="15.94"/>
  </cols>
  <sheetData>
    <row r="1" customFormat="false" ht="13.5" hidden="false" customHeight="false" outlineLevel="0" collapsed="false">
      <c r="A1" s="1" t="s">
        <v>6031</v>
      </c>
      <c r="B1" s="1" t="s">
        <v>6032</v>
      </c>
      <c r="C1" s="1" t="s">
        <v>6033</v>
      </c>
      <c r="D1" s="1" t="s">
        <v>6034</v>
      </c>
    </row>
    <row r="2" customFormat="false" ht="13.5" hidden="false" customHeight="false" outlineLevel="0" collapsed="false">
      <c r="A2" s="0" t="s">
        <v>6035</v>
      </c>
      <c r="B2" s="0" t="s">
        <v>5389</v>
      </c>
      <c r="C2" s="0" t="s">
        <v>6036</v>
      </c>
      <c r="D2" s="0" t="s">
        <v>6037</v>
      </c>
    </row>
    <row r="3" customFormat="false" ht="13.5" hidden="false" customHeight="false" outlineLevel="0" collapsed="false">
      <c r="A3" s="0" t="s">
        <v>6038</v>
      </c>
      <c r="B3" s="0" t="s">
        <v>6039</v>
      </c>
      <c r="C3" s="0" t="s">
        <v>6040</v>
      </c>
      <c r="D3" s="0" t="s">
        <v>6041</v>
      </c>
    </row>
    <row r="4" customFormat="false" ht="13.5" hidden="false" customHeight="false" outlineLevel="0" collapsed="false">
      <c r="B4" s="0" t="s">
        <v>6042</v>
      </c>
    </row>
    <row r="5" customFormat="false" ht="13.5" hidden="false" customHeight="false" outlineLevel="0" collapsed="false">
      <c r="B5" s="0" t="s">
        <v>5395</v>
      </c>
      <c r="C5" s="0" t="s">
        <v>6043</v>
      </c>
    </row>
    <row r="6" customFormat="false" ht="13.5" hidden="false" customHeight="false" outlineLevel="0" collapsed="false">
      <c r="B6" s="0" t="s">
        <v>5396</v>
      </c>
      <c r="C6" s="0" t="s">
        <v>6044</v>
      </c>
    </row>
    <row r="8" customFormat="false" ht="13.5" hidden="false" customHeight="false" outlineLevel="0" collapsed="false">
      <c r="B8" s="0" t="s">
        <v>6045</v>
      </c>
      <c r="C8" s="0" t="s">
        <v>6046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9375" defaultRowHeight="13.5" zeroHeight="false" outlineLevelRow="0" outlineLevelCol="0"/>
  <cols>
    <col collapsed="false" customWidth="true" hidden="false" outlineLevel="0" max="1" min="1" style="0" width="36.74"/>
  </cols>
  <sheetData>
    <row r="1" s="6" customFormat="true" ht="13.5" hidden="false" customHeight="false" outlineLevel="0" collapsed="false">
      <c r="A1" s="5" t="s">
        <v>6047</v>
      </c>
      <c r="B1" s="5" t="s">
        <v>6048</v>
      </c>
    </row>
    <row r="2" customFormat="false" ht="13.5" hidden="false" customHeight="false" outlineLevel="0" collapsed="false">
      <c r="A2" s="0" t="s">
        <v>6049</v>
      </c>
      <c r="B2" s="0" t="s">
        <v>6050</v>
      </c>
    </row>
    <row r="3" customFormat="false" ht="13.5" hidden="false" customHeight="false" outlineLevel="0" collapsed="false">
      <c r="A3" s="0" t="s">
        <v>6051</v>
      </c>
    </row>
    <row r="4" customFormat="false" ht="13.5" hidden="false" customHeight="false" outlineLevel="0" collapsed="false">
      <c r="A4" s="0" t="s">
        <v>6052</v>
      </c>
    </row>
    <row r="5" customFormat="false" ht="13.5" hidden="false" customHeight="false" outlineLevel="0" collapsed="false">
      <c r="A5" s="0" t="s">
        <v>6053</v>
      </c>
    </row>
    <row r="6" customFormat="false" ht="13.5" hidden="false" customHeight="false" outlineLevel="0" collapsed="false">
      <c r="A6" s="0" t="s">
        <v>6054</v>
      </c>
    </row>
    <row r="7" customFormat="false" ht="13.5" hidden="false" customHeight="false" outlineLevel="0" collapsed="false">
      <c r="A7" s="0" t="s">
        <v>6055</v>
      </c>
    </row>
    <row r="8" customFormat="false" ht="13.5" hidden="false" customHeight="false" outlineLevel="0" collapsed="false">
      <c r="A8" s="0" t="s">
        <v>6056</v>
      </c>
    </row>
    <row r="10" customFormat="false" ht="13.5" hidden="false" customHeight="false" outlineLevel="0" collapsed="false">
      <c r="A10" s="0" t="s">
        <v>6057</v>
      </c>
      <c r="B10" s="0" t="s">
        <v>6058</v>
      </c>
    </row>
    <row r="2281" customFormat="false" ht="13.5" hidden="false" customHeight="false" outlineLevel="0" collapsed="false">
      <c r="A2281" s="0" t="s">
        <v>5058</v>
      </c>
      <c r="B2281" s="0" t="s">
        <v>5059</v>
      </c>
      <c r="C2281" s="0" t="s">
        <v>31</v>
      </c>
      <c r="D2281" s="0" t="s">
        <v>1651</v>
      </c>
    </row>
    <row r="2282" customFormat="false" ht="13.5" hidden="false" customHeight="false" outlineLevel="0" collapsed="false">
      <c r="A2282" s="0" t="s">
        <v>5060</v>
      </c>
      <c r="B2282" s="0" t="s">
        <v>5061</v>
      </c>
      <c r="C2282" s="0" t="s">
        <v>31</v>
      </c>
      <c r="D2282" s="0" t="s">
        <v>1957</v>
      </c>
    </row>
    <row r="2283" customFormat="false" ht="13.5" hidden="false" customHeight="false" outlineLevel="0" collapsed="false">
      <c r="A2283" s="0" t="s">
        <v>1439</v>
      </c>
      <c r="B2283" s="0" t="s">
        <v>1440</v>
      </c>
      <c r="C2283" s="0" t="s">
        <v>15</v>
      </c>
      <c r="D2283" s="0" t="s">
        <v>19</v>
      </c>
      <c r="E2283" s="0" t="s">
        <v>98</v>
      </c>
    </row>
    <row r="2284" customFormat="false" ht="13.5" hidden="false" customHeight="false" outlineLevel="0" collapsed="false">
      <c r="A2284" s="0" t="s">
        <v>5062</v>
      </c>
      <c r="B2284" s="0" t="s">
        <v>5063</v>
      </c>
      <c r="C2284" s="0" t="s">
        <v>31</v>
      </c>
      <c r="D2284" s="0" t="s">
        <v>2701</v>
      </c>
    </row>
    <row r="2285" customFormat="false" ht="13.5" hidden="false" customHeight="false" outlineLevel="0" collapsed="false">
      <c r="A2285" s="0" t="s">
        <v>5064</v>
      </c>
      <c r="B2285" s="0" t="s">
        <v>5065</v>
      </c>
      <c r="C2285" s="0" t="s">
        <v>31</v>
      </c>
      <c r="D2285" s="0" t="s">
        <v>1513</v>
      </c>
    </row>
    <row r="2286" customFormat="false" ht="13.5" hidden="false" customHeight="false" outlineLevel="0" collapsed="false">
      <c r="A2286" s="0" t="s">
        <v>5066</v>
      </c>
      <c r="B2286" s="0" t="s">
        <v>5067</v>
      </c>
      <c r="C2286" s="0" t="s">
        <v>31</v>
      </c>
      <c r="D2286" s="0" t="s">
        <v>1651</v>
      </c>
    </row>
    <row r="2287" customFormat="false" ht="13.5" hidden="false" customHeight="false" outlineLevel="0" collapsed="false">
      <c r="A2287" s="0" t="s">
        <v>5068</v>
      </c>
      <c r="B2287" s="0" t="s">
        <v>5069</v>
      </c>
      <c r="C2287" s="0" t="s">
        <v>31</v>
      </c>
      <c r="D2287" s="0" t="s">
        <v>69</v>
      </c>
    </row>
    <row r="2288" customFormat="false" ht="13.5" hidden="false" customHeight="false" outlineLevel="0" collapsed="false">
      <c r="A2288" s="0" t="s">
        <v>1441</v>
      </c>
      <c r="B2288" s="0" t="s">
        <v>1442</v>
      </c>
      <c r="C2288" s="0" t="s">
        <v>15</v>
      </c>
      <c r="D2288" s="0" t="s">
        <v>625</v>
      </c>
    </row>
    <row r="2289" customFormat="false" ht="13.5" hidden="false" customHeight="false" outlineLevel="0" collapsed="false">
      <c r="A2289" s="0" t="s">
        <v>5070</v>
      </c>
      <c r="B2289" s="0" t="s">
        <v>5071</v>
      </c>
      <c r="C2289" s="0" t="s">
        <v>31</v>
      </c>
      <c r="D2289" s="0" t="s">
        <v>2905</v>
      </c>
    </row>
    <row r="2290" customFormat="false" ht="13.5" hidden="false" customHeight="false" outlineLevel="0" collapsed="false">
      <c r="A2290" s="0" t="s">
        <v>5072</v>
      </c>
      <c r="B2290" s="0" t="s">
        <v>5073</v>
      </c>
      <c r="C2290" s="0" t="s">
        <v>31</v>
      </c>
      <c r="D2290" s="0" t="s">
        <v>2072</v>
      </c>
    </row>
    <row r="2291" customFormat="false" ht="13.5" hidden="false" customHeight="false" outlineLevel="0" collapsed="false">
      <c r="A2291" s="0" t="s">
        <v>5074</v>
      </c>
      <c r="B2291" s="0" t="s">
        <v>5075</v>
      </c>
      <c r="C2291" s="0" t="s">
        <v>31</v>
      </c>
      <c r="D2291" s="0" t="s">
        <v>1508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432" colorId="64" zoomScale="75" zoomScaleNormal="75" zoomScalePageLayoutView="100" workbookViewId="0">
      <selection pane="topLeft" activeCell="A1469" activeCellId="0" sqref="A1469"/>
    </sheetView>
  </sheetViews>
  <sheetFormatPr defaultColWidth="10.484375" defaultRowHeight="13.8" zeroHeight="false" outlineLevelRow="0" outlineLevelCol="0"/>
  <cols>
    <col collapsed="false" customWidth="true" hidden="false" outlineLevel="0" max="1" min="1" style="0" width="44.31"/>
    <col collapsed="false" customWidth="true" hidden="false" outlineLevel="0" max="2" min="2" style="0" width="28.81"/>
    <col collapsed="false" customWidth="true" hidden="false" outlineLevel="0" max="3" min="3" style="0" width="16.31"/>
    <col collapsed="false" customWidth="true" hidden="false" outlineLevel="0" max="4" min="4" style="0" width="19.81"/>
  </cols>
  <sheetData>
    <row r="1" customFormat="false" ht="13.8" hidden="false" customHeight="false" outlineLevel="0" collapsed="false">
      <c r="A1" s="2" t="s">
        <v>6059</v>
      </c>
      <c r="B1" s="2" t="s">
        <v>6060</v>
      </c>
      <c r="C1" s="2" t="s">
        <v>6061</v>
      </c>
      <c r="D1" s="2" t="s">
        <v>6062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</row>
    <row r="3" customFormat="false" ht="13.8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</row>
    <row r="4" customFormat="false" ht="13.8" hidden="false" customHeight="false" outlineLevel="0" collapsed="false">
      <c r="A4" s="0" t="s">
        <v>17</v>
      </c>
      <c r="B4" s="0" t="s">
        <v>18</v>
      </c>
      <c r="C4" s="0" t="s">
        <v>15</v>
      </c>
      <c r="D4" s="0" t="s">
        <v>19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15</v>
      </c>
      <c r="D5" s="0" t="s">
        <v>19</v>
      </c>
    </row>
    <row r="6" customFormat="false" ht="13.8" hidden="false" customHeight="false" outlineLevel="0" collapsed="false">
      <c r="A6" s="0" t="s">
        <v>22</v>
      </c>
      <c r="B6" s="0" t="s">
        <v>23</v>
      </c>
      <c r="C6" s="0" t="s">
        <v>15</v>
      </c>
      <c r="D6" s="0" t="s">
        <v>24</v>
      </c>
    </row>
    <row r="7" customFormat="false" ht="13.8" hidden="false" customHeight="false" outlineLevel="0" collapsed="false">
      <c r="A7" s="0" t="s">
        <v>25</v>
      </c>
      <c r="B7" s="0" t="s">
        <v>26</v>
      </c>
      <c r="C7" s="0" t="s">
        <v>15</v>
      </c>
      <c r="D7" s="0" t="s">
        <v>24</v>
      </c>
    </row>
    <row r="8" customFormat="false" ht="13.8" hidden="false" customHeight="false" outlineLevel="0" collapsed="false">
      <c r="A8" s="0" t="s">
        <v>27</v>
      </c>
      <c r="B8" s="0" t="s">
        <v>28</v>
      </c>
      <c r="C8" s="0" t="s">
        <v>15</v>
      </c>
      <c r="D8" s="0" t="s">
        <v>24</v>
      </c>
    </row>
    <row r="9" customFormat="false" ht="13.8" hidden="false" customHeight="false" outlineLevel="0" collapsed="false">
      <c r="A9" s="0" t="s">
        <v>29</v>
      </c>
      <c r="B9" s="0" t="s">
        <v>30</v>
      </c>
      <c r="C9" s="0" t="s">
        <v>31</v>
      </c>
      <c r="D9" s="0" t="s">
        <v>19</v>
      </c>
    </row>
    <row r="10" customFormat="false" ht="13.8" hidden="false" customHeight="false" outlineLevel="0" collapsed="false">
      <c r="A10" s="0" t="s">
        <v>34</v>
      </c>
      <c r="B10" s="0" t="s">
        <v>35</v>
      </c>
      <c r="C10" s="0" t="s">
        <v>31</v>
      </c>
      <c r="D10" s="0" t="s">
        <v>16</v>
      </c>
    </row>
    <row r="11" customFormat="false" ht="13.8" hidden="false" customHeight="false" outlineLevel="0" collapsed="false">
      <c r="A11" s="0" t="s">
        <v>38</v>
      </c>
      <c r="B11" s="0" t="s">
        <v>39</v>
      </c>
      <c r="C11" s="0" t="s">
        <v>31</v>
      </c>
      <c r="D11" s="0" t="s">
        <v>16</v>
      </c>
    </row>
    <row r="12" customFormat="false" ht="13.8" hidden="false" customHeight="false" outlineLevel="0" collapsed="false">
      <c r="A12" s="0" t="s">
        <v>40</v>
      </c>
      <c r="B12" s="0" t="s">
        <v>41</v>
      </c>
      <c r="C12" s="0" t="s">
        <v>31</v>
      </c>
      <c r="D12" s="0" t="s">
        <v>16</v>
      </c>
    </row>
    <row r="13" customFormat="false" ht="13.8" hidden="false" customHeight="false" outlineLevel="0" collapsed="false">
      <c r="A13" s="0" t="s">
        <v>44</v>
      </c>
      <c r="B13" s="0" t="s">
        <v>45</v>
      </c>
      <c r="C13" s="0" t="s">
        <v>15</v>
      </c>
      <c r="D13" s="0" t="s">
        <v>46</v>
      </c>
    </row>
    <row r="14" customFormat="false" ht="13.8" hidden="false" customHeight="false" outlineLevel="0" collapsed="false">
      <c r="A14" s="0" t="s">
        <v>48</v>
      </c>
      <c r="B14" s="0" t="s">
        <v>49</v>
      </c>
      <c r="C14" s="0" t="s">
        <v>15</v>
      </c>
      <c r="D14" s="0" t="s">
        <v>19</v>
      </c>
    </row>
    <row r="15" customFormat="false" ht="13.8" hidden="false" customHeight="false" outlineLevel="0" collapsed="false">
      <c r="A15" s="0" t="s">
        <v>51</v>
      </c>
      <c r="B15" s="0" t="s">
        <v>52</v>
      </c>
      <c r="C15" s="0" t="s">
        <v>31</v>
      </c>
      <c r="D15" s="0" t="s">
        <v>16</v>
      </c>
    </row>
    <row r="16" customFormat="false" ht="13.8" hidden="false" customHeight="false" outlineLevel="0" collapsed="false">
      <c r="A16" s="0" t="s">
        <v>54</v>
      </c>
      <c r="B16" s="0" t="s">
        <v>55</v>
      </c>
      <c r="C16" s="0" t="s">
        <v>15</v>
      </c>
      <c r="D16" s="0" t="s">
        <v>19</v>
      </c>
    </row>
    <row r="17" customFormat="false" ht="13.8" hidden="false" customHeight="false" outlineLevel="0" collapsed="false">
      <c r="A17" s="0" t="s">
        <v>57</v>
      </c>
      <c r="B17" s="0" t="s">
        <v>58</v>
      </c>
      <c r="C17" s="0" t="s">
        <v>31</v>
      </c>
      <c r="D17" s="0" t="s">
        <v>46</v>
      </c>
    </row>
    <row r="18" customFormat="false" ht="13.8" hidden="false" customHeight="false" outlineLevel="0" collapsed="false">
      <c r="A18" s="0" t="s">
        <v>61</v>
      </c>
      <c r="B18" s="0" t="s">
        <v>62</v>
      </c>
      <c r="C18" s="0" t="s">
        <v>15</v>
      </c>
      <c r="D18" s="0" t="s">
        <v>46</v>
      </c>
    </row>
    <row r="19" customFormat="false" ht="13.8" hidden="false" customHeight="false" outlineLevel="0" collapsed="false">
      <c r="A19" s="0" t="s">
        <v>64</v>
      </c>
      <c r="B19" s="0" t="s">
        <v>65</v>
      </c>
      <c r="C19" s="0" t="s">
        <v>15</v>
      </c>
      <c r="D19" s="0" t="s">
        <v>16</v>
      </c>
    </row>
    <row r="20" customFormat="false" ht="13.8" hidden="false" customHeight="false" outlineLevel="0" collapsed="false">
      <c r="A20" s="0" t="s">
        <v>67</v>
      </c>
      <c r="B20" s="0" t="s">
        <v>68</v>
      </c>
      <c r="C20" s="0" t="s">
        <v>31</v>
      </c>
      <c r="D20" s="0" t="s">
        <v>69</v>
      </c>
    </row>
    <row r="21" customFormat="false" ht="13.8" hidden="false" customHeight="false" outlineLevel="0" collapsed="false">
      <c r="A21" s="0" t="s">
        <v>70</v>
      </c>
      <c r="B21" s="0" t="s">
        <v>71</v>
      </c>
      <c r="C21" s="0" t="s">
        <v>15</v>
      </c>
      <c r="D21" s="0" t="s">
        <v>19</v>
      </c>
    </row>
    <row r="22" customFormat="false" ht="13.8" hidden="false" customHeight="false" outlineLevel="0" collapsed="false">
      <c r="A22" s="0" t="s">
        <v>72</v>
      </c>
      <c r="B22" s="0" t="s">
        <v>73</v>
      </c>
      <c r="C22" s="0" t="s">
        <v>15</v>
      </c>
      <c r="D22" s="0" t="s">
        <v>19</v>
      </c>
    </row>
    <row r="23" customFormat="false" ht="13.8" hidden="false" customHeight="false" outlineLevel="0" collapsed="false">
      <c r="A23" s="0" t="s">
        <v>74</v>
      </c>
      <c r="B23" s="0" t="s">
        <v>75</v>
      </c>
      <c r="C23" s="0" t="s">
        <v>15</v>
      </c>
      <c r="D23" s="0" t="s">
        <v>19</v>
      </c>
    </row>
    <row r="24" customFormat="false" ht="13.8" hidden="false" customHeight="false" outlineLevel="0" collapsed="false">
      <c r="A24" s="0" t="s">
        <v>77</v>
      </c>
      <c r="B24" s="0" t="s">
        <v>78</v>
      </c>
      <c r="C24" s="0" t="s">
        <v>15</v>
      </c>
      <c r="D24" s="0" t="s">
        <v>19</v>
      </c>
    </row>
    <row r="25" customFormat="false" ht="13.8" hidden="false" customHeight="false" outlineLevel="0" collapsed="false">
      <c r="A25" s="0" t="s">
        <v>80</v>
      </c>
      <c r="B25" s="0" t="s">
        <v>23</v>
      </c>
      <c r="C25" s="0" t="s">
        <v>15</v>
      </c>
      <c r="D25" s="0" t="s">
        <v>46</v>
      </c>
    </row>
    <row r="26" customFormat="false" ht="13.8" hidden="false" customHeight="false" outlineLevel="0" collapsed="false">
      <c r="A26" s="0" t="s">
        <v>82</v>
      </c>
      <c r="B26" s="0" t="s">
        <v>83</v>
      </c>
      <c r="C26" s="0" t="s">
        <v>15</v>
      </c>
      <c r="D26" s="0" t="s">
        <v>19</v>
      </c>
    </row>
    <row r="27" customFormat="false" ht="13.8" hidden="false" customHeight="false" outlineLevel="0" collapsed="false">
      <c r="A27" s="0" t="s">
        <v>86</v>
      </c>
      <c r="B27" s="0" t="s">
        <v>87</v>
      </c>
      <c r="C27" s="0" t="s">
        <v>15</v>
      </c>
      <c r="D27" s="0" t="s">
        <v>19</v>
      </c>
    </row>
    <row r="28" customFormat="false" ht="13.8" hidden="false" customHeight="false" outlineLevel="0" collapsed="false">
      <c r="A28" s="0" t="s">
        <v>89</v>
      </c>
      <c r="B28" s="0" t="s">
        <v>90</v>
      </c>
      <c r="C28" s="0" t="s">
        <v>15</v>
      </c>
      <c r="D28" s="0" t="s">
        <v>24</v>
      </c>
    </row>
    <row r="29" customFormat="false" ht="13.8" hidden="false" customHeight="false" outlineLevel="0" collapsed="false">
      <c r="A29" s="0" t="s">
        <v>91</v>
      </c>
      <c r="B29" s="0" t="s">
        <v>92</v>
      </c>
      <c r="C29" s="0" t="s">
        <v>15</v>
      </c>
      <c r="D29" s="0" t="s">
        <v>19</v>
      </c>
    </row>
    <row r="30" customFormat="false" ht="13.8" hidden="false" customHeight="false" outlineLevel="0" collapsed="false">
      <c r="A30" s="0" t="s">
        <v>93</v>
      </c>
      <c r="B30" s="0" t="s">
        <v>94</v>
      </c>
      <c r="C30" s="0" t="s">
        <v>15</v>
      </c>
      <c r="D30" s="0" t="s">
        <v>19</v>
      </c>
    </row>
    <row r="31" customFormat="false" ht="13.8" hidden="false" customHeight="false" outlineLevel="0" collapsed="false">
      <c r="A31" s="0" t="s">
        <v>96</v>
      </c>
      <c r="B31" s="0" t="s">
        <v>97</v>
      </c>
      <c r="C31" s="0" t="s">
        <v>15</v>
      </c>
      <c r="D31" s="0" t="s">
        <v>19</v>
      </c>
    </row>
    <row r="32" customFormat="false" ht="13.8" hidden="false" customHeight="false" outlineLevel="0" collapsed="false">
      <c r="A32" s="0" t="s">
        <v>99</v>
      </c>
      <c r="B32" s="0" t="s">
        <v>100</v>
      </c>
      <c r="C32" s="0" t="s">
        <v>15</v>
      </c>
      <c r="D32" s="0" t="s">
        <v>19</v>
      </c>
    </row>
    <row r="33" customFormat="false" ht="13.8" hidden="false" customHeight="false" outlineLevel="0" collapsed="false">
      <c r="A33" s="0" t="s">
        <v>102</v>
      </c>
      <c r="B33" s="0" t="s">
        <v>103</v>
      </c>
      <c r="C33" s="0" t="s">
        <v>15</v>
      </c>
      <c r="D33" s="0" t="s">
        <v>19</v>
      </c>
    </row>
    <row r="34" customFormat="false" ht="13.8" hidden="false" customHeight="false" outlineLevel="0" collapsed="false">
      <c r="A34" s="0" t="s">
        <v>105</v>
      </c>
      <c r="B34" s="0" t="s">
        <v>106</v>
      </c>
      <c r="C34" s="0" t="s">
        <v>15</v>
      </c>
      <c r="D34" s="0" t="s">
        <v>107</v>
      </c>
    </row>
    <row r="35" customFormat="false" ht="13.8" hidden="false" customHeight="false" outlineLevel="0" collapsed="false">
      <c r="A35" s="0" t="s">
        <v>108</v>
      </c>
      <c r="B35" s="0" t="s">
        <v>109</v>
      </c>
      <c r="C35" s="0" t="s">
        <v>15</v>
      </c>
      <c r="D35" s="0" t="s">
        <v>19</v>
      </c>
    </row>
    <row r="36" customFormat="false" ht="13.8" hidden="false" customHeight="false" outlineLevel="0" collapsed="false">
      <c r="A36" s="0" t="s">
        <v>111</v>
      </c>
      <c r="B36" s="0" t="s">
        <v>112</v>
      </c>
      <c r="C36" s="0" t="s">
        <v>15</v>
      </c>
      <c r="D36" s="0" t="s">
        <v>24</v>
      </c>
    </row>
    <row r="37" customFormat="false" ht="13.8" hidden="false" customHeight="false" outlineLevel="0" collapsed="false">
      <c r="A37" s="0" t="s">
        <v>114</v>
      </c>
      <c r="B37" s="0" t="s">
        <v>115</v>
      </c>
      <c r="C37" s="0" t="s">
        <v>15</v>
      </c>
      <c r="D37" s="0" t="s">
        <v>19</v>
      </c>
    </row>
    <row r="38" customFormat="false" ht="13.8" hidden="false" customHeight="false" outlineLevel="0" collapsed="false">
      <c r="A38" s="0" t="s">
        <v>116</v>
      </c>
      <c r="B38" s="0" t="s">
        <v>117</v>
      </c>
      <c r="C38" s="0" t="s">
        <v>15</v>
      </c>
      <c r="D38" s="0" t="s">
        <v>118</v>
      </c>
    </row>
    <row r="39" customFormat="false" ht="13.8" hidden="false" customHeight="false" outlineLevel="0" collapsed="false">
      <c r="A39" s="0" t="s">
        <v>120</v>
      </c>
      <c r="B39" s="0" t="s">
        <v>121</v>
      </c>
      <c r="C39" s="0" t="s">
        <v>15</v>
      </c>
      <c r="D39" s="0" t="s">
        <v>24</v>
      </c>
    </row>
    <row r="40" customFormat="false" ht="13.8" hidden="false" customHeight="false" outlineLevel="0" collapsed="false">
      <c r="A40" s="0" t="s">
        <v>123</v>
      </c>
      <c r="B40" s="0" t="s">
        <v>124</v>
      </c>
      <c r="C40" s="0" t="s">
        <v>15</v>
      </c>
      <c r="D40" s="0" t="s">
        <v>19</v>
      </c>
    </row>
    <row r="41" customFormat="false" ht="13.8" hidden="false" customHeight="false" outlineLevel="0" collapsed="false">
      <c r="A41" s="0" t="s">
        <v>125</v>
      </c>
      <c r="B41" s="0" t="s">
        <v>126</v>
      </c>
      <c r="C41" s="0" t="s">
        <v>15</v>
      </c>
      <c r="D41" s="0" t="s">
        <v>24</v>
      </c>
    </row>
    <row r="42" customFormat="false" ht="13.8" hidden="false" customHeight="false" outlineLevel="0" collapsed="false">
      <c r="A42" s="0" t="s">
        <v>127</v>
      </c>
      <c r="B42" s="0" t="s">
        <v>128</v>
      </c>
      <c r="C42" s="0" t="s">
        <v>31</v>
      </c>
      <c r="D42" s="0" t="s">
        <v>19</v>
      </c>
    </row>
    <row r="43" customFormat="false" ht="13.8" hidden="false" customHeight="false" outlineLevel="0" collapsed="false">
      <c r="A43" s="0" t="s">
        <v>129</v>
      </c>
      <c r="B43" s="0" t="s">
        <v>130</v>
      </c>
      <c r="C43" s="0" t="s">
        <v>15</v>
      </c>
      <c r="D43" s="0" t="s">
        <v>19</v>
      </c>
    </row>
    <row r="44" customFormat="false" ht="13.8" hidden="false" customHeight="false" outlineLevel="0" collapsed="false">
      <c r="A44" s="0" t="s">
        <v>132</v>
      </c>
      <c r="B44" s="0" t="s">
        <v>133</v>
      </c>
      <c r="C44" s="0" t="s">
        <v>15</v>
      </c>
      <c r="D44" s="0" t="s">
        <v>16</v>
      </c>
    </row>
    <row r="45" customFormat="false" ht="13.8" hidden="false" customHeight="false" outlineLevel="0" collapsed="false">
      <c r="A45" s="0" t="s">
        <v>135</v>
      </c>
      <c r="B45" s="0" t="s">
        <v>136</v>
      </c>
      <c r="C45" s="0" t="s">
        <v>15</v>
      </c>
      <c r="D45" s="0" t="s">
        <v>19</v>
      </c>
    </row>
    <row r="46" customFormat="false" ht="13.8" hidden="false" customHeight="false" outlineLevel="0" collapsed="false">
      <c r="A46" s="0" t="s">
        <v>137</v>
      </c>
      <c r="B46" s="0" t="s">
        <v>138</v>
      </c>
      <c r="C46" s="0" t="s">
        <v>31</v>
      </c>
      <c r="D46" s="0" t="s">
        <v>19</v>
      </c>
    </row>
    <row r="47" customFormat="false" ht="13.8" hidden="false" customHeight="false" outlineLevel="0" collapsed="false">
      <c r="A47" s="0" t="s">
        <v>139</v>
      </c>
      <c r="B47" s="0" t="s">
        <v>140</v>
      </c>
      <c r="C47" s="0" t="s">
        <v>15</v>
      </c>
      <c r="D47" s="0" t="s">
        <v>19</v>
      </c>
    </row>
    <row r="48" customFormat="false" ht="13.8" hidden="false" customHeight="false" outlineLevel="0" collapsed="false">
      <c r="A48" s="0" t="s">
        <v>142</v>
      </c>
      <c r="B48" s="0" t="s">
        <v>143</v>
      </c>
      <c r="C48" s="0" t="s">
        <v>15</v>
      </c>
      <c r="D48" s="0" t="s">
        <v>19</v>
      </c>
    </row>
    <row r="49" customFormat="false" ht="13.8" hidden="false" customHeight="false" outlineLevel="0" collapsed="false">
      <c r="A49" s="0" t="s">
        <v>145</v>
      </c>
      <c r="B49" s="0" t="s">
        <v>146</v>
      </c>
      <c r="C49" s="0" t="s">
        <v>15</v>
      </c>
      <c r="D49" s="0" t="s">
        <v>19</v>
      </c>
    </row>
    <row r="50" customFormat="false" ht="13.8" hidden="false" customHeight="false" outlineLevel="0" collapsed="false">
      <c r="A50" s="0" t="s">
        <v>148</v>
      </c>
      <c r="B50" s="0" t="s">
        <v>149</v>
      </c>
      <c r="C50" s="0" t="s">
        <v>15</v>
      </c>
      <c r="D50" s="0" t="s">
        <v>24</v>
      </c>
    </row>
    <row r="51" customFormat="false" ht="13.8" hidden="false" customHeight="false" outlineLevel="0" collapsed="false">
      <c r="A51" s="0" t="s">
        <v>151</v>
      </c>
      <c r="B51" s="0" t="s">
        <v>152</v>
      </c>
      <c r="C51" s="0" t="s">
        <v>15</v>
      </c>
      <c r="D51" s="0" t="s">
        <v>19</v>
      </c>
    </row>
    <row r="52" customFormat="false" ht="13.8" hidden="false" customHeight="false" outlineLevel="0" collapsed="false">
      <c r="A52" s="0" t="s">
        <v>154</v>
      </c>
      <c r="B52" s="0" t="s">
        <v>155</v>
      </c>
      <c r="C52" s="0" t="s">
        <v>15</v>
      </c>
      <c r="D52" s="0" t="s">
        <v>19</v>
      </c>
    </row>
    <row r="53" customFormat="false" ht="13.8" hidden="false" customHeight="false" outlineLevel="0" collapsed="false">
      <c r="A53" s="0" t="s">
        <v>156</v>
      </c>
      <c r="B53" s="0" t="s">
        <v>157</v>
      </c>
      <c r="C53" s="0" t="s">
        <v>15</v>
      </c>
      <c r="D53" s="0" t="s">
        <v>19</v>
      </c>
    </row>
    <row r="54" customFormat="false" ht="13.8" hidden="false" customHeight="false" outlineLevel="0" collapsed="false">
      <c r="A54" s="0" t="s">
        <v>159</v>
      </c>
      <c r="B54" s="0" t="s">
        <v>160</v>
      </c>
      <c r="C54" s="0" t="s">
        <v>15</v>
      </c>
      <c r="D54" s="0" t="s">
        <v>19</v>
      </c>
    </row>
    <row r="55" customFormat="false" ht="13.8" hidden="false" customHeight="false" outlineLevel="0" collapsed="false">
      <c r="A55" s="0" t="s">
        <v>161</v>
      </c>
      <c r="B55" s="0" t="s">
        <v>162</v>
      </c>
      <c r="C55" s="0" t="s">
        <v>15</v>
      </c>
      <c r="D55" s="0" t="s">
        <v>16</v>
      </c>
    </row>
    <row r="56" customFormat="false" ht="13.8" hidden="false" customHeight="false" outlineLevel="0" collapsed="false">
      <c r="A56" s="0" t="s">
        <v>165</v>
      </c>
      <c r="B56" s="0" t="s">
        <v>166</v>
      </c>
      <c r="C56" s="0" t="s">
        <v>15</v>
      </c>
      <c r="D56" s="0" t="s">
        <v>19</v>
      </c>
    </row>
    <row r="57" customFormat="false" ht="13.8" hidden="false" customHeight="false" outlineLevel="0" collapsed="false">
      <c r="A57" s="0" t="s">
        <v>167</v>
      </c>
      <c r="B57" s="0" t="s">
        <v>168</v>
      </c>
      <c r="C57" s="0" t="s">
        <v>15</v>
      </c>
      <c r="D57" s="0" t="s">
        <v>19</v>
      </c>
    </row>
    <row r="58" customFormat="false" ht="13.8" hidden="false" customHeight="false" outlineLevel="0" collapsed="false">
      <c r="A58" s="0" t="s">
        <v>169</v>
      </c>
      <c r="B58" s="0" t="s">
        <v>170</v>
      </c>
      <c r="C58" s="0" t="s">
        <v>31</v>
      </c>
      <c r="D58" s="0" t="s">
        <v>171</v>
      </c>
    </row>
    <row r="59" customFormat="false" ht="13.8" hidden="false" customHeight="false" outlineLevel="0" collapsed="false">
      <c r="A59" s="0" t="s">
        <v>173</v>
      </c>
      <c r="B59" s="0" t="s">
        <v>174</v>
      </c>
      <c r="C59" s="0" t="s">
        <v>15</v>
      </c>
      <c r="D59" s="0" t="s">
        <v>19</v>
      </c>
    </row>
    <row r="60" customFormat="false" ht="13.8" hidden="false" customHeight="false" outlineLevel="0" collapsed="false">
      <c r="A60" s="0" t="s">
        <v>175</v>
      </c>
      <c r="B60" s="0" t="s">
        <v>176</v>
      </c>
      <c r="C60" s="0" t="s">
        <v>31</v>
      </c>
      <c r="D60" s="0" t="s">
        <v>19</v>
      </c>
    </row>
    <row r="61" customFormat="false" ht="13.8" hidden="false" customHeight="false" outlineLevel="0" collapsed="false">
      <c r="A61" s="0" t="s">
        <v>177</v>
      </c>
      <c r="B61" s="0" t="s">
        <v>178</v>
      </c>
      <c r="C61" s="0" t="s">
        <v>15</v>
      </c>
      <c r="D61" s="0" t="s">
        <v>19</v>
      </c>
    </row>
    <row r="62" customFormat="false" ht="13.8" hidden="false" customHeight="false" outlineLevel="0" collapsed="false">
      <c r="A62" s="0" t="s">
        <v>179</v>
      </c>
      <c r="B62" s="0" t="s">
        <v>180</v>
      </c>
      <c r="C62" s="0" t="s">
        <v>15</v>
      </c>
      <c r="D62" s="0" t="s">
        <v>19</v>
      </c>
    </row>
    <row r="63" customFormat="false" ht="13.8" hidden="false" customHeight="false" outlineLevel="0" collapsed="false">
      <c r="A63" s="0" t="s">
        <v>182</v>
      </c>
      <c r="B63" s="0" t="s">
        <v>183</v>
      </c>
      <c r="C63" s="0" t="s">
        <v>15</v>
      </c>
      <c r="D63" s="0" t="s">
        <v>19</v>
      </c>
    </row>
    <row r="64" customFormat="false" ht="13.8" hidden="false" customHeight="false" outlineLevel="0" collapsed="false">
      <c r="A64" s="0" t="s">
        <v>184</v>
      </c>
      <c r="B64" s="0" t="s">
        <v>185</v>
      </c>
      <c r="C64" s="0" t="s">
        <v>15</v>
      </c>
      <c r="D64" s="0" t="s">
        <v>19</v>
      </c>
    </row>
    <row r="65" customFormat="false" ht="13.8" hidden="false" customHeight="false" outlineLevel="0" collapsed="false">
      <c r="A65" s="0" t="s">
        <v>187</v>
      </c>
      <c r="B65" s="0" t="s">
        <v>188</v>
      </c>
      <c r="C65" s="0" t="s">
        <v>15</v>
      </c>
      <c r="D65" s="0" t="s">
        <v>24</v>
      </c>
    </row>
    <row r="66" customFormat="false" ht="13.8" hidden="false" customHeight="false" outlineLevel="0" collapsed="false">
      <c r="A66" s="0" t="s">
        <v>190</v>
      </c>
      <c r="B66" s="0" t="s">
        <v>191</v>
      </c>
      <c r="C66" s="0" t="s">
        <v>15</v>
      </c>
      <c r="D66" s="0" t="s">
        <v>19</v>
      </c>
    </row>
    <row r="67" customFormat="false" ht="13.8" hidden="false" customHeight="false" outlineLevel="0" collapsed="false">
      <c r="A67" s="0" t="s">
        <v>193</v>
      </c>
      <c r="B67" s="0" t="s">
        <v>194</v>
      </c>
      <c r="C67" s="0" t="s">
        <v>15</v>
      </c>
      <c r="D67" s="0" t="s">
        <v>19</v>
      </c>
    </row>
    <row r="68" customFormat="false" ht="13.8" hidden="false" customHeight="false" outlineLevel="0" collapsed="false">
      <c r="A68" s="0" t="s">
        <v>195</v>
      </c>
      <c r="B68" s="0" t="s">
        <v>196</v>
      </c>
      <c r="C68" s="0" t="s">
        <v>15</v>
      </c>
      <c r="D68" s="0" t="s">
        <v>19</v>
      </c>
    </row>
    <row r="69" customFormat="false" ht="13.8" hidden="false" customHeight="false" outlineLevel="0" collapsed="false">
      <c r="A69" s="0" t="s">
        <v>198</v>
      </c>
      <c r="B69" s="0" t="s">
        <v>199</v>
      </c>
      <c r="C69" s="0" t="s">
        <v>15</v>
      </c>
      <c r="D69" s="0" t="s">
        <v>19</v>
      </c>
    </row>
    <row r="70" customFormat="false" ht="13.8" hidden="false" customHeight="false" outlineLevel="0" collapsed="false">
      <c r="A70" s="0" t="s">
        <v>201</v>
      </c>
      <c r="B70" s="0" t="s">
        <v>202</v>
      </c>
      <c r="C70" s="0" t="s">
        <v>15</v>
      </c>
      <c r="D70" s="0" t="s">
        <v>19</v>
      </c>
    </row>
    <row r="71" customFormat="false" ht="13.8" hidden="false" customHeight="false" outlineLevel="0" collapsed="false">
      <c r="A71" s="0" t="s">
        <v>203</v>
      </c>
      <c r="B71" s="0" t="s">
        <v>204</v>
      </c>
      <c r="C71" s="0" t="s">
        <v>15</v>
      </c>
      <c r="D71" s="0" t="s">
        <v>19</v>
      </c>
    </row>
    <row r="72" customFormat="false" ht="13.8" hidden="false" customHeight="false" outlineLevel="0" collapsed="false">
      <c r="A72" s="0" t="s">
        <v>206</v>
      </c>
      <c r="B72" s="0" t="s">
        <v>207</v>
      </c>
      <c r="C72" s="0" t="s">
        <v>15</v>
      </c>
      <c r="D72" s="0" t="s">
        <v>19</v>
      </c>
    </row>
    <row r="73" customFormat="false" ht="13.8" hidden="false" customHeight="false" outlineLevel="0" collapsed="false">
      <c r="A73" s="0" t="s">
        <v>209</v>
      </c>
      <c r="B73" s="0" t="s">
        <v>210</v>
      </c>
      <c r="C73" s="0" t="s">
        <v>31</v>
      </c>
      <c r="D73" s="0" t="s">
        <v>19</v>
      </c>
    </row>
    <row r="74" customFormat="false" ht="13.8" hidden="false" customHeight="false" outlineLevel="0" collapsed="false">
      <c r="A74" s="0" t="s">
        <v>212</v>
      </c>
      <c r="B74" s="0" t="s">
        <v>213</v>
      </c>
      <c r="C74" s="0" t="s">
        <v>15</v>
      </c>
      <c r="D74" s="0" t="s">
        <v>19</v>
      </c>
    </row>
    <row r="75" customFormat="false" ht="13.8" hidden="false" customHeight="false" outlineLevel="0" collapsed="false">
      <c r="A75" s="0" t="s">
        <v>214</v>
      </c>
      <c r="B75" s="0" t="s">
        <v>215</v>
      </c>
      <c r="C75" s="0" t="s">
        <v>15</v>
      </c>
      <c r="D75" s="0" t="s">
        <v>16</v>
      </c>
    </row>
    <row r="76" customFormat="false" ht="13.8" hidden="false" customHeight="false" outlineLevel="0" collapsed="false">
      <c r="A76" s="0" t="s">
        <v>217</v>
      </c>
      <c r="B76" s="0" t="s">
        <v>218</v>
      </c>
      <c r="C76" s="0" t="s">
        <v>15</v>
      </c>
      <c r="D76" s="0" t="s">
        <v>19</v>
      </c>
    </row>
    <row r="77" customFormat="false" ht="13.8" hidden="false" customHeight="false" outlineLevel="0" collapsed="false">
      <c r="A77" s="0" t="s">
        <v>220</v>
      </c>
      <c r="B77" s="0" t="s">
        <v>221</v>
      </c>
      <c r="C77" s="0" t="s">
        <v>15</v>
      </c>
      <c r="D77" s="0" t="s">
        <v>19</v>
      </c>
    </row>
    <row r="78" customFormat="false" ht="13.8" hidden="false" customHeight="false" outlineLevel="0" collapsed="false">
      <c r="A78" s="0" t="s">
        <v>222</v>
      </c>
      <c r="B78" s="0" t="s">
        <v>223</v>
      </c>
      <c r="C78" s="0" t="s">
        <v>15</v>
      </c>
      <c r="D78" s="0" t="s">
        <v>19</v>
      </c>
    </row>
    <row r="79" customFormat="false" ht="13.8" hidden="false" customHeight="false" outlineLevel="0" collapsed="false">
      <c r="A79" s="0" t="s">
        <v>224</v>
      </c>
      <c r="B79" s="0" t="s">
        <v>225</v>
      </c>
      <c r="C79" s="0" t="s">
        <v>15</v>
      </c>
      <c r="D79" s="0" t="s">
        <v>19</v>
      </c>
    </row>
    <row r="80" customFormat="false" ht="13.8" hidden="false" customHeight="false" outlineLevel="0" collapsed="false">
      <c r="A80" s="0" t="s">
        <v>227</v>
      </c>
      <c r="B80" s="0" t="s">
        <v>228</v>
      </c>
      <c r="C80" s="0" t="s">
        <v>15</v>
      </c>
      <c r="D80" s="0" t="s">
        <v>24</v>
      </c>
    </row>
    <row r="81" customFormat="false" ht="13.8" hidden="false" customHeight="false" outlineLevel="0" collapsed="false">
      <c r="A81" s="0" t="s">
        <v>230</v>
      </c>
      <c r="B81" s="0" t="s">
        <v>231</v>
      </c>
      <c r="C81" s="0" t="s">
        <v>15</v>
      </c>
      <c r="D81" s="0" t="s">
        <v>19</v>
      </c>
    </row>
    <row r="82" customFormat="false" ht="13.8" hidden="false" customHeight="false" outlineLevel="0" collapsed="false">
      <c r="A82" s="0" t="s">
        <v>232</v>
      </c>
      <c r="B82" s="0" t="s">
        <v>233</v>
      </c>
      <c r="C82" s="0" t="s">
        <v>15</v>
      </c>
      <c r="D82" s="0" t="s">
        <v>19</v>
      </c>
    </row>
    <row r="83" customFormat="false" ht="13.8" hidden="false" customHeight="false" outlineLevel="0" collapsed="false">
      <c r="A83" s="0" t="s">
        <v>235</v>
      </c>
      <c r="B83" s="0" t="s">
        <v>236</v>
      </c>
      <c r="C83" s="0" t="s">
        <v>15</v>
      </c>
      <c r="D83" s="0" t="s">
        <v>19</v>
      </c>
    </row>
    <row r="84" customFormat="false" ht="13.8" hidden="false" customHeight="false" outlineLevel="0" collapsed="false">
      <c r="A84" s="0" t="s">
        <v>237</v>
      </c>
      <c r="B84" s="0" t="s">
        <v>238</v>
      </c>
      <c r="C84" s="0" t="s">
        <v>15</v>
      </c>
      <c r="D84" s="0" t="s">
        <v>19</v>
      </c>
    </row>
    <row r="85" customFormat="false" ht="13.8" hidden="false" customHeight="false" outlineLevel="0" collapsed="false">
      <c r="A85" s="0" t="s">
        <v>239</v>
      </c>
      <c r="B85" s="0" t="s">
        <v>240</v>
      </c>
      <c r="C85" s="0" t="s">
        <v>15</v>
      </c>
      <c r="D85" s="0" t="s">
        <v>19</v>
      </c>
    </row>
    <row r="86" customFormat="false" ht="13.8" hidden="false" customHeight="false" outlineLevel="0" collapsed="false">
      <c r="A86" s="0" t="s">
        <v>242</v>
      </c>
      <c r="B86" s="0" t="s">
        <v>243</v>
      </c>
      <c r="C86" s="0" t="s">
        <v>15</v>
      </c>
      <c r="D86" s="0" t="s">
        <v>19</v>
      </c>
    </row>
    <row r="87" customFormat="false" ht="13.8" hidden="false" customHeight="false" outlineLevel="0" collapsed="false">
      <c r="A87" s="0" t="s">
        <v>245</v>
      </c>
      <c r="B87" s="0" t="s">
        <v>246</v>
      </c>
      <c r="C87" s="0" t="s">
        <v>15</v>
      </c>
      <c r="D87" s="0" t="s">
        <v>19</v>
      </c>
    </row>
    <row r="88" customFormat="false" ht="13.8" hidden="false" customHeight="false" outlineLevel="0" collapsed="false">
      <c r="A88" s="0" t="s">
        <v>247</v>
      </c>
      <c r="B88" s="0" t="s">
        <v>248</v>
      </c>
      <c r="C88" s="0" t="s">
        <v>15</v>
      </c>
      <c r="D88" s="0" t="s">
        <v>19</v>
      </c>
    </row>
    <row r="89" customFormat="false" ht="13.8" hidden="false" customHeight="false" outlineLevel="0" collapsed="false">
      <c r="A89" s="0" t="s">
        <v>250</v>
      </c>
      <c r="B89" s="0" t="s">
        <v>251</v>
      </c>
      <c r="C89" s="0" t="s">
        <v>15</v>
      </c>
      <c r="D89" s="0" t="s">
        <v>19</v>
      </c>
    </row>
    <row r="90" customFormat="false" ht="13.8" hidden="false" customHeight="false" outlineLevel="0" collapsed="false">
      <c r="A90" s="0" t="s">
        <v>253</v>
      </c>
      <c r="B90" s="0" t="s">
        <v>254</v>
      </c>
      <c r="C90" s="0" t="s">
        <v>15</v>
      </c>
      <c r="D90" s="0" t="s">
        <v>19</v>
      </c>
    </row>
    <row r="91" customFormat="false" ht="13.8" hidden="false" customHeight="false" outlineLevel="0" collapsed="false">
      <c r="A91" s="0" t="s">
        <v>255</v>
      </c>
      <c r="B91" s="0" t="s">
        <v>256</v>
      </c>
      <c r="C91" s="0" t="s">
        <v>15</v>
      </c>
      <c r="D91" s="0" t="s">
        <v>19</v>
      </c>
    </row>
    <row r="92" customFormat="false" ht="13.8" hidden="false" customHeight="false" outlineLevel="0" collapsed="false">
      <c r="A92" s="0" t="s">
        <v>257</v>
      </c>
      <c r="B92" s="0" t="s">
        <v>258</v>
      </c>
      <c r="C92" s="0" t="s">
        <v>15</v>
      </c>
      <c r="D92" s="0" t="s">
        <v>19</v>
      </c>
    </row>
    <row r="93" customFormat="false" ht="13.8" hidden="false" customHeight="false" outlineLevel="0" collapsed="false">
      <c r="A93" s="0" t="s">
        <v>259</v>
      </c>
      <c r="B93" s="0" t="s">
        <v>260</v>
      </c>
      <c r="C93" s="0" t="s">
        <v>15</v>
      </c>
      <c r="D93" s="0" t="s">
        <v>19</v>
      </c>
    </row>
    <row r="94" customFormat="false" ht="13.8" hidden="false" customHeight="false" outlineLevel="0" collapsed="false">
      <c r="A94" s="0" t="s">
        <v>261</v>
      </c>
      <c r="B94" s="0" t="s">
        <v>262</v>
      </c>
      <c r="C94" s="0" t="s">
        <v>15</v>
      </c>
      <c r="D94" s="0" t="s">
        <v>19</v>
      </c>
    </row>
    <row r="95" customFormat="false" ht="13.8" hidden="false" customHeight="false" outlineLevel="0" collapsed="false">
      <c r="A95" s="0" t="s">
        <v>264</v>
      </c>
      <c r="B95" s="0" t="s">
        <v>265</v>
      </c>
      <c r="C95" s="0" t="s">
        <v>15</v>
      </c>
      <c r="D95" s="0" t="s">
        <v>266</v>
      </c>
    </row>
    <row r="96" customFormat="false" ht="13.8" hidden="false" customHeight="false" outlineLevel="0" collapsed="false">
      <c r="A96" s="0" t="s">
        <v>268</v>
      </c>
      <c r="B96" s="0" t="s">
        <v>269</v>
      </c>
      <c r="C96" s="0" t="s">
        <v>15</v>
      </c>
      <c r="D96" s="0" t="s">
        <v>19</v>
      </c>
    </row>
    <row r="97" customFormat="false" ht="13.8" hidden="false" customHeight="false" outlineLevel="0" collapsed="false">
      <c r="A97" s="0" t="s">
        <v>271</v>
      </c>
      <c r="B97" s="0" t="s">
        <v>272</v>
      </c>
      <c r="C97" s="0" t="s">
        <v>15</v>
      </c>
      <c r="D97" s="0" t="s">
        <v>19</v>
      </c>
    </row>
    <row r="98" customFormat="false" ht="13.8" hidden="false" customHeight="false" outlineLevel="0" collapsed="false">
      <c r="A98" s="0" t="s">
        <v>274</v>
      </c>
      <c r="B98" s="0" t="s">
        <v>275</v>
      </c>
      <c r="C98" s="0" t="s">
        <v>15</v>
      </c>
      <c r="D98" s="0" t="s">
        <v>19</v>
      </c>
    </row>
    <row r="99" customFormat="false" ht="13.8" hidden="false" customHeight="false" outlineLevel="0" collapsed="false">
      <c r="A99" s="0" t="s">
        <v>277</v>
      </c>
      <c r="B99" s="0" t="s">
        <v>278</v>
      </c>
      <c r="C99" s="0" t="s">
        <v>31</v>
      </c>
      <c r="D99" s="0" t="s">
        <v>279</v>
      </c>
    </row>
    <row r="100" customFormat="false" ht="13.8" hidden="false" customHeight="false" outlineLevel="0" collapsed="false">
      <c r="A100" s="0" t="s">
        <v>281</v>
      </c>
      <c r="B100" s="0" t="s">
        <v>282</v>
      </c>
      <c r="C100" s="0" t="s">
        <v>31</v>
      </c>
      <c r="D100" s="0" t="s">
        <v>19</v>
      </c>
    </row>
    <row r="101" customFormat="false" ht="13.8" hidden="false" customHeight="false" outlineLevel="0" collapsed="false">
      <c r="A101" s="0" t="s">
        <v>285</v>
      </c>
      <c r="B101" s="0" t="s">
        <v>286</v>
      </c>
      <c r="C101" s="0" t="s">
        <v>15</v>
      </c>
      <c r="D101" s="0" t="s">
        <v>19</v>
      </c>
    </row>
    <row r="102" customFormat="false" ht="13.8" hidden="false" customHeight="false" outlineLevel="0" collapsed="false">
      <c r="A102" s="0" t="s">
        <v>288</v>
      </c>
      <c r="B102" s="0" t="s">
        <v>289</v>
      </c>
      <c r="C102" s="0" t="s">
        <v>15</v>
      </c>
      <c r="D102" s="0" t="s">
        <v>19</v>
      </c>
    </row>
    <row r="103" customFormat="false" ht="13.8" hidden="false" customHeight="false" outlineLevel="0" collapsed="false">
      <c r="A103" s="0" t="s">
        <v>291</v>
      </c>
      <c r="B103" s="0" t="s">
        <v>292</v>
      </c>
      <c r="C103" s="0" t="s">
        <v>15</v>
      </c>
      <c r="D103" s="0" t="s">
        <v>19</v>
      </c>
    </row>
    <row r="104" customFormat="false" ht="13.8" hidden="false" customHeight="false" outlineLevel="0" collapsed="false">
      <c r="A104" s="0" t="s">
        <v>293</v>
      </c>
      <c r="B104" s="0" t="s">
        <v>294</v>
      </c>
      <c r="C104" s="0" t="s">
        <v>15</v>
      </c>
      <c r="D104" s="0" t="s">
        <v>19</v>
      </c>
    </row>
    <row r="105" customFormat="false" ht="13.8" hidden="false" customHeight="false" outlineLevel="0" collapsed="false">
      <c r="A105" s="0" t="s">
        <v>295</v>
      </c>
      <c r="B105" s="0" t="s">
        <v>296</v>
      </c>
      <c r="C105" s="0" t="s">
        <v>15</v>
      </c>
      <c r="D105" s="0" t="s">
        <v>19</v>
      </c>
    </row>
    <row r="106" customFormat="false" ht="13.8" hidden="false" customHeight="false" outlineLevel="0" collapsed="false">
      <c r="A106" s="0" t="s">
        <v>298</v>
      </c>
      <c r="B106" s="0" t="s">
        <v>299</v>
      </c>
      <c r="C106" s="0" t="s">
        <v>15</v>
      </c>
      <c r="D106" s="0" t="s">
        <v>19</v>
      </c>
    </row>
    <row r="107" customFormat="false" ht="13.8" hidden="false" customHeight="false" outlineLevel="0" collapsed="false">
      <c r="A107" s="0" t="s">
        <v>301</v>
      </c>
      <c r="B107" s="0" t="s">
        <v>302</v>
      </c>
      <c r="C107" s="0" t="s">
        <v>15</v>
      </c>
      <c r="D107" s="0" t="s">
        <v>19</v>
      </c>
    </row>
    <row r="108" customFormat="false" ht="13.8" hidden="false" customHeight="false" outlineLevel="0" collapsed="false">
      <c r="A108" s="0" t="s">
        <v>303</v>
      </c>
      <c r="B108" s="0" t="s">
        <v>304</v>
      </c>
      <c r="C108" s="0" t="s">
        <v>15</v>
      </c>
      <c r="D108" s="0" t="s">
        <v>19</v>
      </c>
    </row>
    <row r="109" customFormat="false" ht="13.8" hidden="false" customHeight="false" outlineLevel="0" collapsed="false">
      <c r="A109" s="0" t="s">
        <v>305</v>
      </c>
      <c r="B109" s="0" t="s">
        <v>306</v>
      </c>
      <c r="C109" s="0" t="s">
        <v>15</v>
      </c>
      <c r="D109" s="0" t="s">
        <v>19</v>
      </c>
    </row>
    <row r="110" customFormat="false" ht="13.8" hidden="false" customHeight="false" outlineLevel="0" collapsed="false">
      <c r="A110" s="0" t="s">
        <v>308</v>
      </c>
      <c r="B110" s="0" t="s">
        <v>309</v>
      </c>
      <c r="C110" s="0" t="s">
        <v>15</v>
      </c>
      <c r="D110" s="0" t="s">
        <v>19</v>
      </c>
    </row>
    <row r="111" customFormat="false" ht="13.8" hidden="false" customHeight="false" outlineLevel="0" collapsed="false">
      <c r="A111" s="0" t="s">
        <v>310</v>
      </c>
      <c r="B111" s="0" t="s">
        <v>311</v>
      </c>
      <c r="C111" s="0" t="s">
        <v>15</v>
      </c>
      <c r="D111" s="0" t="s">
        <v>19</v>
      </c>
    </row>
    <row r="112" customFormat="false" ht="13.8" hidden="false" customHeight="false" outlineLevel="0" collapsed="false">
      <c r="A112" s="0" t="s">
        <v>313</v>
      </c>
      <c r="B112" s="0" t="s">
        <v>314</v>
      </c>
      <c r="C112" s="0" t="s">
        <v>15</v>
      </c>
      <c r="D112" s="0" t="s">
        <v>19</v>
      </c>
    </row>
    <row r="113" customFormat="false" ht="13.8" hidden="false" customHeight="false" outlineLevel="0" collapsed="false">
      <c r="A113" s="0" t="s">
        <v>315</v>
      </c>
      <c r="B113" s="0" t="s">
        <v>316</v>
      </c>
      <c r="C113" s="0" t="s">
        <v>15</v>
      </c>
      <c r="D113" s="0" t="s">
        <v>19</v>
      </c>
    </row>
    <row r="114" customFormat="false" ht="13.8" hidden="false" customHeight="false" outlineLevel="0" collapsed="false">
      <c r="A114" s="0" t="s">
        <v>318</v>
      </c>
      <c r="B114" s="0" t="s">
        <v>256</v>
      </c>
      <c r="C114" s="0" t="s">
        <v>15</v>
      </c>
      <c r="D114" s="0" t="s">
        <v>19</v>
      </c>
    </row>
    <row r="115" customFormat="false" ht="13.8" hidden="false" customHeight="false" outlineLevel="0" collapsed="false">
      <c r="A115" s="0" t="s">
        <v>319</v>
      </c>
      <c r="B115" s="0" t="s">
        <v>320</v>
      </c>
      <c r="C115" s="0" t="s">
        <v>15</v>
      </c>
      <c r="D115" s="0" t="s">
        <v>19</v>
      </c>
    </row>
    <row r="116" customFormat="false" ht="13.8" hidden="false" customHeight="false" outlineLevel="0" collapsed="false">
      <c r="A116" s="0" t="s">
        <v>321</v>
      </c>
      <c r="B116" s="0" t="s">
        <v>322</v>
      </c>
      <c r="C116" s="0" t="s">
        <v>15</v>
      </c>
      <c r="D116" s="0" t="s">
        <v>19</v>
      </c>
    </row>
    <row r="117" customFormat="false" ht="13.8" hidden="false" customHeight="false" outlineLevel="0" collapsed="false">
      <c r="A117" s="0" t="s">
        <v>323</v>
      </c>
      <c r="B117" s="0" t="s">
        <v>324</v>
      </c>
      <c r="C117" s="0" t="s">
        <v>15</v>
      </c>
      <c r="D117" s="0" t="s">
        <v>19</v>
      </c>
    </row>
    <row r="118" customFormat="false" ht="13.8" hidden="false" customHeight="false" outlineLevel="0" collapsed="false">
      <c r="A118" s="0" t="s">
        <v>325</v>
      </c>
      <c r="B118" s="0" t="s">
        <v>326</v>
      </c>
      <c r="C118" s="0" t="s">
        <v>15</v>
      </c>
      <c r="D118" s="0" t="s">
        <v>19</v>
      </c>
    </row>
    <row r="119" customFormat="false" ht="13.8" hidden="false" customHeight="false" outlineLevel="0" collapsed="false">
      <c r="A119" s="0" t="s">
        <v>328</v>
      </c>
      <c r="B119" s="0" t="s">
        <v>329</v>
      </c>
      <c r="C119" s="0" t="s">
        <v>15</v>
      </c>
      <c r="D119" s="0" t="s">
        <v>19</v>
      </c>
    </row>
    <row r="120" customFormat="false" ht="13.8" hidden="false" customHeight="false" outlineLevel="0" collapsed="false">
      <c r="A120" s="0" t="s">
        <v>330</v>
      </c>
      <c r="B120" s="0" t="s">
        <v>331</v>
      </c>
      <c r="C120" s="0" t="s">
        <v>15</v>
      </c>
      <c r="D120" s="0" t="s">
        <v>19</v>
      </c>
    </row>
    <row r="121" customFormat="false" ht="13.8" hidden="false" customHeight="false" outlineLevel="0" collapsed="false">
      <c r="A121" s="0" t="s">
        <v>332</v>
      </c>
      <c r="B121" s="0" t="s">
        <v>333</v>
      </c>
      <c r="C121" s="0" t="s">
        <v>15</v>
      </c>
      <c r="D121" s="0" t="s">
        <v>19</v>
      </c>
    </row>
    <row r="122" customFormat="false" ht="13.8" hidden="false" customHeight="false" outlineLevel="0" collapsed="false">
      <c r="A122" s="0" t="s">
        <v>334</v>
      </c>
      <c r="B122" s="0" t="s">
        <v>335</v>
      </c>
      <c r="C122" s="0" t="s">
        <v>15</v>
      </c>
      <c r="D122" s="0" t="s">
        <v>19</v>
      </c>
    </row>
    <row r="123" customFormat="false" ht="13.8" hidden="false" customHeight="false" outlineLevel="0" collapsed="false">
      <c r="A123" s="0" t="s">
        <v>336</v>
      </c>
      <c r="B123" s="0" t="s">
        <v>337</v>
      </c>
      <c r="C123" s="0" t="s">
        <v>15</v>
      </c>
      <c r="D123" s="0" t="s">
        <v>19</v>
      </c>
    </row>
    <row r="124" customFormat="false" ht="13.8" hidden="false" customHeight="false" outlineLevel="0" collapsed="false">
      <c r="A124" s="0" t="s">
        <v>338</v>
      </c>
      <c r="B124" s="0" t="s">
        <v>339</v>
      </c>
      <c r="C124" s="0" t="s">
        <v>15</v>
      </c>
      <c r="D124" s="0" t="s">
        <v>19</v>
      </c>
    </row>
    <row r="125" customFormat="false" ht="13.8" hidden="false" customHeight="false" outlineLevel="0" collapsed="false">
      <c r="A125" s="0" t="s">
        <v>340</v>
      </c>
      <c r="B125" s="0" t="s">
        <v>341</v>
      </c>
      <c r="C125" s="0" t="s">
        <v>15</v>
      </c>
      <c r="D125" s="0" t="s">
        <v>19</v>
      </c>
    </row>
    <row r="126" customFormat="false" ht="13.8" hidden="false" customHeight="false" outlineLevel="0" collapsed="false">
      <c r="A126" s="0" t="s">
        <v>343</v>
      </c>
      <c r="B126" s="0" t="s">
        <v>344</v>
      </c>
      <c r="C126" s="0" t="s">
        <v>15</v>
      </c>
      <c r="D126" s="0" t="s">
        <v>19</v>
      </c>
    </row>
    <row r="127" customFormat="false" ht="13.8" hidden="false" customHeight="false" outlineLevel="0" collapsed="false">
      <c r="A127" s="0" t="s">
        <v>346</v>
      </c>
      <c r="B127" s="0" t="s">
        <v>347</v>
      </c>
      <c r="C127" s="0" t="s">
        <v>15</v>
      </c>
      <c r="D127" s="0" t="s">
        <v>19</v>
      </c>
    </row>
    <row r="128" customFormat="false" ht="13.8" hidden="false" customHeight="false" outlineLevel="0" collapsed="false">
      <c r="A128" s="0" t="s">
        <v>349</v>
      </c>
      <c r="B128" s="0" t="s">
        <v>350</v>
      </c>
      <c r="C128" s="0" t="s">
        <v>15</v>
      </c>
      <c r="D128" s="0" t="s">
        <v>19</v>
      </c>
    </row>
    <row r="129" customFormat="false" ht="13.8" hidden="false" customHeight="false" outlineLevel="0" collapsed="false">
      <c r="A129" s="0" t="s">
        <v>352</v>
      </c>
      <c r="B129" s="0" t="s">
        <v>353</v>
      </c>
      <c r="C129" s="0" t="s">
        <v>15</v>
      </c>
      <c r="D129" s="0" t="s">
        <v>19</v>
      </c>
    </row>
    <row r="130" customFormat="false" ht="13.8" hidden="false" customHeight="false" outlineLevel="0" collapsed="false">
      <c r="A130" s="0" t="s">
        <v>354</v>
      </c>
      <c r="B130" s="0" t="s">
        <v>355</v>
      </c>
      <c r="C130" s="0" t="s">
        <v>15</v>
      </c>
      <c r="D130" s="0" t="s">
        <v>19</v>
      </c>
    </row>
    <row r="131" customFormat="false" ht="13.8" hidden="false" customHeight="false" outlineLevel="0" collapsed="false">
      <c r="A131" s="0" t="s">
        <v>357</v>
      </c>
      <c r="B131" s="0" t="s">
        <v>358</v>
      </c>
      <c r="C131" s="0" t="s">
        <v>15</v>
      </c>
      <c r="D131" s="0" t="s">
        <v>19</v>
      </c>
    </row>
    <row r="132" customFormat="false" ht="13.8" hidden="false" customHeight="false" outlineLevel="0" collapsed="false">
      <c r="A132" s="0" t="s">
        <v>359</v>
      </c>
      <c r="B132" s="0" t="s">
        <v>360</v>
      </c>
      <c r="C132" s="0" t="s">
        <v>15</v>
      </c>
      <c r="D132" s="0" t="s">
        <v>19</v>
      </c>
    </row>
    <row r="133" customFormat="false" ht="13.8" hidden="false" customHeight="false" outlineLevel="0" collapsed="false">
      <c r="A133" s="0" t="s">
        <v>362</v>
      </c>
      <c r="B133" s="0" t="s">
        <v>363</v>
      </c>
      <c r="C133" s="0" t="s">
        <v>15</v>
      </c>
      <c r="D133" s="0" t="s">
        <v>19</v>
      </c>
    </row>
    <row r="134" customFormat="false" ht="13.8" hidden="false" customHeight="false" outlineLevel="0" collapsed="false">
      <c r="A134" s="0" t="s">
        <v>93</v>
      </c>
      <c r="B134" s="0" t="s">
        <v>364</v>
      </c>
      <c r="C134" s="0" t="s">
        <v>15</v>
      </c>
      <c r="D134" s="0" t="s">
        <v>19</v>
      </c>
    </row>
    <row r="135" customFormat="false" ht="13.8" hidden="false" customHeight="false" outlineLevel="0" collapsed="false">
      <c r="A135" s="0" t="s">
        <v>366</v>
      </c>
      <c r="B135" s="0" t="s">
        <v>367</v>
      </c>
      <c r="C135" s="0" t="s">
        <v>15</v>
      </c>
      <c r="D135" s="0" t="s">
        <v>19</v>
      </c>
    </row>
    <row r="136" customFormat="false" ht="13.8" hidden="false" customHeight="false" outlineLevel="0" collapsed="false">
      <c r="A136" s="0" t="s">
        <v>368</v>
      </c>
      <c r="B136" s="0" t="s">
        <v>369</v>
      </c>
      <c r="C136" s="0" t="s">
        <v>15</v>
      </c>
      <c r="D136" s="0" t="s">
        <v>19</v>
      </c>
    </row>
    <row r="137" customFormat="false" ht="13.8" hidden="false" customHeight="false" outlineLevel="0" collapsed="false">
      <c r="A137" s="0" t="s">
        <v>371</v>
      </c>
      <c r="B137" s="0" t="s">
        <v>372</v>
      </c>
      <c r="C137" s="0" t="s">
        <v>15</v>
      </c>
      <c r="D137" s="0" t="s">
        <v>19</v>
      </c>
    </row>
    <row r="138" customFormat="false" ht="13.8" hidden="false" customHeight="false" outlineLevel="0" collapsed="false">
      <c r="A138" s="0" t="s">
        <v>373</v>
      </c>
      <c r="B138" s="0" t="s">
        <v>374</v>
      </c>
      <c r="C138" s="0" t="s">
        <v>15</v>
      </c>
      <c r="D138" s="0" t="s">
        <v>19</v>
      </c>
    </row>
    <row r="139" customFormat="false" ht="13.8" hidden="false" customHeight="false" outlineLevel="0" collapsed="false">
      <c r="A139" s="0" t="s">
        <v>375</v>
      </c>
      <c r="B139" s="0" t="s">
        <v>376</v>
      </c>
      <c r="C139" s="0" t="s">
        <v>15</v>
      </c>
      <c r="D139" s="0" t="s">
        <v>19</v>
      </c>
    </row>
    <row r="140" customFormat="false" ht="13.8" hidden="false" customHeight="false" outlineLevel="0" collapsed="false">
      <c r="A140" s="0" t="s">
        <v>378</v>
      </c>
      <c r="B140" s="0" t="s">
        <v>379</v>
      </c>
      <c r="C140" s="0" t="s">
        <v>15</v>
      </c>
      <c r="D140" s="0" t="s">
        <v>19</v>
      </c>
    </row>
    <row r="141" customFormat="false" ht="13.8" hidden="false" customHeight="false" outlineLevel="0" collapsed="false">
      <c r="A141" s="0" t="s">
        <v>380</v>
      </c>
      <c r="B141" s="0" t="s">
        <v>381</v>
      </c>
      <c r="C141" s="0" t="s">
        <v>15</v>
      </c>
      <c r="D141" s="0" t="s">
        <v>19</v>
      </c>
    </row>
    <row r="142" customFormat="false" ht="13.8" hidden="false" customHeight="false" outlineLevel="0" collapsed="false">
      <c r="A142" s="0" t="s">
        <v>382</v>
      </c>
      <c r="B142" s="0" t="s">
        <v>383</v>
      </c>
      <c r="C142" s="0" t="s">
        <v>15</v>
      </c>
      <c r="D142" s="0" t="s">
        <v>19</v>
      </c>
    </row>
    <row r="143" customFormat="false" ht="13.8" hidden="false" customHeight="false" outlineLevel="0" collapsed="false">
      <c r="A143" s="0" t="s">
        <v>384</v>
      </c>
      <c r="B143" s="0" t="s">
        <v>385</v>
      </c>
      <c r="C143" s="0" t="s">
        <v>15</v>
      </c>
      <c r="D143" s="0" t="s">
        <v>24</v>
      </c>
    </row>
    <row r="144" customFormat="false" ht="13.8" hidden="false" customHeight="false" outlineLevel="0" collapsed="false">
      <c r="A144" s="0" t="s">
        <v>386</v>
      </c>
      <c r="B144" s="0" t="s">
        <v>387</v>
      </c>
      <c r="C144" s="0" t="s">
        <v>15</v>
      </c>
      <c r="D144" s="0" t="s">
        <v>19</v>
      </c>
    </row>
    <row r="145" customFormat="false" ht="13.8" hidden="false" customHeight="false" outlineLevel="0" collapsed="false">
      <c r="A145" s="0" t="s">
        <v>388</v>
      </c>
      <c r="B145" s="0" t="s">
        <v>389</v>
      </c>
      <c r="C145" s="0" t="s">
        <v>15</v>
      </c>
      <c r="D145" s="0" t="s">
        <v>19</v>
      </c>
    </row>
    <row r="146" customFormat="false" ht="13.8" hidden="false" customHeight="false" outlineLevel="0" collapsed="false">
      <c r="A146" s="0" t="s">
        <v>391</v>
      </c>
      <c r="B146" s="0" t="s">
        <v>392</v>
      </c>
      <c r="C146" s="0" t="s">
        <v>15</v>
      </c>
      <c r="D146" s="0" t="s">
        <v>19</v>
      </c>
    </row>
    <row r="147" customFormat="false" ht="13.8" hidden="false" customHeight="false" outlineLevel="0" collapsed="false">
      <c r="A147" s="0" t="s">
        <v>393</v>
      </c>
      <c r="B147" s="0" t="s">
        <v>394</v>
      </c>
      <c r="C147" s="0" t="s">
        <v>15</v>
      </c>
      <c r="D147" s="0" t="s">
        <v>19</v>
      </c>
    </row>
    <row r="148" customFormat="false" ht="13.8" hidden="false" customHeight="false" outlineLevel="0" collapsed="false">
      <c r="A148" s="0" t="s">
        <v>395</v>
      </c>
      <c r="B148" s="0" t="s">
        <v>396</v>
      </c>
      <c r="C148" s="0" t="s">
        <v>15</v>
      </c>
      <c r="D148" s="0" t="s">
        <v>19</v>
      </c>
    </row>
    <row r="149" customFormat="false" ht="13.8" hidden="false" customHeight="false" outlineLevel="0" collapsed="false">
      <c r="A149" s="0" t="s">
        <v>397</v>
      </c>
      <c r="B149" s="0" t="s">
        <v>372</v>
      </c>
      <c r="C149" s="0" t="s">
        <v>15</v>
      </c>
      <c r="D149" s="0" t="s">
        <v>19</v>
      </c>
    </row>
    <row r="150" customFormat="false" ht="13.8" hidden="false" customHeight="false" outlineLevel="0" collapsed="false">
      <c r="A150" s="0" t="s">
        <v>398</v>
      </c>
      <c r="B150" s="0" t="s">
        <v>399</v>
      </c>
      <c r="C150" s="0" t="s">
        <v>15</v>
      </c>
      <c r="D150" s="0" t="s">
        <v>19</v>
      </c>
    </row>
    <row r="151" customFormat="false" ht="13.8" hidden="false" customHeight="false" outlineLevel="0" collapsed="false">
      <c r="A151" s="0" t="s">
        <v>401</v>
      </c>
      <c r="B151" s="0" t="s">
        <v>402</v>
      </c>
      <c r="C151" s="0" t="s">
        <v>15</v>
      </c>
      <c r="D151" s="0" t="s">
        <v>19</v>
      </c>
    </row>
    <row r="152" customFormat="false" ht="13.8" hidden="false" customHeight="false" outlineLevel="0" collapsed="false">
      <c r="A152" s="0" t="s">
        <v>403</v>
      </c>
      <c r="B152" s="0" t="s">
        <v>404</v>
      </c>
      <c r="C152" s="0" t="s">
        <v>15</v>
      </c>
      <c r="D152" s="0" t="s">
        <v>19</v>
      </c>
    </row>
    <row r="153" customFormat="false" ht="13.8" hidden="false" customHeight="false" outlineLevel="0" collapsed="false">
      <c r="A153" s="0" t="s">
        <v>405</v>
      </c>
      <c r="B153" s="0" t="s">
        <v>406</v>
      </c>
      <c r="C153" s="0" t="s">
        <v>15</v>
      </c>
      <c r="D153" s="0" t="s">
        <v>19</v>
      </c>
    </row>
    <row r="154" customFormat="false" ht="13.8" hidden="false" customHeight="false" outlineLevel="0" collapsed="false">
      <c r="A154" s="0" t="s">
        <v>408</v>
      </c>
      <c r="B154" s="0" t="s">
        <v>409</v>
      </c>
      <c r="C154" s="0" t="s">
        <v>15</v>
      </c>
      <c r="D154" s="0" t="s">
        <v>19</v>
      </c>
    </row>
    <row r="155" customFormat="false" ht="13.8" hidden="false" customHeight="false" outlineLevel="0" collapsed="false">
      <c r="A155" s="0" t="s">
        <v>411</v>
      </c>
      <c r="B155" s="0" t="s">
        <v>412</v>
      </c>
      <c r="C155" s="0" t="s">
        <v>31</v>
      </c>
      <c r="D155" s="0" t="s">
        <v>413</v>
      </c>
    </row>
    <row r="156" customFormat="false" ht="13.8" hidden="false" customHeight="false" outlineLevel="0" collapsed="false">
      <c r="A156" s="0" t="s">
        <v>414</v>
      </c>
      <c r="B156" s="0" t="s">
        <v>415</v>
      </c>
      <c r="C156" s="0" t="s">
        <v>15</v>
      </c>
      <c r="D156" s="0" t="s">
        <v>19</v>
      </c>
    </row>
    <row r="157" customFormat="false" ht="13.8" hidden="false" customHeight="false" outlineLevel="0" collapsed="false">
      <c r="A157" s="0" t="s">
        <v>416</v>
      </c>
      <c r="B157" s="0" t="s">
        <v>417</v>
      </c>
      <c r="C157" s="0" t="s">
        <v>15</v>
      </c>
      <c r="D157" s="0" t="s">
        <v>19</v>
      </c>
    </row>
    <row r="158" customFormat="false" ht="13.8" hidden="false" customHeight="false" outlineLevel="0" collapsed="false">
      <c r="A158" s="0" t="s">
        <v>418</v>
      </c>
      <c r="B158" s="0" t="s">
        <v>419</v>
      </c>
      <c r="C158" s="0" t="s">
        <v>31</v>
      </c>
      <c r="D158" s="0" t="s">
        <v>19</v>
      </c>
    </row>
    <row r="159" customFormat="false" ht="13.8" hidden="false" customHeight="false" outlineLevel="0" collapsed="false">
      <c r="A159" s="0" t="s">
        <v>421</v>
      </c>
      <c r="B159" s="0" t="s">
        <v>422</v>
      </c>
      <c r="C159" s="0" t="s">
        <v>15</v>
      </c>
      <c r="D159" s="0" t="s">
        <v>19</v>
      </c>
    </row>
    <row r="160" customFormat="false" ht="13.8" hidden="false" customHeight="false" outlineLevel="0" collapsed="false">
      <c r="A160" s="0" t="s">
        <v>423</v>
      </c>
      <c r="B160" s="0" t="s">
        <v>424</v>
      </c>
      <c r="C160" s="0" t="s">
        <v>15</v>
      </c>
      <c r="D160" s="0" t="s">
        <v>19</v>
      </c>
    </row>
    <row r="161" customFormat="false" ht="13.8" hidden="false" customHeight="false" outlineLevel="0" collapsed="false">
      <c r="A161" s="0" t="s">
        <v>426</v>
      </c>
      <c r="B161" s="0" t="s">
        <v>427</v>
      </c>
      <c r="C161" s="0" t="s">
        <v>15</v>
      </c>
      <c r="D161" s="0" t="s">
        <v>19</v>
      </c>
    </row>
    <row r="162" customFormat="false" ht="13.8" hidden="false" customHeight="false" outlineLevel="0" collapsed="false">
      <c r="A162" s="0" t="s">
        <v>428</v>
      </c>
      <c r="B162" s="0" t="s">
        <v>429</v>
      </c>
      <c r="C162" s="0" t="s">
        <v>15</v>
      </c>
      <c r="D162" s="0" t="s">
        <v>19</v>
      </c>
    </row>
    <row r="163" customFormat="false" ht="13.8" hidden="false" customHeight="false" outlineLevel="0" collapsed="false">
      <c r="A163" s="0" t="s">
        <v>430</v>
      </c>
      <c r="B163" s="0" t="s">
        <v>431</v>
      </c>
      <c r="C163" s="0" t="s">
        <v>15</v>
      </c>
      <c r="D163" s="0" t="s">
        <v>19</v>
      </c>
    </row>
    <row r="164" customFormat="false" ht="13.8" hidden="false" customHeight="false" outlineLevel="0" collapsed="false">
      <c r="A164" s="0" t="s">
        <v>432</v>
      </c>
      <c r="B164" s="0" t="s">
        <v>433</v>
      </c>
      <c r="C164" s="0" t="s">
        <v>15</v>
      </c>
      <c r="D164" s="0" t="s">
        <v>19</v>
      </c>
    </row>
    <row r="165" customFormat="false" ht="13.8" hidden="false" customHeight="false" outlineLevel="0" collapsed="false">
      <c r="A165" s="0" t="s">
        <v>434</v>
      </c>
      <c r="B165" s="0" t="s">
        <v>435</v>
      </c>
      <c r="C165" s="0" t="s">
        <v>15</v>
      </c>
      <c r="D165" s="0" t="s">
        <v>19</v>
      </c>
    </row>
    <row r="166" customFormat="false" ht="13.8" hidden="false" customHeight="false" outlineLevel="0" collapsed="false">
      <c r="A166" s="0" t="s">
        <v>436</v>
      </c>
      <c r="B166" s="0" t="s">
        <v>437</v>
      </c>
      <c r="C166" s="0" t="s">
        <v>15</v>
      </c>
      <c r="D166" s="0" t="s">
        <v>19</v>
      </c>
    </row>
    <row r="167" customFormat="false" ht="13.8" hidden="false" customHeight="false" outlineLevel="0" collapsed="false">
      <c r="A167" s="0" t="s">
        <v>438</v>
      </c>
      <c r="B167" s="0" t="s">
        <v>439</v>
      </c>
      <c r="C167" s="0" t="s">
        <v>15</v>
      </c>
      <c r="D167" s="0" t="s">
        <v>19</v>
      </c>
    </row>
    <row r="168" customFormat="false" ht="13.8" hidden="false" customHeight="false" outlineLevel="0" collapsed="false">
      <c r="A168" s="0" t="s">
        <v>440</v>
      </c>
      <c r="B168" s="0" t="s">
        <v>441</v>
      </c>
      <c r="C168" s="0" t="s">
        <v>15</v>
      </c>
      <c r="D168" s="0" t="s">
        <v>19</v>
      </c>
    </row>
    <row r="169" customFormat="false" ht="13.8" hidden="false" customHeight="false" outlineLevel="0" collapsed="false">
      <c r="A169" s="0" t="s">
        <v>442</v>
      </c>
      <c r="B169" s="0" t="s">
        <v>443</v>
      </c>
      <c r="C169" s="0" t="s">
        <v>31</v>
      </c>
      <c r="D169" s="0" t="s">
        <v>19</v>
      </c>
    </row>
    <row r="170" customFormat="false" ht="13.8" hidden="false" customHeight="false" outlineLevel="0" collapsed="false">
      <c r="A170" s="0" t="s">
        <v>445</v>
      </c>
      <c r="B170" s="0" t="s">
        <v>446</v>
      </c>
      <c r="C170" s="0" t="s">
        <v>15</v>
      </c>
      <c r="D170" s="0" t="s">
        <v>19</v>
      </c>
    </row>
    <row r="171" customFormat="false" ht="13.8" hidden="false" customHeight="false" outlineLevel="0" collapsed="false">
      <c r="A171" s="0" t="s">
        <v>447</v>
      </c>
      <c r="B171" s="0" t="s">
        <v>448</v>
      </c>
      <c r="C171" s="0" t="s">
        <v>31</v>
      </c>
      <c r="D171" s="0" t="s">
        <v>19</v>
      </c>
    </row>
    <row r="172" customFormat="false" ht="13.8" hidden="false" customHeight="false" outlineLevel="0" collapsed="false">
      <c r="A172" s="0" t="s">
        <v>451</v>
      </c>
      <c r="B172" s="0" t="s">
        <v>452</v>
      </c>
      <c r="C172" s="0" t="s">
        <v>15</v>
      </c>
      <c r="D172" s="0" t="s">
        <v>19</v>
      </c>
    </row>
    <row r="173" customFormat="false" ht="13.8" hidden="false" customHeight="false" outlineLevel="0" collapsed="false">
      <c r="A173" s="0" t="s">
        <v>453</v>
      </c>
      <c r="B173" s="0" t="s">
        <v>454</v>
      </c>
      <c r="C173" s="0" t="s">
        <v>15</v>
      </c>
      <c r="D173" s="0" t="s">
        <v>19</v>
      </c>
    </row>
    <row r="174" customFormat="false" ht="13.8" hidden="false" customHeight="false" outlineLevel="0" collapsed="false">
      <c r="A174" s="0" t="s">
        <v>456</v>
      </c>
      <c r="B174" s="0" t="s">
        <v>457</v>
      </c>
      <c r="C174" s="0" t="s">
        <v>15</v>
      </c>
      <c r="D174" s="0" t="s">
        <v>19</v>
      </c>
    </row>
    <row r="175" customFormat="false" ht="13.8" hidden="false" customHeight="false" outlineLevel="0" collapsed="false">
      <c r="A175" s="0" t="s">
        <v>458</v>
      </c>
      <c r="B175" s="0" t="s">
        <v>459</v>
      </c>
      <c r="C175" s="0" t="s">
        <v>15</v>
      </c>
      <c r="D175" s="0" t="s">
        <v>19</v>
      </c>
    </row>
    <row r="176" customFormat="false" ht="13.8" hidden="false" customHeight="false" outlineLevel="0" collapsed="false">
      <c r="A176" s="0" t="s">
        <v>460</v>
      </c>
      <c r="B176" s="0" t="s">
        <v>461</v>
      </c>
      <c r="C176" s="0" t="s">
        <v>15</v>
      </c>
      <c r="D176" s="0" t="s">
        <v>19</v>
      </c>
    </row>
    <row r="177" customFormat="false" ht="13.8" hidden="false" customHeight="false" outlineLevel="0" collapsed="false">
      <c r="A177" s="0" t="s">
        <v>462</v>
      </c>
      <c r="B177" s="0" t="s">
        <v>463</v>
      </c>
      <c r="C177" s="0" t="s">
        <v>15</v>
      </c>
      <c r="D177" s="0" t="s">
        <v>19</v>
      </c>
    </row>
    <row r="178" customFormat="false" ht="13.8" hidden="false" customHeight="false" outlineLevel="0" collapsed="false">
      <c r="A178" s="0" t="s">
        <v>464</v>
      </c>
      <c r="B178" s="0" t="s">
        <v>465</v>
      </c>
      <c r="C178" s="0" t="s">
        <v>15</v>
      </c>
      <c r="D178" s="0" t="s">
        <v>19</v>
      </c>
    </row>
    <row r="179" customFormat="false" ht="13.8" hidden="false" customHeight="false" outlineLevel="0" collapsed="false">
      <c r="A179" s="0" t="s">
        <v>466</v>
      </c>
      <c r="B179" s="0" t="s">
        <v>467</v>
      </c>
      <c r="C179" s="0" t="s">
        <v>15</v>
      </c>
      <c r="D179" s="0" t="s">
        <v>19</v>
      </c>
    </row>
    <row r="180" customFormat="false" ht="13.8" hidden="false" customHeight="false" outlineLevel="0" collapsed="false">
      <c r="A180" s="0" t="s">
        <v>468</v>
      </c>
      <c r="B180" s="0" t="s">
        <v>469</v>
      </c>
      <c r="C180" s="0" t="s">
        <v>15</v>
      </c>
      <c r="D180" s="0" t="s">
        <v>19</v>
      </c>
    </row>
    <row r="181" customFormat="false" ht="13.8" hidden="false" customHeight="false" outlineLevel="0" collapsed="false">
      <c r="A181" s="0" t="s">
        <v>470</v>
      </c>
      <c r="B181" s="0" t="s">
        <v>471</v>
      </c>
      <c r="C181" s="0" t="s">
        <v>15</v>
      </c>
      <c r="D181" s="0" t="s">
        <v>19</v>
      </c>
    </row>
    <row r="182" customFormat="false" ht="13.8" hidden="false" customHeight="false" outlineLevel="0" collapsed="false">
      <c r="A182" s="0" t="s">
        <v>472</v>
      </c>
      <c r="B182" s="0" t="s">
        <v>473</v>
      </c>
      <c r="C182" s="0" t="s">
        <v>15</v>
      </c>
      <c r="D182" s="0" t="s">
        <v>19</v>
      </c>
    </row>
    <row r="183" customFormat="false" ht="13.8" hidden="false" customHeight="false" outlineLevel="0" collapsed="false">
      <c r="A183" s="0" t="s">
        <v>474</v>
      </c>
      <c r="B183" s="0" t="s">
        <v>475</v>
      </c>
      <c r="C183" s="0" t="s">
        <v>15</v>
      </c>
      <c r="D183" s="0" t="s">
        <v>19</v>
      </c>
    </row>
    <row r="184" customFormat="false" ht="13.8" hidden="false" customHeight="false" outlineLevel="0" collapsed="false">
      <c r="A184" s="0" t="s">
        <v>476</v>
      </c>
      <c r="B184" s="0" t="s">
        <v>477</v>
      </c>
      <c r="C184" s="0" t="s">
        <v>15</v>
      </c>
      <c r="D184" s="0" t="s">
        <v>19</v>
      </c>
    </row>
    <row r="185" customFormat="false" ht="13.8" hidden="false" customHeight="false" outlineLevel="0" collapsed="false">
      <c r="A185" s="0" t="s">
        <v>478</v>
      </c>
      <c r="B185" s="0" t="s">
        <v>479</v>
      </c>
      <c r="C185" s="0" t="s">
        <v>15</v>
      </c>
      <c r="D185" s="0" t="s">
        <v>19</v>
      </c>
    </row>
    <row r="186" customFormat="false" ht="13.8" hidden="false" customHeight="false" outlineLevel="0" collapsed="false">
      <c r="A186" s="0" t="s">
        <v>481</v>
      </c>
      <c r="B186" s="0" t="s">
        <v>482</v>
      </c>
      <c r="C186" s="0" t="s">
        <v>15</v>
      </c>
      <c r="D186" s="0" t="s">
        <v>19</v>
      </c>
    </row>
    <row r="187" customFormat="false" ht="13.8" hidden="false" customHeight="false" outlineLevel="0" collapsed="false">
      <c r="A187" s="0" t="s">
        <v>484</v>
      </c>
      <c r="B187" s="0" t="s">
        <v>485</v>
      </c>
      <c r="C187" s="0" t="s">
        <v>15</v>
      </c>
      <c r="D187" s="0" t="s">
        <v>19</v>
      </c>
    </row>
    <row r="188" customFormat="false" ht="13.8" hidden="false" customHeight="false" outlineLevel="0" collapsed="false">
      <c r="A188" s="0" t="s">
        <v>487</v>
      </c>
      <c r="B188" s="0" t="s">
        <v>488</v>
      </c>
      <c r="C188" s="0" t="s">
        <v>15</v>
      </c>
      <c r="D188" s="0" t="s">
        <v>19</v>
      </c>
    </row>
    <row r="189" customFormat="false" ht="13.8" hidden="false" customHeight="false" outlineLevel="0" collapsed="false">
      <c r="A189" s="0" t="s">
        <v>489</v>
      </c>
      <c r="B189" s="0" t="s">
        <v>490</v>
      </c>
      <c r="C189" s="0" t="s">
        <v>15</v>
      </c>
      <c r="D189" s="0" t="s">
        <v>19</v>
      </c>
    </row>
    <row r="190" customFormat="false" ht="13.8" hidden="false" customHeight="false" outlineLevel="0" collapsed="false">
      <c r="A190" s="0" t="s">
        <v>491</v>
      </c>
      <c r="B190" s="0" t="s">
        <v>492</v>
      </c>
      <c r="C190" s="0" t="s">
        <v>15</v>
      </c>
      <c r="D190" s="0" t="s">
        <v>19</v>
      </c>
    </row>
    <row r="191" customFormat="false" ht="13.8" hidden="false" customHeight="false" outlineLevel="0" collapsed="false">
      <c r="A191" s="0" t="s">
        <v>494</v>
      </c>
      <c r="B191" s="0" t="s">
        <v>495</v>
      </c>
      <c r="C191" s="0" t="s">
        <v>15</v>
      </c>
      <c r="D191" s="0" t="s">
        <v>19</v>
      </c>
    </row>
    <row r="192" customFormat="false" ht="13.8" hidden="false" customHeight="false" outlineLevel="0" collapsed="false">
      <c r="A192" s="0" t="s">
        <v>496</v>
      </c>
      <c r="B192" s="0" t="s">
        <v>497</v>
      </c>
      <c r="C192" s="0" t="s">
        <v>15</v>
      </c>
      <c r="D192" s="0" t="s">
        <v>19</v>
      </c>
    </row>
    <row r="193" customFormat="false" ht="13.8" hidden="false" customHeight="false" outlineLevel="0" collapsed="false">
      <c r="A193" s="0" t="s">
        <v>499</v>
      </c>
      <c r="B193" s="0" t="s">
        <v>500</v>
      </c>
      <c r="C193" s="0" t="s">
        <v>15</v>
      </c>
      <c r="D193" s="0" t="s">
        <v>19</v>
      </c>
    </row>
    <row r="194" customFormat="false" ht="13.8" hidden="false" customHeight="false" outlineLevel="0" collapsed="false">
      <c r="A194" s="0" t="s">
        <v>502</v>
      </c>
      <c r="B194" s="0" t="s">
        <v>503</v>
      </c>
      <c r="C194" s="0" t="s">
        <v>15</v>
      </c>
      <c r="D194" s="0" t="s">
        <v>19</v>
      </c>
    </row>
    <row r="195" customFormat="false" ht="13.8" hidden="false" customHeight="false" outlineLevel="0" collapsed="false">
      <c r="A195" s="0" t="s">
        <v>504</v>
      </c>
      <c r="B195" s="0" t="s">
        <v>505</v>
      </c>
      <c r="C195" s="0" t="s">
        <v>15</v>
      </c>
      <c r="D195" s="0" t="s">
        <v>19</v>
      </c>
    </row>
    <row r="196" customFormat="false" ht="13.8" hidden="false" customHeight="false" outlineLevel="0" collapsed="false">
      <c r="A196" s="0" t="s">
        <v>506</v>
      </c>
      <c r="B196" s="0" t="s">
        <v>507</v>
      </c>
      <c r="C196" s="0" t="s">
        <v>15</v>
      </c>
      <c r="D196" s="0" t="s">
        <v>19</v>
      </c>
    </row>
    <row r="197" customFormat="false" ht="13.8" hidden="false" customHeight="false" outlineLevel="0" collapsed="false">
      <c r="A197" s="0" t="s">
        <v>508</v>
      </c>
      <c r="B197" s="0" t="s">
        <v>509</v>
      </c>
      <c r="C197" s="0" t="s">
        <v>15</v>
      </c>
      <c r="D197" s="0" t="s">
        <v>19</v>
      </c>
    </row>
    <row r="198" customFormat="false" ht="13.8" hidden="false" customHeight="false" outlineLevel="0" collapsed="false">
      <c r="A198" s="0" t="s">
        <v>511</v>
      </c>
      <c r="B198" s="0" t="s">
        <v>512</v>
      </c>
      <c r="C198" s="0" t="s">
        <v>15</v>
      </c>
      <c r="D198" s="0" t="s">
        <v>19</v>
      </c>
    </row>
    <row r="199" customFormat="false" ht="13.8" hidden="false" customHeight="false" outlineLevel="0" collapsed="false">
      <c r="A199" s="0" t="s">
        <v>513</v>
      </c>
      <c r="B199" s="0" t="s">
        <v>514</v>
      </c>
      <c r="C199" s="0" t="s">
        <v>15</v>
      </c>
      <c r="D199" s="0" t="s">
        <v>515</v>
      </c>
    </row>
    <row r="200" customFormat="false" ht="13.8" hidden="false" customHeight="false" outlineLevel="0" collapsed="false">
      <c r="A200" s="0" t="s">
        <v>516</v>
      </c>
      <c r="B200" s="0" t="s">
        <v>517</v>
      </c>
      <c r="C200" s="0" t="s">
        <v>15</v>
      </c>
      <c r="D200" s="0" t="s">
        <v>19</v>
      </c>
    </row>
    <row r="201" customFormat="false" ht="13.8" hidden="false" customHeight="false" outlineLevel="0" collapsed="false">
      <c r="A201" s="0" t="s">
        <v>519</v>
      </c>
      <c r="B201" s="0" t="s">
        <v>520</v>
      </c>
      <c r="C201" s="0" t="s">
        <v>15</v>
      </c>
      <c r="D201" s="0" t="s">
        <v>19</v>
      </c>
    </row>
    <row r="202" customFormat="false" ht="13.8" hidden="false" customHeight="false" outlineLevel="0" collapsed="false">
      <c r="A202" s="0" t="s">
        <v>522</v>
      </c>
      <c r="B202" s="0" t="s">
        <v>523</v>
      </c>
      <c r="C202" s="0" t="s">
        <v>15</v>
      </c>
      <c r="D202" s="0" t="s">
        <v>19</v>
      </c>
    </row>
    <row r="203" customFormat="false" ht="13.8" hidden="false" customHeight="false" outlineLevel="0" collapsed="false">
      <c r="A203" s="0" t="s">
        <v>524</v>
      </c>
      <c r="B203" s="0" t="s">
        <v>525</v>
      </c>
      <c r="C203" s="0" t="s">
        <v>15</v>
      </c>
      <c r="D203" s="0" t="s">
        <v>19</v>
      </c>
    </row>
    <row r="204" customFormat="false" ht="13.8" hidden="false" customHeight="false" outlineLevel="0" collapsed="false">
      <c r="A204" s="0" t="s">
        <v>526</v>
      </c>
      <c r="B204" s="0" t="s">
        <v>527</v>
      </c>
      <c r="C204" s="0" t="s">
        <v>15</v>
      </c>
      <c r="D204" s="0" t="s">
        <v>19</v>
      </c>
    </row>
    <row r="205" customFormat="false" ht="13.8" hidden="false" customHeight="false" outlineLevel="0" collapsed="false">
      <c r="A205" s="0" t="s">
        <v>528</v>
      </c>
      <c r="B205" s="0" t="s">
        <v>529</v>
      </c>
      <c r="C205" s="0" t="s">
        <v>15</v>
      </c>
      <c r="D205" s="0" t="s">
        <v>19</v>
      </c>
    </row>
    <row r="206" customFormat="false" ht="13.8" hidden="false" customHeight="false" outlineLevel="0" collapsed="false">
      <c r="A206" s="0" t="s">
        <v>530</v>
      </c>
      <c r="B206" s="0" t="s">
        <v>531</v>
      </c>
      <c r="C206" s="0" t="s">
        <v>15</v>
      </c>
      <c r="D206" s="0" t="s">
        <v>19</v>
      </c>
    </row>
    <row r="207" customFormat="false" ht="13.8" hidden="false" customHeight="false" outlineLevel="0" collapsed="false">
      <c r="A207" s="0" t="s">
        <v>532</v>
      </c>
      <c r="B207" s="0" t="s">
        <v>533</v>
      </c>
      <c r="C207" s="0" t="s">
        <v>15</v>
      </c>
      <c r="D207" s="0" t="s">
        <v>19</v>
      </c>
    </row>
    <row r="208" customFormat="false" ht="13.8" hidden="false" customHeight="false" outlineLevel="0" collapsed="false">
      <c r="A208" s="0" t="s">
        <v>534</v>
      </c>
      <c r="B208" s="0" t="s">
        <v>535</v>
      </c>
      <c r="C208" s="0" t="s">
        <v>15</v>
      </c>
      <c r="D208" s="0" t="s">
        <v>19</v>
      </c>
    </row>
    <row r="209" customFormat="false" ht="13.8" hidden="false" customHeight="false" outlineLevel="0" collapsed="false">
      <c r="A209" s="0" t="s">
        <v>537</v>
      </c>
      <c r="B209" s="0" t="s">
        <v>538</v>
      </c>
      <c r="C209" s="0" t="s">
        <v>15</v>
      </c>
      <c r="D209" s="0" t="s">
        <v>19</v>
      </c>
    </row>
    <row r="210" customFormat="false" ht="13.8" hidden="false" customHeight="false" outlineLevel="0" collapsed="false">
      <c r="A210" s="0" t="s">
        <v>539</v>
      </c>
      <c r="B210" s="0" t="s">
        <v>540</v>
      </c>
      <c r="C210" s="0" t="s">
        <v>15</v>
      </c>
      <c r="D210" s="0" t="s">
        <v>19</v>
      </c>
    </row>
    <row r="211" customFormat="false" ht="13.8" hidden="false" customHeight="false" outlineLevel="0" collapsed="false">
      <c r="A211" s="0" t="s">
        <v>542</v>
      </c>
      <c r="B211" s="0" t="s">
        <v>543</v>
      </c>
      <c r="C211" s="0" t="s">
        <v>15</v>
      </c>
      <c r="D211" s="0" t="s">
        <v>19</v>
      </c>
    </row>
    <row r="212" customFormat="false" ht="13.8" hidden="false" customHeight="false" outlineLevel="0" collapsed="false">
      <c r="A212" s="0" t="s">
        <v>545</v>
      </c>
      <c r="B212" s="0" t="s">
        <v>546</v>
      </c>
      <c r="C212" s="0" t="s">
        <v>15</v>
      </c>
      <c r="D212" s="0" t="s">
        <v>19</v>
      </c>
    </row>
    <row r="213" customFormat="false" ht="13.8" hidden="false" customHeight="false" outlineLevel="0" collapsed="false">
      <c r="A213" s="0" t="s">
        <v>547</v>
      </c>
      <c r="B213" s="0" t="s">
        <v>548</v>
      </c>
      <c r="C213" s="0" t="s">
        <v>15</v>
      </c>
      <c r="D213" s="0" t="s">
        <v>19</v>
      </c>
    </row>
    <row r="214" customFormat="false" ht="13.8" hidden="false" customHeight="false" outlineLevel="0" collapsed="false">
      <c r="A214" s="0" t="s">
        <v>549</v>
      </c>
      <c r="B214" s="0" t="s">
        <v>550</v>
      </c>
      <c r="C214" s="0" t="s">
        <v>15</v>
      </c>
      <c r="D214" s="0" t="s">
        <v>19</v>
      </c>
    </row>
    <row r="215" customFormat="false" ht="13.8" hidden="false" customHeight="false" outlineLevel="0" collapsed="false">
      <c r="A215" s="0" t="s">
        <v>551</v>
      </c>
      <c r="B215" s="0" t="s">
        <v>552</v>
      </c>
      <c r="C215" s="0" t="s">
        <v>15</v>
      </c>
      <c r="D215" s="0" t="s">
        <v>19</v>
      </c>
    </row>
    <row r="216" customFormat="false" ht="13.8" hidden="false" customHeight="false" outlineLevel="0" collapsed="false">
      <c r="A216" s="0" t="s">
        <v>553</v>
      </c>
      <c r="B216" s="0" t="s">
        <v>554</v>
      </c>
      <c r="C216" s="0" t="s">
        <v>15</v>
      </c>
      <c r="D216" s="0" t="s">
        <v>19</v>
      </c>
    </row>
    <row r="217" customFormat="false" ht="13.8" hidden="false" customHeight="false" outlineLevel="0" collapsed="false">
      <c r="A217" s="0" t="s">
        <v>556</v>
      </c>
      <c r="B217" s="0" t="s">
        <v>557</v>
      </c>
      <c r="C217" s="0" t="s">
        <v>15</v>
      </c>
      <c r="D217" s="0" t="s">
        <v>19</v>
      </c>
    </row>
    <row r="218" customFormat="false" ht="13.8" hidden="false" customHeight="false" outlineLevel="0" collapsed="false">
      <c r="A218" s="0" t="s">
        <v>558</v>
      </c>
      <c r="B218" s="0" t="s">
        <v>559</v>
      </c>
      <c r="C218" s="0" t="s">
        <v>15</v>
      </c>
      <c r="D218" s="0" t="s">
        <v>19</v>
      </c>
    </row>
    <row r="219" customFormat="false" ht="13.8" hidden="false" customHeight="false" outlineLevel="0" collapsed="false">
      <c r="A219" s="0" t="s">
        <v>560</v>
      </c>
      <c r="B219" s="0" t="s">
        <v>561</v>
      </c>
      <c r="C219" s="0" t="s">
        <v>15</v>
      </c>
      <c r="D219" s="0" t="s">
        <v>19</v>
      </c>
    </row>
    <row r="220" customFormat="false" ht="13.8" hidden="false" customHeight="false" outlineLevel="0" collapsed="false">
      <c r="A220" s="0" t="s">
        <v>562</v>
      </c>
      <c r="B220" s="0" t="s">
        <v>563</v>
      </c>
      <c r="C220" s="0" t="s">
        <v>15</v>
      </c>
      <c r="D220" s="0" t="s">
        <v>19</v>
      </c>
    </row>
    <row r="221" customFormat="false" ht="13.8" hidden="false" customHeight="false" outlineLevel="0" collapsed="false">
      <c r="A221" s="0" t="s">
        <v>565</v>
      </c>
      <c r="B221" s="0" t="s">
        <v>566</v>
      </c>
      <c r="C221" s="0" t="s">
        <v>15</v>
      </c>
      <c r="D221" s="0" t="s">
        <v>19</v>
      </c>
    </row>
    <row r="222" customFormat="false" ht="13.8" hidden="false" customHeight="false" outlineLevel="0" collapsed="false">
      <c r="A222" s="0" t="s">
        <v>568</v>
      </c>
      <c r="B222" s="0" t="s">
        <v>569</v>
      </c>
      <c r="C222" s="0" t="s">
        <v>15</v>
      </c>
      <c r="D222" s="0" t="s">
        <v>19</v>
      </c>
    </row>
    <row r="223" customFormat="false" ht="13.8" hidden="false" customHeight="false" outlineLevel="0" collapsed="false">
      <c r="A223" s="0" t="s">
        <v>570</v>
      </c>
      <c r="B223" s="0" t="s">
        <v>136</v>
      </c>
      <c r="C223" s="0" t="s">
        <v>15</v>
      </c>
      <c r="D223" s="0" t="s">
        <v>19</v>
      </c>
    </row>
    <row r="224" customFormat="false" ht="13.8" hidden="false" customHeight="false" outlineLevel="0" collapsed="false">
      <c r="A224" s="0" t="s">
        <v>571</v>
      </c>
      <c r="B224" s="0" t="s">
        <v>572</v>
      </c>
      <c r="C224" s="0" t="s">
        <v>15</v>
      </c>
      <c r="D224" s="0" t="s">
        <v>19</v>
      </c>
    </row>
    <row r="225" customFormat="false" ht="13.8" hidden="false" customHeight="false" outlineLevel="0" collapsed="false">
      <c r="A225" s="0" t="s">
        <v>573</v>
      </c>
      <c r="B225" s="0" t="s">
        <v>574</v>
      </c>
      <c r="C225" s="0" t="s">
        <v>15</v>
      </c>
      <c r="D225" s="0" t="s">
        <v>19</v>
      </c>
    </row>
    <row r="226" customFormat="false" ht="13.8" hidden="false" customHeight="false" outlineLevel="0" collapsed="false">
      <c r="A226" s="0" t="s">
        <v>575</v>
      </c>
      <c r="B226" s="0" t="s">
        <v>576</v>
      </c>
      <c r="C226" s="0" t="s">
        <v>15</v>
      </c>
      <c r="D226" s="0" t="s">
        <v>19</v>
      </c>
    </row>
    <row r="227" customFormat="false" ht="13.8" hidden="false" customHeight="false" outlineLevel="0" collapsed="false">
      <c r="A227" s="0" t="s">
        <v>578</v>
      </c>
      <c r="B227" s="0" t="s">
        <v>579</v>
      </c>
      <c r="C227" s="0" t="s">
        <v>15</v>
      </c>
      <c r="D227" s="0" t="s">
        <v>19</v>
      </c>
    </row>
    <row r="228" customFormat="false" ht="13.8" hidden="false" customHeight="false" outlineLevel="0" collapsed="false">
      <c r="A228" s="0" t="s">
        <v>582</v>
      </c>
      <c r="B228" s="0" t="s">
        <v>583</v>
      </c>
      <c r="C228" s="0" t="s">
        <v>15</v>
      </c>
      <c r="D228" s="0" t="s">
        <v>19</v>
      </c>
    </row>
    <row r="229" customFormat="false" ht="13.8" hidden="false" customHeight="false" outlineLevel="0" collapsed="false">
      <c r="A229" s="0" t="s">
        <v>584</v>
      </c>
      <c r="B229" s="0" t="s">
        <v>585</v>
      </c>
      <c r="C229" s="0" t="s">
        <v>15</v>
      </c>
      <c r="D229" s="0" t="s">
        <v>19</v>
      </c>
    </row>
    <row r="230" customFormat="false" ht="13.8" hidden="false" customHeight="false" outlineLevel="0" collapsed="false">
      <c r="A230" s="0" t="s">
        <v>586</v>
      </c>
      <c r="B230" s="0" t="s">
        <v>495</v>
      </c>
      <c r="C230" s="0" t="s">
        <v>15</v>
      </c>
      <c r="D230" s="0" t="s">
        <v>19</v>
      </c>
    </row>
    <row r="231" customFormat="false" ht="13.8" hidden="false" customHeight="false" outlineLevel="0" collapsed="false">
      <c r="A231" s="0" t="s">
        <v>587</v>
      </c>
      <c r="B231" s="0" t="s">
        <v>588</v>
      </c>
      <c r="C231" s="0" t="s">
        <v>15</v>
      </c>
      <c r="D231" s="0" t="s">
        <v>19</v>
      </c>
    </row>
    <row r="232" customFormat="false" ht="13.8" hidden="false" customHeight="false" outlineLevel="0" collapsed="false">
      <c r="A232" s="0" t="s">
        <v>590</v>
      </c>
      <c r="B232" s="0" t="s">
        <v>591</v>
      </c>
      <c r="C232" s="0" t="s">
        <v>15</v>
      </c>
      <c r="D232" s="0" t="s">
        <v>19</v>
      </c>
    </row>
    <row r="233" customFormat="false" ht="13.8" hidden="false" customHeight="false" outlineLevel="0" collapsed="false">
      <c r="A233" s="0" t="s">
        <v>592</v>
      </c>
      <c r="B233" s="0" t="s">
        <v>593</v>
      </c>
      <c r="C233" s="0" t="s">
        <v>15</v>
      </c>
      <c r="D233" s="0" t="s">
        <v>19</v>
      </c>
    </row>
    <row r="234" customFormat="false" ht="13.8" hidden="false" customHeight="false" outlineLevel="0" collapsed="false">
      <c r="A234" s="0" t="s">
        <v>594</v>
      </c>
      <c r="B234" s="0" t="s">
        <v>595</v>
      </c>
      <c r="C234" s="0" t="s">
        <v>15</v>
      </c>
      <c r="D234" s="0" t="s">
        <v>19</v>
      </c>
    </row>
    <row r="235" customFormat="false" ht="13.8" hidden="false" customHeight="false" outlineLevel="0" collapsed="false">
      <c r="A235" s="0" t="s">
        <v>597</v>
      </c>
      <c r="B235" s="0" t="s">
        <v>598</v>
      </c>
      <c r="C235" s="0" t="s">
        <v>15</v>
      </c>
      <c r="D235" s="0" t="s">
        <v>19</v>
      </c>
    </row>
    <row r="236" customFormat="false" ht="13.8" hidden="false" customHeight="false" outlineLevel="0" collapsed="false">
      <c r="A236" s="0" t="s">
        <v>600</v>
      </c>
      <c r="B236" s="0" t="s">
        <v>601</v>
      </c>
      <c r="C236" s="0" t="s">
        <v>15</v>
      </c>
      <c r="D236" s="0" t="s">
        <v>19</v>
      </c>
    </row>
    <row r="237" customFormat="false" ht="13.8" hidden="false" customHeight="false" outlineLevel="0" collapsed="false">
      <c r="A237" s="0" t="s">
        <v>602</v>
      </c>
      <c r="B237" s="0" t="s">
        <v>603</v>
      </c>
      <c r="C237" s="0" t="s">
        <v>15</v>
      </c>
      <c r="D237" s="0" t="s">
        <v>19</v>
      </c>
    </row>
    <row r="238" customFormat="false" ht="13.8" hidden="false" customHeight="false" outlineLevel="0" collapsed="false">
      <c r="A238" s="0" t="s">
        <v>604</v>
      </c>
      <c r="B238" s="0" t="s">
        <v>605</v>
      </c>
      <c r="C238" s="0" t="s">
        <v>15</v>
      </c>
      <c r="D238" s="0" t="s">
        <v>19</v>
      </c>
    </row>
    <row r="239" customFormat="false" ht="13.8" hidden="false" customHeight="false" outlineLevel="0" collapsed="false">
      <c r="A239" s="0" t="s">
        <v>606</v>
      </c>
      <c r="B239" s="0" t="s">
        <v>607</v>
      </c>
      <c r="C239" s="0" t="s">
        <v>15</v>
      </c>
      <c r="D239" s="0" t="s">
        <v>19</v>
      </c>
    </row>
    <row r="240" customFormat="false" ht="13.8" hidden="false" customHeight="false" outlineLevel="0" collapsed="false">
      <c r="A240" s="0" t="s">
        <v>608</v>
      </c>
      <c r="B240" s="0" t="s">
        <v>609</v>
      </c>
      <c r="C240" s="0" t="s">
        <v>15</v>
      </c>
      <c r="D240" s="0" t="s">
        <v>19</v>
      </c>
    </row>
    <row r="241" customFormat="false" ht="13.8" hidden="false" customHeight="false" outlineLevel="0" collapsed="false">
      <c r="A241" s="0" t="s">
        <v>611</v>
      </c>
      <c r="B241" s="0" t="s">
        <v>404</v>
      </c>
      <c r="C241" s="0" t="s">
        <v>15</v>
      </c>
      <c r="D241" s="0" t="s">
        <v>19</v>
      </c>
    </row>
    <row r="242" customFormat="false" ht="13.8" hidden="false" customHeight="false" outlineLevel="0" collapsed="false">
      <c r="A242" s="0" t="s">
        <v>612</v>
      </c>
      <c r="B242" s="0" t="s">
        <v>613</v>
      </c>
      <c r="C242" s="0" t="s">
        <v>15</v>
      </c>
      <c r="D242" s="0" t="s">
        <v>19</v>
      </c>
    </row>
    <row r="243" customFormat="false" ht="13.8" hidden="false" customHeight="false" outlineLevel="0" collapsed="false">
      <c r="A243" s="0" t="s">
        <v>614</v>
      </c>
      <c r="B243" s="0" t="s">
        <v>615</v>
      </c>
      <c r="C243" s="0" t="s">
        <v>15</v>
      </c>
      <c r="D243" s="0" t="s">
        <v>19</v>
      </c>
    </row>
    <row r="244" customFormat="false" ht="13.8" hidden="false" customHeight="false" outlineLevel="0" collapsed="false">
      <c r="A244" s="0" t="s">
        <v>617</v>
      </c>
      <c r="B244" s="0" t="s">
        <v>618</v>
      </c>
      <c r="C244" s="0" t="s">
        <v>15</v>
      </c>
      <c r="D244" s="0" t="s">
        <v>19</v>
      </c>
    </row>
    <row r="245" customFormat="false" ht="13.8" hidden="false" customHeight="false" outlineLevel="0" collapsed="false">
      <c r="A245" s="0" t="s">
        <v>619</v>
      </c>
      <c r="B245" s="0" t="s">
        <v>620</v>
      </c>
      <c r="C245" s="0" t="s">
        <v>15</v>
      </c>
      <c r="D245" s="0" t="s">
        <v>19</v>
      </c>
    </row>
    <row r="246" customFormat="false" ht="13.8" hidden="false" customHeight="false" outlineLevel="0" collapsed="false">
      <c r="A246" s="0" t="s">
        <v>621</v>
      </c>
      <c r="B246" s="0" t="s">
        <v>622</v>
      </c>
      <c r="C246" s="0" t="s">
        <v>15</v>
      </c>
      <c r="D246" s="0" t="s">
        <v>19</v>
      </c>
    </row>
    <row r="247" customFormat="false" ht="13.8" hidden="false" customHeight="false" outlineLevel="0" collapsed="false">
      <c r="A247" s="0" t="s">
        <v>623</v>
      </c>
      <c r="B247" s="0" t="s">
        <v>624</v>
      </c>
      <c r="C247" s="0" t="s">
        <v>15</v>
      </c>
      <c r="D247" s="0" t="s">
        <v>19</v>
      </c>
    </row>
    <row r="248" customFormat="false" ht="13.8" hidden="false" customHeight="false" outlineLevel="0" collapsed="false">
      <c r="A248" s="0" t="s">
        <v>626</v>
      </c>
      <c r="B248" s="0" t="s">
        <v>627</v>
      </c>
      <c r="C248" s="0" t="s">
        <v>15</v>
      </c>
      <c r="D248" s="0" t="s">
        <v>19</v>
      </c>
    </row>
    <row r="249" customFormat="false" ht="13.8" hidden="false" customHeight="false" outlineLevel="0" collapsed="false">
      <c r="A249" s="0" t="s">
        <v>628</v>
      </c>
      <c r="B249" s="0" t="s">
        <v>629</v>
      </c>
      <c r="C249" s="0" t="s">
        <v>15</v>
      </c>
      <c r="D249" s="0" t="s">
        <v>19</v>
      </c>
    </row>
    <row r="250" customFormat="false" ht="13.8" hidden="false" customHeight="false" outlineLevel="0" collapsed="false">
      <c r="A250" s="0" t="s">
        <v>630</v>
      </c>
      <c r="B250" s="0" t="s">
        <v>631</v>
      </c>
      <c r="C250" s="0" t="s">
        <v>15</v>
      </c>
      <c r="D250" s="0" t="s">
        <v>19</v>
      </c>
    </row>
    <row r="251" customFormat="false" ht="13.8" hidden="false" customHeight="false" outlineLevel="0" collapsed="false">
      <c r="A251" s="0" t="s">
        <v>632</v>
      </c>
      <c r="B251" s="0" t="s">
        <v>633</v>
      </c>
      <c r="C251" s="0" t="s">
        <v>15</v>
      </c>
      <c r="D251" s="0" t="s">
        <v>19</v>
      </c>
    </row>
    <row r="252" customFormat="false" ht="13.8" hidden="false" customHeight="false" outlineLevel="0" collapsed="false">
      <c r="A252" s="0" t="s">
        <v>634</v>
      </c>
      <c r="B252" s="0" t="s">
        <v>635</v>
      </c>
      <c r="C252" s="0" t="s">
        <v>15</v>
      </c>
      <c r="D252" s="0" t="s">
        <v>19</v>
      </c>
    </row>
    <row r="253" customFormat="false" ht="13.8" hidden="false" customHeight="false" outlineLevel="0" collapsed="false">
      <c r="A253" s="0" t="s">
        <v>636</v>
      </c>
      <c r="B253" s="0" t="s">
        <v>637</v>
      </c>
      <c r="C253" s="0" t="s">
        <v>15</v>
      </c>
      <c r="D253" s="0" t="s">
        <v>19</v>
      </c>
    </row>
    <row r="254" customFormat="false" ht="13.8" hidden="false" customHeight="false" outlineLevel="0" collapsed="false">
      <c r="A254" s="0" t="s">
        <v>638</v>
      </c>
      <c r="B254" s="0" t="s">
        <v>639</v>
      </c>
      <c r="C254" s="0" t="s">
        <v>15</v>
      </c>
      <c r="D254" s="0" t="s">
        <v>19</v>
      </c>
    </row>
    <row r="255" customFormat="false" ht="13.8" hidden="false" customHeight="false" outlineLevel="0" collapsed="false">
      <c r="A255" s="0" t="s">
        <v>640</v>
      </c>
      <c r="B255" s="0" t="s">
        <v>641</v>
      </c>
      <c r="C255" s="0" t="s">
        <v>15</v>
      </c>
      <c r="D255" s="0" t="s">
        <v>19</v>
      </c>
    </row>
    <row r="256" customFormat="false" ht="13.8" hidden="false" customHeight="false" outlineLevel="0" collapsed="false">
      <c r="A256" s="0" t="s">
        <v>643</v>
      </c>
      <c r="B256" s="0" t="s">
        <v>644</v>
      </c>
      <c r="C256" s="0" t="s">
        <v>15</v>
      </c>
      <c r="D256" s="0" t="s">
        <v>19</v>
      </c>
    </row>
    <row r="257" customFormat="false" ht="13.8" hidden="false" customHeight="false" outlineLevel="0" collapsed="false">
      <c r="A257" s="0" t="s">
        <v>645</v>
      </c>
      <c r="B257" s="0" t="s">
        <v>646</v>
      </c>
      <c r="C257" s="0" t="s">
        <v>15</v>
      </c>
      <c r="D257" s="0" t="s">
        <v>19</v>
      </c>
    </row>
    <row r="258" customFormat="false" ht="13.8" hidden="false" customHeight="false" outlineLevel="0" collapsed="false">
      <c r="A258" s="0" t="s">
        <v>647</v>
      </c>
      <c r="B258" s="0" t="s">
        <v>648</v>
      </c>
      <c r="C258" s="0" t="s">
        <v>15</v>
      </c>
      <c r="D258" s="0" t="s">
        <v>19</v>
      </c>
    </row>
    <row r="259" customFormat="false" ht="13.8" hidden="false" customHeight="false" outlineLevel="0" collapsed="false">
      <c r="A259" s="0" t="s">
        <v>650</v>
      </c>
      <c r="B259" s="0" t="s">
        <v>651</v>
      </c>
      <c r="C259" s="0" t="s">
        <v>15</v>
      </c>
      <c r="D259" s="0" t="s">
        <v>19</v>
      </c>
    </row>
    <row r="260" customFormat="false" ht="13.8" hidden="false" customHeight="false" outlineLevel="0" collapsed="false">
      <c r="A260" s="0" t="s">
        <v>653</v>
      </c>
      <c r="B260" s="0" t="s">
        <v>654</v>
      </c>
      <c r="C260" s="0" t="s">
        <v>15</v>
      </c>
      <c r="D260" s="0" t="s">
        <v>19</v>
      </c>
    </row>
    <row r="261" customFormat="false" ht="13.8" hidden="false" customHeight="false" outlineLevel="0" collapsed="false">
      <c r="A261" s="0" t="s">
        <v>656</v>
      </c>
      <c r="B261" s="0" t="s">
        <v>657</v>
      </c>
      <c r="C261" s="0" t="s">
        <v>15</v>
      </c>
      <c r="D261" s="0" t="s">
        <v>24</v>
      </c>
    </row>
    <row r="262" customFormat="false" ht="13.8" hidden="false" customHeight="false" outlineLevel="0" collapsed="false">
      <c r="A262" s="0" t="s">
        <v>658</v>
      </c>
      <c r="B262" s="0" t="s">
        <v>659</v>
      </c>
      <c r="C262" s="0" t="s">
        <v>15</v>
      </c>
      <c r="D262" s="0" t="s">
        <v>19</v>
      </c>
    </row>
    <row r="263" customFormat="false" ht="13.8" hidden="false" customHeight="false" outlineLevel="0" collapsed="false">
      <c r="A263" s="0" t="s">
        <v>661</v>
      </c>
      <c r="B263" s="0" t="s">
        <v>662</v>
      </c>
      <c r="C263" s="0" t="s">
        <v>15</v>
      </c>
      <c r="D263" s="0" t="s">
        <v>19</v>
      </c>
    </row>
    <row r="264" customFormat="false" ht="13.8" hidden="false" customHeight="false" outlineLevel="0" collapsed="false">
      <c r="A264" s="0" t="s">
        <v>663</v>
      </c>
      <c r="B264" s="0" t="s">
        <v>664</v>
      </c>
      <c r="C264" s="0" t="s">
        <v>15</v>
      </c>
      <c r="D264" s="0" t="s">
        <v>19</v>
      </c>
    </row>
    <row r="265" customFormat="false" ht="13.8" hidden="false" customHeight="false" outlineLevel="0" collapsed="false">
      <c r="A265" s="0" t="s">
        <v>665</v>
      </c>
      <c r="B265" s="0" t="s">
        <v>666</v>
      </c>
      <c r="C265" s="0" t="s">
        <v>15</v>
      </c>
      <c r="D265" s="0" t="s">
        <v>19</v>
      </c>
    </row>
    <row r="266" customFormat="false" ht="13.8" hidden="false" customHeight="false" outlineLevel="0" collapsed="false">
      <c r="A266" s="0" t="s">
        <v>667</v>
      </c>
      <c r="B266" s="0" t="s">
        <v>668</v>
      </c>
      <c r="C266" s="0" t="s">
        <v>15</v>
      </c>
      <c r="D266" s="0" t="s">
        <v>19</v>
      </c>
    </row>
    <row r="267" customFormat="false" ht="13.8" hidden="false" customHeight="false" outlineLevel="0" collapsed="false">
      <c r="A267" s="0" t="s">
        <v>670</v>
      </c>
      <c r="B267" s="0" t="s">
        <v>671</v>
      </c>
      <c r="C267" s="0" t="s">
        <v>15</v>
      </c>
      <c r="D267" s="0" t="s">
        <v>19</v>
      </c>
    </row>
    <row r="268" customFormat="false" ht="13.8" hidden="false" customHeight="false" outlineLevel="0" collapsed="false">
      <c r="A268" s="0" t="s">
        <v>673</v>
      </c>
      <c r="B268" s="0" t="s">
        <v>674</v>
      </c>
      <c r="C268" s="0" t="s">
        <v>15</v>
      </c>
      <c r="D268" s="0" t="s">
        <v>19</v>
      </c>
    </row>
    <row r="269" customFormat="false" ht="13.8" hidden="false" customHeight="false" outlineLevel="0" collapsed="false">
      <c r="A269" s="0" t="s">
        <v>675</v>
      </c>
      <c r="B269" s="0" t="s">
        <v>676</v>
      </c>
      <c r="C269" s="0" t="s">
        <v>15</v>
      </c>
      <c r="D269" s="0" t="s">
        <v>19</v>
      </c>
    </row>
    <row r="270" customFormat="false" ht="13.8" hidden="false" customHeight="false" outlineLevel="0" collapsed="false">
      <c r="A270" s="0" t="s">
        <v>677</v>
      </c>
      <c r="B270" s="0" t="s">
        <v>678</v>
      </c>
      <c r="C270" s="0" t="s">
        <v>15</v>
      </c>
      <c r="D270" s="0" t="s">
        <v>19</v>
      </c>
    </row>
    <row r="271" customFormat="false" ht="13.8" hidden="false" customHeight="false" outlineLevel="0" collapsed="false">
      <c r="A271" s="0" t="s">
        <v>680</v>
      </c>
      <c r="B271" s="0" t="s">
        <v>681</v>
      </c>
      <c r="C271" s="0" t="s">
        <v>15</v>
      </c>
      <c r="D271" s="0" t="s">
        <v>19</v>
      </c>
    </row>
    <row r="272" customFormat="false" ht="13.8" hidden="false" customHeight="false" outlineLevel="0" collapsed="false">
      <c r="A272" s="0" t="s">
        <v>683</v>
      </c>
      <c r="B272" s="0" t="s">
        <v>684</v>
      </c>
      <c r="C272" s="0" t="s">
        <v>15</v>
      </c>
      <c r="D272" s="0" t="s">
        <v>19</v>
      </c>
    </row>
    <row r="273" customFormat="false" ht="13.8" hidden="false" customHeight="false" outlineLevel="0" collapsed="false">
      <c r="A273" s="0" t="s">
        <v>685</v>
      </c>
      <c r="B273" s="0" t="s">
        <v>686</v>
      </c>
      <c r="C273" s="0" t="s">
        <v>15</v>
      </c>
      <c r="D273" s="0" t="s">
        <v>19</v>
      </c>
    </row>
    <row r="274" customFormat="false" ht="13.8" hidden="false" customHeight="false" outlineLevel="0" collapsed="false">
      <c r="A274" s="0" t="s">
        <v>687</v>
      </c>
      <c r="B274" s="0" t="s">
        <v>688</v>
      </c>
      <c r="C274" s="0" t="s">
        <v>15</v>
      </c>
      <c r="D274" s="0" t="s">
        <v>24</v>
      </c>
    </row>
    <row r="275" customFormat="false" ht="13.8" hidden="false" customHeight="false" outlineLevel="0" collapsed="false">
      <c r="A275" s="0" t="s">
        <v>689</v>
      </c>
      <c r="B275" s="0" t="s">
        <v>690</v>
      </c>
      <c r="C275" s="0" t="s">
        <v>15</v>
      </c>
      <c r="D275" s="0" t="s">
        <v>24</v>
      </c>
    </row>
    <row r="276" customFormat="false" ht="13.8" hidden="false" customHeight="false" outlineLevel="0" collapsed="false">
      <c r="A276" s="0" t="s">
        <v>691</v>
      </c>
      <c r="B276" s="0" t="s">
        <v>692</v>
      </c>
      <c r="C276" s="0" t="s">
        <v>15</v>
      </c>
      <c r="D276" s="0" t="s">
        <v>19</v>
      </c>
    </row>
    <row r="277" customFormat="false" ht="13.8" hidden="false" customHeight="false" outlineLevel="0" collapsed="false">
      <c r="A277" s="0" t="s">
        <v>693</v>
      </c>
      <c r="B277" s="0" t="s">
        <v>694</v>
      </c>
      <c r="C277" s="0" t="s">
        <v>15</v>
      </c>
      <c r="D277" s="0" t="s">
        <v>19</v>
      </c>
    </row>
    <row r="278" customFormat="false" ht="13.8" hidden="false" customHeight="false" outlineLevel="0" collapsed="false">
      <c r="A278" s="0" t="s">
        <v>696</v>
      </c>
      <c r="B278" s="0" t="s">
        <v>697</v>
      </c>
      <c r="C278" s="0" t="s">
        <v>15</v>
      </c>
      <c r="D278" s="0" t="s">
        <v>19</v>
      </c>
    </row>
    <row r="279" customFormat="false" ht="13.8" hidden="false" customHeight="false" outlineLevel="0" collapsed="false">
      <c r="A279" s="0" t="s">
        <v>698</v>
      </c>
      <c r="B279" s="0" t="s">
        <v>699</v>
      </c>
      <c r="C279" s="0" t="s">
        <v>15</v>
      </c>
      <c r="D279" s="0" t="s">
        <v>19</v>
      </c>
    </row>
    <row r="280" customFormat="false" ht="13.8" hidden="false" customHeight="false" outlineLevel="0" collapsed="false">
      <c r="A280" s="0" t="s">
        <v>700</v>
      </c>
      <c r="B280" s="0" t="s">
        <v>701</v>
      </c>
      <c r="C280" s="0" t="s">
        <v>15</v>
      </c>
      <c r="D280" s="0" t="s">
        <v>19</v>
      </c>
    </row>
    <row r="281" customFormat="false" ht="13.8" hidden="false" customHeight="false" outlineLevel="0" collapsed="false">
      <c r="A281" s="0" t="s">
        <v>703</v>
      </c>
      <c r="B281" s="0" t="s">
        <v>704</v>
      </c>
      <c r="C281" s="0" t="s">
        <v>15</v>
      </c>
      <c r="D281" s="0" t="s">
        <v>19</v>
      </c>
    </row>
    <row r="282" customFormat="false" ht="13.8" hidden="false" customHeight="false" outlineLevel="0" collapsed="false">
      <c r="A282" s="0" t="s">
        <v>706</v>
      </c>
      <c r="B282" s="0" t="s">
        <v>707</v>
      </c>
      <c r="C282" s="0" t="s">
        <v>15</v>
      </c>
      <c r="D282" s="0" t="s">
        <v>24</v>
      </c>
    </row>
    <row r="283" customFormat="false" ht="13.8" hidden="false" customHeight="false" outlineLevel="0" collapsed="false">
      <c r="A283" s="0" t="s">
        <v>708</v>
      </c>
      <c r="B283" s="0" t="s">
        <v>709</v>
      </c>
      <c r="C283" s="0" t="s">
        <v>15</v>
      </c>
      <c r="D283" s="0" t="s">
        <v>19</v>
      </c>
    </row>
    <row r="284" customFormat="false" ht="13.8" hidden="false" customHeight="false" outlineLevel="0" collapsed="false">
      <c r="A284" s="0" t="s">
        <v>711</v>
      </c>
      <c r="B284" s="0" t="s">
        <v>712</v>
      </c>
      <c r="C284" s="0" t="s">
        <v>15</v>
      </c>
      <c r="D284" s="0" t="s">
        <v>24</v>
      </c>
    </row>
    <row r="285" customFormat="false" ht="13.8" hidden="false" customHeight="false" outlineLevel="0" collapsed="false">
      <c r="A285" s="0" t="s">
        <v>714</v>
      </c>
      <c r="B285" s="0" t="s">
        <v>715</v>
      </c>
      <c r="C285" s="0" t="s">
        <v>15</v>
      </c>
      <c r="D285" s="0" t="s">
        <v>19</v>
      </c>
    </row>
    <row r="286" customFormat="false" ht="13.8" hidden="false" customHeight="false" outlineLevel="0" collapsed="false">
      <c r="A286" s="0" t="s">
        <v>716</v>
      </c>
      <c r="B286" s="0" t="s">
        <v>717</v>
      </c>
      <c r="C286" s="0" t="s">
        <v>15</v>
      </c>
      <c r="D286" s="0" t="s">
        <v>19</v>
      </c>
    </row>
    <row r="287" customFormat="false" ht="13.8" hidden="false" customHeight="false" outlineLevel="0" collapsed="false">
      <c r="A287" s="0" t="s">
        <v>718</v>
      </c>
      <c r="B287" s="0" t="s">
        <v>719</v>
      </c>
      <c r="C287" s="0" t="s">
        <v>15</v>
      </c>
      <c r="D287" s="0" t="s">
        <v>19</v>
      </c>
    </row>
    <row r="288" customFormat="false" ht="13.8" hidden="false" customHeight="false" outlineLevel="0" collapsed="false">
      <c r="A288" s="0" t="s">
        <v>720</v>
      </c>
      <c r="B288" s="0" t="s">
        <v>721</v>
      </c>
      <c r="C288" s="0" t="s">
        <v>15</v>
      </c>
      <c r="D288" s="0" t="s">
        <v>19</v>
      </c>
    </row>
    <row r="289" customFormat="false" ht="13.8" hidden="false" customHeight="false" outlineLevel="0" collapsed="false">
      <c r="A289" s="0" t="s">
        <v>723</v>
      </c>
      <c r="B289" s="0" t="s">
        <v>724</v>
      </c>
      <c r="C289" s="0" t="s">
        <v>15</v>
      </c>
      <c r="D289" s="0" t="s">
        <v>725</v>
      </c>
    </row>
    <row r="290" customFormat="false" ht="13.8" hidden="false" customHeight="false" outlineLevel="0" collapsed="false">
      <c r="A290" s="0" t="s">
        <v>726</v>
      </c>
      <c r="B290" s="0" t="s">
        <v>727</v>
      </c>
      <c r="C290" s="0" t="s">
        <v>15</v>
      </c>
      <c r="D290" s="0" t="s">
        <v>24</v>
      </c>
    </row>
    <row r="291" customFormat="false" ht="13.8" hidden="false" customHeight="false" outlineLevel="0" collapsed="false">
      <c r="A291" s="0" t="s">
        <v>729</v>
      </c>
      <c r="B291" s="0" t="s">
        <v>730</v>
      </c>
      <c r="C291" s="0" t="s">
        <v>15</v>
      </c>
      <c r="D291" s="0" t="s">
        <v>19</v>
      </c>
    </row>
    <row r="292" customFormat="false" ht="13.8" hidden="false" customHeight="false" outlineLevel="0" collapsed="false">
      <c r="A292" s="0" t="s">
        <v>731</v>
      </c>
      <c r="B292" s="0" t="s">
        <v>732</v>
      </c>
      <c r="C292" s="0" t="s">
        <v>15</v>
      </c>
      <c r="D292" s="0" t="s">
        <v>19</v>
      </c>
    </row>
    <row r="293" customFormat="false" ht="13.8" hidden="false" customHeight="false" outlineLevel="0" collapsed="false">
      <c r="A293" s="0" t="s">
        <v>733</v>
      </c>
      <c r="B293" s="0" t="s">
        <v>734</v>
      </c>
      <c r="C293" s="0" t="s">
        <v>15</v>
      </c>
      <c r="D293" s="0" t="s">
        <v>19</v>
      </c>
    </row>
    <row r="294" customFormat="false" ht="13.8" hidden="false" customHeight="false" outlineLevel="0" collapsed="false">
      <c r="A294" s="0" t="s">
        <v>735</v>
      </c>
      <c r="B294" s="0" t="s">
        <v>736</v>
      </c>
      <c r="C294" s="0" t="s">
        <v>15</v>
      </c>
      <c r="D294" s="0" t="s">
        <v>19</v>
      </c>
    </row>
    <row r="295" customFormat="false" ht="13.8" hidden="false" customHeight="false" outlineLevel="0" collapsed="false">
      <c r="A295" s="0" t="s">
        <v>737</v>
      </c>
      <c r="B295" s="0" t="s">
        <v>738</v>
      </c>
      <c r="C295" s="0" t="s">
        <v>15</v>
      </c>
      <c r="D295" s="0" t="s">
        <v>19</v>
      </c>
    </row>
    <row r="296" customFormat="false" ht="13.8" hidden="false" customHeight="false" outlineLevel="0" collapsed="false">
      <c r="A296" s="0" t="s">
        <v>739</v>
      </c>
      <c r="B296" s="0" t="s">
        <v>740</v>
      </c>
      <c r="C296" s="0" t="s">
        <v>15</v>
      </c>
      <c r="D296" s="0" t="s">
        <v>19</v>
      </c>
    </row>
    <row r="297" customFormat="false" ht="13.8" hidden="false" customHeight="false" outlineLevel="0" collapsed="false">
      <c r="A297" s="0" t="s">
        <v>741</v>
      </c>
      <c r="B297" s="0" t="s">
        <v>742</v>
      </c>
      <c r="C297" s="0" t="s">
        <v>15</v>
      </c>
      <c r="D297" s="0" t="s">
        <v>24</v>
      </c>
    </row>
    <row r="298" customFormat="false" ht="13.8" hidden="false" customHeight="false" outlineLevel="0" collapsed="false">
      <c r="A298" s="0" t="s">
        <v>743</v>
      </c>
      <c r="B298" s="0" t="s">
        <v>744</v>
      </c>
      <c r="C298" s="0" t="s">
        <v>15</v>
      </c>
      <c r="D298" s="0" t="s">
        <v>19</v>
      </c>
    </row>
    <row r="299" customFormat="false" ht="13.8" hidden="false" customHeight="false" outlineLevel="0" collapsed="false">
      <c r="A299" s="0" t="s">
        <v>745</v>
      </c>
      <c r="B299" s="0" t="s">
        <v>746</v>
      </c>
      <c r="C299" s="0" t="s">
        <v>15</v>
      </c>
      <c r="D299" s="0" t="s">
        <v>19</v>
      </c>
    </row>
    <row r="300" customFormat="false" ht="13.8" hidden="false" customHeight="false" outlineLevel="0" collapsed="false">
      <c r="A300" s="0" t="s">
        <v>747</v>
      </c>
      <c r="B300" s="0" t="s">
        <v>748</v>
      </c>
      <c r="C300" s="0" t="s">
        <v>15</v>
      </c>
      <c r="D300" s="0" t="s">
        <v>19</v>
      </c>
    </row>
    <row r="301" customFormat="false" ht="13.8" hidden="false" customHeight="false" outlineLevel="0" collapsed="false">
      <c r="A301" s="0" t="s">
        <v>749</v>
      </c>
      <c r="B301" s="0" t="s">
        <v>750</v>
      </c>
      <c r="C301" s="0" t="s">
        <v>15</v>
      </c>
      <c r="D301" s="0" t="s">
        <v>19</v>
      </c>
    </row>
    <row r="302" customFormat="false" ht="13.8" hidden="false" customHeight="false" outlineLevel="0" collapsed="false">
      <c r="A302" s="0" t="s">
        <v>751</v>
      </c>
      <c r="B302" s="0" t="s">
        <v>752</v>
      </c>
      <c r="C302" s="0" t="s">
        <v>15</v>
      </c>
      <c r="D302" s="0" t="s">
        <v>19</v>
      </c>
    </row>
    <row r="303" customFormat="false" ht="13.8" hidden="false" customHeight="false" outlineLevel="0" collapsed="false">
      <c r="A303" s="0" t="s">
        <v>753</v>
      </c>
      <c r="B303" s="0" t="s">
        <v>754</v>
      </c>
      <c r="C303" s="0" t="s">
        <v>15</v>
      </c>
      <c r="D303" s="0" t="s">
        <v>19</v>
      </c>
    </row>
    <row r="304" customFormat="false" ht="13.8" hidden="false" customHeight="false" outlineLevel="0" collapsed="false">
      <c r="A304" s="0" t="s">
        <v>755</v>
      </c>
      <c r="B304" s="0" t="s">
        <v>756</v>
      </c>
      <c r="C304" s="0" t="s">
        <v>15</v>
      </c>
      <c r="D304" s="0" t="s">
        <v>19</v>
      </c>
    </row>
    <row r="305" customFormat="false" ht="13.8" hidden="false" customHeight="false" outlineLevel="0" collapsed="false">
      <c r="A305" s="0" t="s">
        <v>757</v>
      </c>
      <c r="B305" s="0" t="s">
        <v>758</v>
      </c>
      <c r="C305" s="0" t="s">
        <v>15</v>
      </c>
      <c r="D305" s="0" t="s">
        <v>19</v>
      </c>
    </row>
    <row r="306" customFormat="false" ht="13.8" hidden="false" customHeight="false" outlineLevel="0" collapsed="false">
      <c r="A306" s="0" t="s">
        <v>759</v>
      </c>
      <c r="B306" s="0" t="s">
        <v>760</v>
      </c>
      <c r="C306" s="0" t="s">
        <v>15</v>
      </c>
      <c r="D306" s="0" t="s">
        <v>19</v>
      </c>
    </row>
    <row r="307" customFormat="false" ht="13.8" hidden="false" customHeight="false" outlineLevel="0" collapsed="false">
      <c r="A307" s="0" t="s">
        <v>762</v>
      </c>
      <c r="B307" s="0" t="s">
        <v>763</v>
      </c>
      <c r="C307" s="0" t="s">
        <v>15</v>
      </c>
      <c r="D307" s="0" t="s">
        <v>19</v>
      </c>
    </row>
    <row r="308" customFormat="false" ht="13.8" hidden="false" customHeight="false" outlineLevel="0" collapsed="false">
      <c r="A308" s="0" t="s">
        <v>764</v>
      </c>
      <c r="B308" s="0" t="s">
        <v>765</v>
      </c>
      <c r="C308" s="0" t="s">
        <v>15</v>
      </c>
      <c r="D308" s="0" t="s">
        <v>19</v>
      </c>
    </row>
    <row r="309" customFormat="false" ht="13.8" hidden="false" customHeight="false" outlineLevel="0" collapsed="false">
      <c r="A309" s="0" t="s">
        <v>767</v>
      </c>
      <c r="B309" s="0" t="s">
        <v>768</v>
      </c>
      <c r="C309" s="0" t="s">
        <v>15</v>
      </c>
      <c r="D309" s="0" t="s">
        <v>19</v>
      </c>
    </row>
    <row r="310" customFormat="false" ht="13.8" hidden="false" customHeight="false" outlineLevel="0" collapsed="false">
      <c r="A310" s="0" t="s">
        <v>769</v>
      </c>
      <c r="B310" s="0" t="s">
        <v>770</v>
      </c>
      <c r="C310" s="0" t="s">
        <v>15</v>
      </c>
      <c r="D310" s="0" t="s">
        <v>19</v>
      </c>
    </row>
    <row r="311" customFormat="false" ht="13.8" hidden="false" customHeight="false" outlineLevel="0" collapsed="false">
      <c r="A311" s="0" t="s">
        <v>771</v>
      </c>
      <c r="B311" s="0" t="s">
        <v>772</v>
      </c>
      <c r="C311" s="0" t="s">
        <v>15</v>
      </c>
      <c r="D311" s="0" t="s">
        <v>19</v>
      </c>
    </row>
    <row r="312" customFormat="false" ht="13.8" hidden="false" customHeight="false" outlineLevel="0" collapsed="false">
      <c r="A312" s="0" t="s">
        <v>773</v>
      </c>
      <c r="B312" s="0" t="s">
        <v>774</v>
      </c>
      <c r="C312" s="0" t="s">
        <v>15</v>
      </c>
      <c r="D312" s="0" t="s">
        <v>19</v>
      </c>
    </row>
    <row r="313" customFormat="false" ht="13.8" hidden="false" customHeight="false" outlineLevel="0" collapsed="false">
      <c r="A313" s="0" t="s">
        <v>776</v>
      </c>
      <c r="B313" s="0" t="s">
        <v>777</v>
      </c>
      <c r="C313" s="0" t="s">
        <v>15</v>
      </c>
      <c r="D313" s="0" t="s">
        <v>19</v>
      </c>
    </row>
    <row r="314" customFormat="false" ht="13.8" hidden="false" customHeight="false" outlineLevel="0" collapsed="false">
      <c r="A314" s="0" t="s">
        <v>779</v>
      </c>
      <c r="B314" s="0" t="s">
        <v>780</v>
      </c>
      <c r="C314" s="0" t="s">
        <v>15</v>
      </c>
      <c r="D314" s="0" t="s">
        <v>19</v>
      </c>
    </row>
    <row r="315" customFormat="false" ht="13.8" hidden="false" customHeight="false" outlineLevel="0" collapsed="false">
      <c r="A315" s="0" t="s">
        <v>781</v>
      </c>
      <c r="B315" s="0" t="s">
        <v>782</v>
      </c>
      <c r="C315" s="0" t="s">
        <v>15</v>
      </c>
      <c r="D315" s="0" t="s">
        <v>19</v>
      </c>
    </row>
    <row r="316" customFormat="false" ht="13.8" hidden="false" customHeight="false" outlineLevel="0" collapsed="false">
      <c r="A316" s="0" t="s">
        <v>784</v>
      </c>
      <c r="B316" s="0" t="s">
        <v>785</v>
      </c>
      <c r="C316" s="0" t="s">
        <v>15</v>
      </c>
      <c r="D316" s="0" t="s">
        <v>19</v>
      </c>
    </row>
    <row r="317" customFormat="false" ht="13.8" hidden="false" customHeight="false" outlineLevel="0" collapsed="false">
      <c r="A317" s="0" t="s">
        <v>786</v>
      </c>
      <c r="B317" s="0" t="s">
        <v>787</v>
      </c>
      <c r="C317" s="0" t="s">
        <v>15</v>
      </c>
      <c r="D317" s="0" t="s">
        <v>19</v>
      </c>
    </row>
    <row r="318" customFormat="false" ht="13.8" hidden="false" customHeight="false" outlineLevel="0" collapsed="false">
      <c r="A318" s="0" t="s">
        <v>788</v>
      </c>
      <c r="B318" s="0" t="s">
        <v>789</v>
      </c>
      <c r="C318" s="0" t="s">
        <v>15</v>
      </c>
      <c r="D318" s="0" t="s">
        <v>19</v>
      </c>
    </row>
    <row r="319" customFormat="false" ht="13.8" hidden="false" customHeight="false" outlineLevel="0" collapsed="false">
      <c r="A319" s="0" t="s">
        <v>790</v>
      </c>
      <c r="B319" s="0" t="s">
        <v>791</v>
      </c>
      <c r="C319" s="0" t="s">
        <v>15</v>
      </c>
      <c r="D319" s="0" t="s">
        <v>19</v>
      </c>
    </row>
    <row r="320" customFormat="false" ht="13.8" hidden="false" customHeight="false" outlineLevel="0" collapsed="false">
      <c r="A320" s="0" t="s">
        <v>792</v>
      </c>
      <c r="B320" s="0" t="s">
        <v>793</v>
      </c>
      <c r="C320" s="0" t="s">
        <v>15</v>
      </c>
      <c r="D320" s="0" t="s">
        <v>19</v>
      </c>
    </row>
    <row r="321" customFormat="false" ht="13.8" hidden="false" customHeight="false" outlineLevel="0" collapsed="false">
      <c r="A321" s="0" t="s">
        <v>794</v>
      </c>
      <c r="B321" s="0" t="s">
        <v>795</v>
      </c>
      <c r="C321" s="0" t="s">
        <v>15</v>
      </c>
      <c r="D321" s="0" t="s">
        <v>19</v>
      </c>
    </row>
    <row r="322" customFormat="false" ht="13.8" hidden="false" customHeight="false" outlineLevel="0" collapsed="false">
      <c r="A322" s="0" t="s">
        <v>796</v>
      </c>
      <c r="B322" s="0" t="s">
        <v>797</v>
      </c>
      <c r="C322" s="0" t="s">
        <v>15</v>
      </c>
      <c r="D322" s="0" t="s">
        <v>19</v>
      </c>
    </row>
    <row r="323" customFormat="false" ht="13.8" hidden="false" customHeight="false" outlineLevel="0" collapsed="false">
      <c r="A323" s="0" t="s">
        <v>798</v>
      </c>
      <c r="B323" s="0" t="s">
        <v>799</v>
      </c>
      <c r="C323" s="0" t="s">
        <v>15</v>
      </c>
      <c r="D323" s="0" t="s">
        <v>19</v>
      </c>
    </row>
    <row r="324" customFormat="false" ht="13.8" hidden="false" customHeight="false" outlineLevel="0" collapsed="false">
      <c r="A324" s="0" t="s">
        <v>800</v>
      </c>
      <c r="B324" s="0" t="s">
        <v>801</v>
      </c>
      <c r="C324" s="0" t="s">
        <v>15</v>
      </c>
      <c r="D324" s="0" t="s">
        <v>19</v>
      </c>
    </row>
    <row r="325" customFormat="false" ht="13.8" hidden="false" customHeight="false" outlineLevel="0" collapsed="false">
      <c r="A325" s="0" t="s">
        <v>802</v>
      </c>
      <c r="B325" s="0" t="s">
        <v>803</v>
      </c>
      <c r="C325" s="0" t="s">
        <v>15</v>
      </c>
      <c r="D325" s="0" t="s">
        <v>19</v>
      </c>
    </row>
    <row r="326" customFormat="false" ht="13.8" hidden="false" customHeight="false" outlineLevel="0" collapsed="false">
      <c r="A326" s="0" t="s">
        <v>804</v>
      </c>
      <c r="B326" s="0" t="s">
        <v>709</v>
      </c>
      <c r="C326" s="0" t="s">
        <v>15</v>
      </c>
      <c r="D326" s="0" t="s">
        <v>19</v>
      </c>
    </row>
    <row r="327" customFormat="false" ht="13.8" hidden="false" customHeight="false" outlineLevel="0" collapsed="false">
      <c r="A327" s="0" t="s">
        <v>805</v>
      </c>
      <c r="B327" s="0" t="s">
        <v>806</v>
      </c>
      <c r="C327" s="0" t="s">
        <v>15</v>
      </c>
      <c r="D327" s="0" t="s">
        <v>19</v>
      </c>
    </row>
    <row r="328" customFormat="false" ht="13.8" hidden="false" customHeight="false" outlineLevel="0" collapsed="false">
      <c r="A328" s="0" t="s">
        <v>808</v>
      </c>
      <c r="B328" s="0" t="s">
        <v>809</v>
      </c>
      <c r="C328" s="0" t="s">
        <v>15</v>
      </c>
      <c r="D328" s="0" t="s">
        <v>19</v>
      </c>
    </row>
    <row r="329" customFormat="false" ht="13.8" hidden="false" customHeight="false" outlineLevel="0" collapsed="false">
      <c r="A329" s="0" t="s">
        <v>811</v>
      </c>
      <c r="B329" s="0" t="s">
        <v>812</v>
      </c>
      <c r="C329" s="0" t="s">
        <v>15</v>
      </c>
      <c r="D329" s="0" t="s">
        <v>19</v>
      </c>
    </row>
    <row r="330" customFormat="false" ht="13.8" hidden="false" customHeight="false" outlineLevel="0" collapsed="false">
      <c r="A330" s="0" t="s">
        <v>813</v>
      </c>
      <c r="B330" s="0" t="s">
        <v>814</v>
      </c>
      <c r="C330" s="0" t="s">
        <v>15</v>
      </c>
      <c r="D330" s="0" t="s">
        <v>19</v>
      </c>
    </row>
    <row r="331" customFormat="false" ht="13.8" hidden="false" customHeight="false" outlineLevel="0" collapsed="false">
      <c r="A331" s="0" t="s">
        <v>815</v>
      </c>
      <c r="B331" s="0" t="s">
        <v>816</v>
      </c>
      <c r="C331" s="0" t="s">
        <v>15</v>
      </c>
      <c r="D331" s="0" t="s">
        <v>19</v>
      </c>
    </row>
    <row r="332" customFormat="false" ht="13.8" hidden="false" customHeight="false" outlineLevel="0" collapsed="false">
      <c r="A332" s="0" t="s">
        <v>817</v>
      </c>
      <c r="B332" s="0" t="s">
        <v>818</v>
      </c>
      <c r="C332" s="0" t="s">
        <v>15</v>
      </c>
      <c r="D332" s="0" t="s">
        <v>19</v>
      </c>
    </row>
    <row r="333" customFormat="false" ht="13.8" hidden="false" customHeight="false" outlineLevel="0" collapsed="false">
      <c r="A333" s="0" t="s">
        <v>819</v>
      </c>
      <c r="B333" s="0" t="s">
        <v>820</v>
      </c>
      <c r="C333" s="0" t="s">
        <v>15</v>
      </c>
      <c r="D333" s="0" t="s">
        <v>19</v>
      </c>
    </row>
    <row r="334" customFormat="false" ht="13.8" hidden="false" customHeight="false" outlineLevel="0" collapsed="false">
      <c r="A334" s="0" t="s">
        <v>822</v>
      </c>
      <c r="B334" s="0" t="s">
        <v>793</v>
      </c>
      <c r="C334" s="0" t="s">
        <v>15</v>
      </c>
      <c r="D334" s="0" t="s">
        <v>19</v>
      </c>
    </row>
    <row r="335" customFormat="false" ht="13.8" hidden="false" customHeight="false" outlineLevel="0" collapsed="false">
      <c r="A335" s="0" t="s">
        <v>823</v>
      </c>
      <c r="B335" s="0" t="s">
        <v>824</v>
      </c>
      <c r="C335" s="0" t="s">
        <v>15</v>
      </c>
      <c r="D335" s="0" t="s">
        <v>19</v>
      </c>
    </row>
    <row r="336" customFormat="false" ht="13.8" hidden="false" customHeight="false" outlineLevel="0" collapsed="false">
      <c r="A336" s="0" t="s">
        <v>826</v>
      </c>
      <c r="B336" s="0" t="s">
        <v>827</v>
      </c>
      <c r="C336" s="0" t="s">
        <v>15</v>
      </c>
      <c r="D336" s="0" t="s">
        <v>19</v>
      </c>
    </row>
    <row r="337" customFormat="false" ht="13.8" hidden="false" customHeight="false" outlineLevel="0" collapsed="false">
      <c r="A337" s="0" t="s">
        <v>828</v>
      </c>
      <c r="B337" s="0" t="s">
        <v>829</v>
      </c>
      <c r="C337" s="0" t="s">
        <v>15</v>
      </c>
      <c r="D337" s="0" t="s">
        <v>19</v>
      </c>
    </row>
    <row r="338" customFormat="false" ht="13.8" hidden="false" customHeight="false" outlineLevel="0" collapsed="false">
      <c r="A338" s="0" t="s">
        <v>831</v>
      </c>
      <c r="B338" s="0" t="s">
        <v>832</v>
      </c>
      <c r="C338" s="0" t="s">
        <v>15</v>
      </c>
      <c r="D338" s="0" t="s">
        <v>19</v>
      </c>
    </row>
    <row r="339" customFormat="false" ht="13.8" hidden="false" customHeight="false" outlineLevel="0" collapsed="false">
      <c r="A339" s="0" t="s">
        <v>833</v>
      </c>
      <c r="B339" s="0" t="s">
        <v>834</v>
      </c>
      <c r="C339" s="0" t="s">
        <v>15</v>
      </c>
      <c r="D339" s="0" t="s">
        <v>19</v>
      </c>
    </row>
    <row r="340" customFormat="false" ht="13.8" hidden="false" customHeight="false" outlineLevel="0" collapsed="false">
      <c r="A340" s="0" t="s">
        <v>835</v>
      </c>
      <c r="B340" s="0" t="s">
        <v>836</v>
      </c>
      <c r="C340" s="0" t="s">
        <v>15</v>
      </c>
      <c r="D340" s="0" t="s">
        <v>19</v>
      </c>
    </row>
    <row r="341" customFormat="false" ht="13.8" hidden="false" customHeight="false" outlineLevel="0" collapsed="false">
      <c r="A341" s="0" t="s">
        <v>838</v>
      </c>
      <c r="B341" s="0" t="s">
        <v>839</v>
      </c>
      <c r="C341" s="0" t="s">
        <v>15</v>
      </c>
      <c r="D341" s="0" t="s">
        <v>19</v>
      </c>
    </row>
    <row r="342" customFormat="false" ht="13.8" hidden="false" customHeight="false" outlineLevel="0" collapsed="false">
      <c r="A342" s="0" t="s">
        <v>840</v>
      </c>
      <c r="B342" s="0" t="s">
        <v>836</v>
      </c>
      <c r="C342" s="0" t="s">
        <v>15</v>
      </c>
      <c r="D342" s="0" t="s">
        <v>19</v>
      </c>
    </row>
    <row r="343" customFormat="false" ht="13.8" hidden="false" customHeight="false" outlineLevel="0" collapsed="false">
      <c r="A343" s="0" t="s">
        <v>841</v>
      </c>
      <c r="B343" s="0" t="s">
        <v>842</v>
      </c>
      <c r="C343" s="0" t="s">
        <v>15</v>
      </c>
      <c r="D343" s="0" t="s">
        <v>19</v>
      </c>
    </row>
    <row r="344" customFormat="false" ht="13.8" hidden="false" customHeight="false" outlineLevel="0" collapsed="false">
      <c r="A344" s="0" t="s">
        <v>843</v>
      </c>
      <c r="B344" s="0" t="s">
        <v>844</v>
      </c>
      <c r="C344" s="0" t="s">
        <v>15</v>
      </c>
      <c r="D344" s="0" t="s">
        <v>19</v>
      </c>
    </row>
    <row r="345" customFormat="false" ht="13.8" hidden="false" customHeight="false" outlineLevel="0" collapsed="false">
      <c r="A345" s="0" t="s">
        <v>846</v>
      </c>
      <c r="B345" s="0" t="s">
        <v>847</v>
      </c>
      <c r="C345" s="0" t="s">
        <v>15</v>
      </c>
      <c r="D345" s="0" t="s">
        <v>19</v>
      </c>
    </row>
    <row r="346" customFormat="false" ht="13.8" hidden="false" customHeight="false" outlineLevel="0" collapsed="false">
      <c r="A346" s="0" t="s">
        <v>848</v>
      </c>
      <c r="B346" s="0" t="s">
        <v>849</v>
      </c>
      <c r="C346" s="0" t="s">
        <v>15</v>
      </c>
      <c r="D346" s="0" t="s">
        <v>24</v>
      </c>
    </row>
    <row r="347" customFormat="false" ht="13.8" hidden="false" customHeight="false" outlineLevel="0" collapsed="false">
      <c r="A347" s="0" t="s">
        <v>851</v>
      </c>
      <c r="B347" s="0" t="s">
        <v>852</v>
      </c>
      <c r="C347" s="0" t="s">
        <v>15</v>
      </c>
      <c r="D347" s="0" t="s">
        <v>19</v>
      </c>
    </row>
    <row r="348" customFormat="false" ht="13.8" hidden="false" customHeight="false" outlineLevel="0" collapsed="false">
      <c r="A348" s="0" t="s">
        <v>854</v>
      </c>
      <c r="B348" s="0" t="s">
        <v>855</v>
      </c>
      <c r="C348" s="0" t="s">
        <v>15</v>
      </c>
      <c r="D348" s="0" t="s">
        <v>24</v>
      </c>
    </row>
    <row r="349" customFormat="false" ht="13.8" hidden="false" customHeight="false" outlineLevel="0" collapsed="false">
      <c r="A349" s="0" t="s">
        <v>856</v>
      </c>
      <c r="B349" s="0" t="s">
        <v>857</v>
      </c>
      <c r="C349" s="0" t="s">
        <v>15</v>
      </c>
      <c r="D349" s="0" t="s">
        <v>19</v>
      </c>
    </row>
    <row r="350" customFormat="false" ht="13.8" hidden="false" customHeight="false" outlineLevel="0" collapsed="false">
      <c r="A350" s="0" t="s">
        <v>858</v>
      </c>
      <c r="B350" s="0" t="s">
        <v>859</v>
      </c>
      <c r="C350" s="0" t="s">
        <v>15</v>
      </c>
      <c r="D350" s="0" t="s">
        <v>19</v>
      </c>
    </row>
    <row r="351" customFormat="false" ht="13.8" hidden="false" customHeight="false" outlineLevel="0" collapsed="false">
      <c r="A351" s="0" t="s">
        <v>860</v>
      </c>
      <c r="B351" s="0" t="s">
        <v>861</v>
      </c>
      <c r="C351" s="0" t="s">
        <v>15</v>
      </c>
      <c r="D351" s="0" t="s">
        <v>19</v>
      </c>
    </row>
    <row r="352" customFormat="false" ht="13.8" hidden="false" customHeight="false" outlineLevel="0" collapsed="false">
      <c r="A352" s="0" t="s">
        <v>863</v>
      </c>
      <c r="B352" s="0" t="s">
        <v>864</v>
      </c>
      <c r="C352" s="0" t="s">
        <v>15</v>
      </c>
      <c r="D352" s="0" t="s">
        <v>19</v>
      </c>
    </row>
    <row r="353" customFormat="false" ht="13.8" hidden="false" customHeight="false" outlineLevel="0" collapsed="false">
      <c r="A353" s="0" t="s">
        <v>865</v>
      </c>
      <c r="B353" s="0" t="s">
        <v>866</v>
      </c>
      <c r="C353" s="0" t="s">
        <v>15</v>
      </c>
      <c r="D353" s="0" t="s">
        <v>19</v>
      </c>
    </row>
    <row r="354" customFormat="false" ht="13.8" hidden="false" customHeight="false" outlineLevel="0" collapsed="false">
      <c r="A354" s="0" t="s">
        <v>867</v>
      </c>
      <c r="B354" s="0" t="s">
        <v>868</v>
      </c>
      <c r="C354" s="0" t="s">
        <v>15</v>
      </c>
      <c r="D354" s="0" t="s">
        <v>19</v>
      </c>
    </row>
    <row r="355" customFormat="false" ht="13.8" hidden="false" customHeight="false" outlineLevel="0" collapsed="false">
      <c r="A355" s="0" t="s">
        <v>870</v>
      </c>
      <c r="B355" s="0" t="s">
        <v>871</v>
      </c>
      <c r="C355" s="0" t="s">
        <v>15</v>
      </c>
      <c r="D355" s="0" t="s">
        <v>19</v>
      </c>
    </row>
    <row r="356" customFormat="false" ht="13.8" hidden="false" customHeight="false" outlineLevel="0" collapsed="false">
      <c r="A356" s="0" t="s">
        <v>873</v>
      </c>
      <c r="B356" s="0" t="s">
        <v>874</v>
      </c>
      <c r="C356" s="0" t="s">
        <v>15</v>
      </c>
      <c r="D356" s="0" t="s">
        <v>19</v>
      </c>
    </row>
    <row r="357" customFormat="false" ht="13.8" hidden="false" customHeight="false" outlineLevel="0" collapsed="false">
      <c r="A357" s="0" t="s">
        <v>875</v>
      </c>
      <c r="B357" s="0" t="s">
        <v>876</v>
      </c>
      <c r="C357" s="0" t="s">
        <v>15</v>
      </c>
      <c r="D357" s="0" t="s">
        <v>19</v>
      </c>
    </row>
    <row r="358" customFormat="false" ht="13.8" hidden="false" customHeight="false" outlineLevel="0" collapsed="false">
      <c r="A358" s="0" t="s">
        <v>878</v>
      </c>
      <c r="B358" s="0" t="s">
        <v>879</v>
      </c>
      <c r="C358" s="0" t="s">
        <v>15</v>
      </c>
      <c r="D358" s="0" t="s">
        <v>19</v>
      </c>
    </row>
    <row r="359" customFormat="false" ht="13.8" hidden="false" customHeight="false" outlineLevel="0" collapsed="false">
      <c r="A359" s="0" t="s">
        <v>880</v>
      </c>
      <c r="B359" s="0" t="s">
        <v>881</v>
      </c>
      <c r="C359" s="0" t="s">
        <v>15</v>
      </c>
      <c r="D359" s="0" t="s">
        <v>19</v>
      </c>
    </row>
    <row r="360" customFormat="false" ht="13.8" hidden="false" customHeight="false" outlineLevel="0" collapsed="false">
      <c r="A360" s="0" t="s">
        <v>883</v>
      </c>
      <c r="B360" s="0" t="s">
        <v>884</v>
      </c>
      <c r="C360" s="0" t="s">
        <v>15</v>
      </c>
      <c r="D360" s="0" t="s">
        <v>19</v>
      </c>
    </row>
    <row r="361" customFormat="false" ht="13.8" hidden="false" customHeight="false" outlineLevel="0" collapsed="false">
      <c r="A361" s="0" t="s">
        <v>885</v>
      </c>
      <c r="B361" s="0" t="s">
        <v>886</v>
      </c>
      <c r="C361" s="0" t="s">
        <v>15</v>
      </c>
      <c r="D361" s="0" t="s">
        <v>24</v>
      </c>
    </row>
    <row r="362" customFormat="false" ht="13.8" hidden="false" customHeight="false" outlineLevel="0" collapsed="false">
      <c r="A362" s="0" t="s">
        <v>887</v>
      </c>
      <c r="B362" s="0" t="s">
        <v>888</v>
      </c>
      <c r="C362" s="0" t="s">
        <v>15</v>
      </c>
      <c r="D362" s="0" t="s">
        <v>19</v>
      </c>
    </row>
    <row r="363" customFormat="false" ht="13.8" hidden="false" customHeight="false" outlineLevel="0" collapsed="false">
      <c r="A363" s="0" t="s">
        <v>889</v>
      </c>
      <c r="B363" s="0" t="s">
        <v>890</v>
      </c>
      <c r="C363" s="0" t="s">
        <v>15</v>
      </c>
      <c r="D363" s="0" t="s">
        <v>19</v>
      </c>
    </row>
    <row r="364" customFormat="false" ht="13.8" hidden="false" customHeight="false" outlineLevel="0" collapsed="false">
      <c r="A364" s="0" t="s">
        <v>891</v>
      </c>
      <c r="B364" s="0" t="s">
        <v>292</v>
      </c>
      <c r="C364" s="0" t="s">
        <v>15</v>
      </c>
      <c r="D364" s="0" t="s">
        <v>19</v>
      </c>
    </row>
    <row r="365" customFormat="false" ht="13.8" hidden="false" customHeight="false" outlineLevel="0" collapsed="false">
      <c r="A365" s="0" t="s">
        <v>892</v>
      </c>
      <c r="B365" s="0" t="s">
        <v>893</v>
      </c>
      <c r="C365" s="0" t="s">
        <v>15</v>
      </c>
      <c r="D365" s="0" t="s">
        <v>19</v>
      </c>
    </row>
    <row r="366" customFormat="false" ht="13.8" hidden="false" customHeight="false" outlineLevel="0" collapsed="false">
      <c r="A366" s="0" t="s">
        <v>894</v>
      </c>
      <c r="B366" s="0" t="s">
        <v>895</v>
      </c>
      <c r="C366" s="0" t="s">
        <v>15</v>
      </c>
      <c r="D366" s="0" t="s">
        <v>24</v>
      </c>
    </row>
    <row r="367" customFormat="false" ht="13.8" hidden="false" customHeight="false" outlineLevel="0" collapsed="false">
      <c r="A367" s="0" t="s">
        <v>896</v>
      </c>
      <c r="B367" s="0" t="s">
        <v>897</v>
      </c>
      <c r="C367" s="0" t="s">
        <v>15</v>
      </c>
      <c r="D367" s="0" t="s">
        <v>19</v>
      </c>
    </row>
    <row r="368" customFormat="false" ht="13.8" hidden="false" customHeight="false" outlineLevel="0" collapsed="false">
      <c r="A368" s="0" t="s">
        <v>900</v>
      </c>
      <c r="B368" s="0" t="s">
        <v>901</v>
      </c>
      <c r="C368" s="0" t="s">
        <v>15</v>
      </c>
      <c r="D368" s="0" t="s">
        <v>19</v>
      </c>
    </row>
    <row r="369" customFormat="false" ht="13.8" hidden="false" customHeight="false" outlineLevel="0" collapsed="false">
      <c r="A369" s="0" t="s">
        <v>903</v>
      </c>
      <c r="B369" s="0" t="s">
        <v>904</v>
      </c>
      <c r="C369" s="0" t="s">
        <v>15</v>
      </c>
      <c r="D369" s="0" t="s">
        <v>19</v>
      </c>
    </row>
    <row r="370" customFormat="false" ht="13.8" hidden="false" customHeight="false" outlineLevel="0" collapsed="false">
      <c r="A370" s="0" t="s">
        <v>905</v>
      </c>
      <c r="B370" s="0" t="s">
        <v>906</v>
      </c>
      <c r="C370" s="0" t="s">
        <v>15</v>
      </c>
      <c r="D370" s="0" t="s">
        <v>19</v>
      </c>
    </row>
    <row r="371" customFormat="false" ht="13.8" hidden="false" customHeight="false" outlineLevel="0" collapsed="false">
      <c r="A371" s="0" t="s">
        <v>907</v>
      </c>
      <c r="B371" s="0" t="s">
        <v>908</v>
      </c>
      <c r="C371" s="0" t="s">
        <v>15</v>
      </c>
      <c r="D371" s="0" t="s">
        <v>19</v>
      </c>
    </row>
    <row r="372" customFormat="false" ht="13.8" hidden="false" customHeight="false" outlineLevel="0" collapsed="false">
      <c r="A372" s="0" t="s">
        <v>909</v>
      </c>
      <c r="B372" s="0" t="s">
        <v>910</v>
      </c>
      <c r="C372" s="0" t="s">
        <v>15</v>
      </c>
      <c r="D372" s="0" t="s">
        <v>19</v>
      </c>
    </row>
    <row r="373" customFormat="false" ht="13.8" hidden="false" customHeight="false" outlineLevel="0" collapsed="false">
      <c r="A373" s="0" t="s">
        <v>913</v>
      </c>
      <c r="B373" s="0" t="s">
        <v>914</v>
      </c>
      <c r="C373" s="0" t="s">
        <v>15</v>
      </c>
      <c r="D373" s="0" t="s">
        <v>19</v>
      </c>
    </row>
    <row r="374" customFormat="false" ht="13.8" hidden="false" customHeight="false" outlineLevel="0" collapsed="false">
      <c r="A374" s="0" t="s">
        <v>915</v>
      </c>
      <c r="B374" s="0" t="s">
        <v>916</v>
      </c>
      <c r="C374" s="0" t="s">
        <v>15</v>
      </c>
      <c r="D374" s="0" t="s">
        <v>19</v>
      </c>
    </row>
    <row r="375" customFormat="false" ht="13.8" hidden="false" customHeight="false" outlineLevel="0" collapsed="false">
      <c r="A375" s="0" t="s">
        <v>917</v>
      </c>
      <c r="B375" s="0" t="s">
        <v>918</v>
      </c>
      <c r="C375" s="0" t="s">
        <v>15</v>
      </c>
      <c r="D375" s="0" t="s">
        <v>19</v>
      </c>
    </row>
    <row r="376" customFormat="false" ht="13.8" hidden="false" customHeight="false" outlineLevel="0" collapsed="false">
      <c r="A376" s="0" t="s">
        <v>919</v>
      </c>
      <c r="B376" s="0" t="s">
        <v>920</v>
      </c>
      <c r="C376" s="0" t="s">
        <v>15</v>
      </c>
      <c r="D376" s="0" t="s">
        <v>19</v>
      </c>
    </row>
    <row r="377" customFormat="false" ht="13.8" hidden="false" customHeight="false" outlineLevel="0" collapsed="false">
      <c r="A377" s="0" t="s">
        <v>921</v>
      </c>
      <c r="B377" s="0" t="s">
        <v>922</v>
      </c>
      <c r="C377" s="0" t="s">
        <v>15</v>
      </c>
      <c r="D377" s="0" t="s">
        <v>19</v>
      </c>
    </row>
    <row r="378" customFormat="false" ht="13.8" hidden="false" customHeight="false" outlineLevel="0" collapsed="false">
      <c r="A378" s="0" t="s">
        <v>924</v>
      </c>
      <c r="B378" s="0" t="s">
        <v>925</v>
      </c>
      <c r="C378" s="0" t="s">
        <v>15</v>
      </c>
      <c r="D378" s="0" t="s">
        <v>19</v>
      </c>
    </row>
    <row r="379" customFormat="false" ht="13.8" hidden="false" customHeight="false" outlineLevel="0" collapsed="false">
      <c r="A379" s="0" t="s">
        <v>926</v>
      </c>
      <c r="B379" s="0" t="s">
        <v>927</v>
      </c>
      <c r="C379" s="0" t="s">
        <v>15</v>
      </c>
      <c r="D379" s="0" t="s">
        <v>19</v>
      </c>
    </row>
    <row r="380" customFormat="false" ht="13.8" hidden="false" customHeight="false" outlineLevel="0" collapsed="false">
      <c r="A380" s="0" t="s">
        <v>928</v>
      </c>
      <c r="B380" s="0" t="s">
        <v>929</v>
      </c>
      <c r="C380" s="0" t="s">
        <v>15</v>
      </c>
      <c r="D380" s="0" t="s">
        <v>19</v>
      </c>
    </row>
    <row r="381" customFormat="false" ht="13.8" hidden="false" customHeight="false" outlineLevel="0" collapsed="false">
      <c r="A381" s="0" t="s">
        <v>930</v>
      </c>
      <c r="B381" s="0" t="s">
        <v>931</v>
      </c>
      <c r="C381" s="0" t="s">
        <v>15</v>
      </c>
      <c r="D381" s="0" t="s">
        <v>19</v>
      </c>
    </row>
    <row r="382" customFormat="false" ht="13.8" hidden="false" customHeight="false" outlineLevel="0" collapsed="false">
      <c r="A382" s="0" t="s">
        <v>932</v>
      </c>
      <c r="B382" s="0" t="s">
        <v>933</v>
      </c>
      <c r="C382" s="0" t="s">
        <v>15</v>
      </c>
      <c r="D382" s="0" t="s">
        <v>16</v>
      </c>
    </row>
    <row r="383" customFormat="false" ht="13.8" hidden="false" customHeight="false" outlineLevel="0" collapsed="false">
      <c r="A383" s="0" t="s">
        <v>935</v>
      </c>
      <c r="B383" s="0" t="s">
        <v>861</v>
      </c>
      <c r="C383" s="0" t="s">
        <v>15</v>
      </c>
      <c r="D383" s="0" t="s">
        <v>19</v>
      </c>
    </row>
    <row r="384" customFormat="false" ht="13.8" hidden="false" customHeight="false" outlineLevel="0" collapsed="false">
      <c r="A384" s="0" t="s">
        <v>937</v>
      </c>
      <c r="B384" s="0" t="s">
        <v>938</v>
      </c>
      <c r="C384" s="0" t="s">
        <v>15</v>
      </c>
      <c r="D384" s="0" t="s">
        <v>19</v>
      </c>
    </row>
    <row r="385" customFormat="false" ht="13.8" hidden="false" customHeight="false" outlineLevel="0" collapsed="false">
      <c r="A385" s="0" t="s">
        <v>940</v>
      </c>
      <c r="B385" s="0" t="s">
        <v>941</v>
      </c>
      <c r="C385" s="0" t="s">
        <v>15</v>
      </c>
      <c r="D385" s="0" t="s">
        <v>19</v>
      </c>
    </row>
    <row r="386" customFormat="false" ht="13.8" hidden="false" customHeight="false" outlineLevel="0" collapsed="false">
      <c r="A386" s="0" t="s">
        <v>943</v>
      </c>
      <c r="B386" s="0" t="s">
        <v>944</v>
      </c>
      <c r="C386" s="0" t="s">
        <v>15</v>
      </c>
      <c r="D386" s="0" t="s">
        <v>19</v>
      </c>
    </row>
    <row r="387" customFormat="false" ht="13.8" hidden="false" customHeight="false" outlineLevel="0" collapsed="false">
      <c r="A387" s="0" t="s">
        <v>946</v>
      </c>
      <c r="B387" s="0" t="s">
        <v>947</v>
      </c>
      <c r="C387" s="0" t="s">
        <v>15</v>
      </c>
      <c r="D387" s="0" t="s">
        <v>19</v>
      </c>
    </row>
    <row r="388" customFormat="false" ht="13.8" hidden="false" customHeight="false" outlineLevel="0" collapsed="false">
      <c r="A388" s="0" t="s">
        <v>949</v>
      </c>
      <c r="B388" s="0" t="s">
        <v>427</v>
      </c>
      <c r="C388" s="0" t="s">
        <v>15</v>
      </c>
      <c r="D388" s="0" t="s">
        <v>19</v>
      </c>
    </row>
    <row r="389" customFormat="false" ht="13.8" hidden="false" customHeight="false" outlineLevel="0" collapsed="false">
      <c r="A389" s="0" t="s">
        <v>950</v>
      </c>
      <c r="B389" s="0" t="s">
        <v>951</v>
      </c>
      <c r="C389" s="0" t="s">
        <v>15</v>
      </c>
      <c r="D389" s="0" t="s">
        <v>19</v>
      </c>
    </row>
    <row r="390" customFormat="false" ht="13.8" hidden="false" customHeight="false" outlineLevel="0" collapsed="false">
      <c r="A390" s="0" t="s">
        <v>952</v>
      </c>
      <c r="B390" s="0" t="s">
        <v>953</v>
      </c>
      <c r="C390" s="0" t="s">
        <v>15</v>
      </c>
      <c r="D390" s="0" t="s">
        <v>19</v>
      </c>
    </row>
    <row r="391" customFormat="false" ht="13.8" hidden="false" customHeight="false" outlineLevel="0" collapsed="false">
      <c r="A391" s="0" t="s">
        <v>955</v>
      </c>
      <c r="B391" s="0" t="s">
        <v>824</v>
      </c>
      <c r="C391" s="0" t="s">
        <v>15</v>
      </c>
      <c r="D391" s="0" t="s">
        <v>19</v>
      </c>
    </row>
    <row r="392" customFormat="false" ht="13.8" hidden="false" customHeight="false" outlineLevel="0" collapsed="false">
      <c r="A392" s="0" t="s">
        <v>956</v>
      </c>
      <c r="B392" s="0" t="s">
        <v>957</v>
      </c>
      <c r="C392" s="0" t="s">
        <v>15</v>
      </c>
      <c r="D392" s="0" t="s">
        <v>19</v>
      </c>
    </row>
    <row r="393" customFormat="false" ht="13.8" hidden="false" customHeight="false" outlineLevel="0" collapsed="false">
      <c r="A393" s="0" t="s">
        <v>959</v>
      </c>
      <c r="B393" s="0" t="s">
        <v>960</v>
      </c>
      <c r="C393" s="0" t="s">
        <v>15</v>
      </c>
      <c r="D393" s="0" t="s">
        <v>19</v>
      </c>
    </row>
    <row r="394" customFormat="false" ht="13.8" hidden="false" customHeight="false" outlineLevel="0" collapsed="false">
      <c r="A394" s="0" t="s">
        <v>961</v>
      </c>
      <c r="B394" s="0" t="s">
        <v>962</v>
      </c>
      <c r="C394" s="0" t="s">
        <v>15</v>
      </c>
      <c r="D394" s="0" t="s">
        <v>19</v>
      </c>
    </row>
    <row r="395" customFormat="false" ht="13.8" hidden="false" customHeight="false" outlineLevel="0" collapsed="false">
      <c r="A395" s="0" t="s">
        <v>964</v>
      </c>
      <c r="B395" s="0" t="s">
        <v>965</v>
      </c>
      <c r="C395" s="0" t="s">
        <v>15</v>
      </c>
      <c r="D395" s="0" t="s">
        <v>19</v>
      </c>
    </row>
    <row r="396" customFormat="false" ht="13.8" hidden="false" customHeight="false" outlineLevel="0" collapsed="false">
      <c r="A396" s="0" t="s">
        <v>966</v>
      </c>
      <c r="B396" s="0" t="s">
        <v>967</v>
      </c>
      <c r="C396" s="0" t="s">
        <v>15</v>
      </c>
      <c r="D396" s="0" t="s">
        <v>19</v>
      </c>
    </row>
    <row r="397" customFormat="false" ht="13.8" hidden="false" customHeight="false" outlineLevel="0" collapsed="false">
      <c r="A397" s="0" t="s">
        <v>968</v>
      </c>
      <c r="B397" s="0" t="s">
        <v>969</v>
      </c>
      <c r="C397" s="0" t="s">
        <v>15</v>
      </c>
      <c r="D397" s="0" t="s">
        <v>24</v>
      </c>
    </row>
    <row r="398" customFormat="false" ht="13.8" hidden="false" customHeight="false" outlineLevel="0" collapsed="false">
      <c r="A398" s="0" t="s">
        <v>971</v>
      </c>
      <c r="B398" s="0" t="s">
        <v>972</v>
      </c>
      <c r="C398" s="0" t="s">
        <v>15</v>
      </c>
      <c r="D398" s="0" t="s">
        <v>19</v>
      </c>
    </row>
    <row r="399" customFormat="false" ht="13.8" hidden="false" customHeight="false" outlineLevel="0" collapsed="false">
      <c r="A399" s="0" t="s">
        <v>973</v>
      </c>
      <c r="B399" s="0" t="s">
        <v>974</v>
      </c>
      <c r="C399" s="0" t="s">
        <v>15</v>
      </c>
      <c r="D399" s="0" t="s">
        <v>19</v>
      </c>
    </row>
    <row r="400" customFormat="false" ht="13.8" hidden="false" customHeight="false" outlineLevel="0" collapsed="false">
      <c r="A400" s="0" t="s">
        <v>975</v>
      </c>
      <c r="B400" s="0" t="s">
        <v>976</v>
      </c>
      <c r="C400" s="0" t="s">
        <v>15</v>
      </c>
      <c r="D400" s="0" t="s">
        <v>19</v>
      </c>
    </row>
    <row r="401" customFormat="false" ht="13.8" hidden="false" customHeight="false" outlineLevel="0" collapsed="false">
      <c r="A401" s="0" t="s">
        <v>977</v>
      </c>
      <c r="B401" s="0" t="s">
        <v>844</v>
      </c>
      <c r="C401" s="0" t="s">
        <v>15</v>
      </c>
      <c r="D401" s="0" t="s">
        <v>19</v>
      </c>
    </row>
    <row r="402" customFormat="false" ht="13.8" hidden="false" customHeight="false" outlineLevel="0" collapsed="false">
      <c r="A402" s="0" t="s">
        <v>978</v>
      </c>
      <c r="B402" s="0" t="s">
        <v>979</v>
      </c>
      <c r="C402" s="0" t="s">
        <v>15</v>
      </c>
      <c r="D402" s="0" t="s">
        <v>19</v>
      </c>
    </row>
    <row r="403" customFormat="false" ht="13.8" hidden="false" customHeight="false" outlineLevel="0" collapsed="false">
      <c r="A403" s="0" t="s">
        <v>980</v>
      </c>
      <c r="B403" s="0" t="s">
        <v>981</v>
      </c>
      <c r="C403" s="0" t="s">
        <v>15</v>
      </c>
      <c r="D403" s="0" t="s">
        <v>19</v>
      </c>
    </row>
    <row r="404" customFormat="false" ht="13.8" hidden="false" customHeight="false" outlineLevel="0" collapsed="false">
      <c r="A404" s="0" t="s">
        <v>982</v>
      </c>
      <c r="B404" s="0" t="s">
        <v>983</v>
      </c>
      <c r="C404" s="0" t="s">
        <v>15</v>
      </c>
      <c r="D404" s="0" t="s">
        <v>19</v>
      </c>
    </row>
    <row r="405" customFormat="false" ht="13.8" hidden="false" customHeight="false" outlineLevel="0" collapsed="false">
      <c r="A405" s="0" t="s">
        <v>985</v>
      </c>
      <c r="B405" s="0" t="s">
        <v>986</v>
      </c>
      <c r="C405" s="0" t="s">
        <v>15</v>
      </c>
      <c r="D405" s="0" t="s">
        <v>19</v>
      </c>
    </row>
    <row r="406" customFormat="false" ht="13.8" hidden="false" customHeight="false" outlineLevel="0" collapsed="false">
      <c r="A406" s="0" t="s">
        <v>987</v>
      </c>
      <c r="B406" s="0" t="s">
        <v>988</v>
      </c>
      <c r="C406" s="0" t="s">
        <v>15</v>
      </c>
      <c r="D406" s="0" t="s">
        <v>19</v>
      </c>
    </row>
    <row r="407" customFormat="false" ht="13.8" hidden="false" customHeight="false" outlineLevel="0" collapsed="false">
      <c r="A407" s="0" t="s">
        <v>989</v>
      </c>
      <c r="B407" s="0" t="s">
        <v>990</v>
      </c>
      <c r="C407" s="0" t="s">
        <v>15</v>
      </c>
      <c r="D407" s="0" t="s">
        <v>19</v>
      </c>
    </row>
    <row r="408" customFormat="false" ht="13.8" hidden="false" customHeight="false" outlineLevel="0" collapsed="false">
      <c r="A408" s="0" t="s">
        <v>991</v>
      </c>
      <c r="B408" s="0" t="s">
        <v>992</v>
      </c>
      <c r="C408" s="0" t="s">
        <v>15</v>
      </c>
      <c r="D408" s="0" t="s">
        <v>19</v>
      </c>
    </row>
    <row r="409" customFormat="false" ht="13.8" hidden="false" customHeight="false" outlineLevel="0" collapsed="false">
      <c r="A409" s="0" t="s">
        <v>993</v>
      </c>
      <c r="B409" s="0" t="s">
        <v>994</v>
      </c>
      <c r="C409" s="0" t="s">
        <v>15</v>
      </c>
      <c r="D409" s="0" t="s">
        <v>19</v>
      </c>
    </row>
    <row r="410" customFormat="false" ht="13.8" hidden="false" customHeight="false" outlineLevel="0" collapsed="false">
      <c r="A410" s="0" t="s">
        <v>996</v>
      </c>
      <c r="B410" s="0" t="s">
        <v>997</v>
      </c>
      <c r="C410" s="0" t="s">
        <v>15</v>
      </c>
      <c r="D410" s="0" t="s">
        <v>19</v>
      </c>
    </row>
    <row r="411" customFormat="false" ht="13.8" hidden="false" customHeight="false" outlineLevel="0" collapsed="false">
      <c r="A411" s="0" t="s">
        <v>999</v>
      </c>
      <c r="B411" s="0" t="s">
        <v>1000</v>
      </c>
      <c r="C411" s="0" t="s">
        <v>15</v>
      </c>
      <c r="D411" s="0" t="s">
        <v>19</v>
      </c>
    </row>
    <row r="412" customFormat="false" ht="13.8" hidden="false" customHeight="false" outlineLevel="0" collapsed="false">
      <c r="A412" s="0" t="s">
        <v>1002</v>
      </c>
      <c r="B412" s="0" t="s">
        <v>1003</v>
      </c>
      <c r="C412" s="0" t="s">
        <v>15</v>
      </c>
      <c r="D412" s="0" t="s">
        <v>19</v>
      </c>
    </row>
    <row r="413" customFormat="false" ht="13.8" hidden="false" customHeight="false" outlineLevel="0" collapsed="false">
      <c r="A413" s="0" t="s">
        <v>1005</v>
      </c>
      <c r="B413" s="0" t="s">
        <v>1006</v>
      </c>
      <c r="C413" s="0" t="s">
        <v>15</v>
      </c>
      <c r="D413" s="0" t="s">
        <v>19</v>
      </c>
    </row>
    <row r="414" customFormat="false" ht="13.8" hidden="false" customHeight="false" outlineLevel="0" collapsed="false">
      <c r="A414" s="0" t="s">
        <v>1007</v>
      </c>
      <c r="B414" s="0" t="s">
        <v>1008</v>
      </c>
      <c r="C414" s="0" t="s">
        <v>15</v>
      </c>
      <c r="D414" s="0" t="s">
        <v>19</v>
      </c>
    </row>
    <row r="415" customFormat="false" ht="13.8" hidden="false" customHeight="false" outlineLevel="0" collapsed="false">
      <c r="A415" s="0" t="s">
        <v>1010</v>
      </c>
      <c r="B415" s="0" t="s">
        <v>1011</v>
      </c>
      <c r="C415" s="0" t="s">
        <v>15</v>
      </c>
      <c r="D415" s="0" t="s">
        <v>19</v>
      </c>
    </row>
    <row r="416" customFormat="false" ht="13.8" hidden="false" customHeight="false" outlineLevel="0" collapsed="false">
      <c r="A416" s="0" t="s">
        <v>1013</v>
      </c>
      <c r="B416" s="0" t="s">
        <v>1014</v>
      </c>
      <c r="C416" s="0" t="s">
        <v>15</v>
      </c>
      <c r="D416" s="0" t="s">
        <v>19</v>
      </c>
    </row>
    <row r="417" customFormat="false" ht="13.8" hidden="false" customHeight="false" outlineLevel="0" collapsed="false">
      <c r="A417" s="0" t="s">
        <v>1015</v>
      </c>
      <c r="B417" s="0" t="s">
        <v>1016</v>
      </c>
      <c r="C417" s="0" t="s">
        <v>15</v>
      </c>
      <c r="D417" s="0" t="s">
        <v>19</v>
      </c>
    </row>
    <row r="418" customFormat="false" ht="13.8" hidden="false" customHeight="false" outlineLevel="0" collapsed="false">
      <c r="A418" s="0" t="s">
        <v>1017</v>
      </c>
      <c r="B418" s="0" t="s">
        <v>1018</v>
      </c>
      <c r="C418" s="0" t="s">
        <v>15</v>
      </c>
      <c r="D418" s="0" t="s">
        <v>19</v>
      </c>
    </row>
    <row r="419" customFormat="false" ht="13.8" hidden="false" customHeight="false" outlineLevel="0" collapsed="false">
      <c r="A419" s="0" t="s">
        <v>1019</v>
      </c>
      <c r="B419" s="0" t="s">
        <v>1020</v>
      </c>
      <c r="C419" s="0" t="s">
        <v>15</v>
      </c>
      <c r="D419" s="0" t="s">
        <v>19</v>
      </c>
    </row>
    <row r="420" customFormat="false" ht="13.8" hidden="false" customHeight="false" outlineLevel="0" collapsed="false">
      <c r="A420" s="0" t="s">
        <v>1021</v>
      </c>
      <c r="B420" s="0" t="s">
        <v>1022</v>
      </c>
      <c r="C420" s="0" t="s">
        <v>15</v>
      </c>
      <c r="D420" s="0" t="s">
        <v>19</v>
      </c>
    </row>
    <row r="421" customFormat="false" ht="13.8" hidden="false" customHeight="false" outlineLevel="0" collapsed="false">
      <c r="A421" s="0" t="s">
        <v>1024</v>
      </c>
      <c r="B421" s="0" t="s">
        <v>1025</v>
      </c>
      <c r="C421" s="0" t="s">
        <v>15</v>
      </c>
      <c r="D421" s="0" t="s">
        <v>19</v>
      </c>
    </row>
    <row r="422" customFormat="false" ht="13.8" hidden="false" customHeight="false" outlineLevel="0" collapsed="false">
      <c r="A422" s="0" t="s">
        <v>1026</v>
      </c>
      <c r="B422" s="0" t="s">
        <v>1027</v>
      </c>
      <c r="C422" s="0" t="s">
        <v>15</v>
      </c>
      <c r="D422" s="0" t="s">
        <v>19</v>
      </c>
    </row>
    <row r="423" customFormat="false" ht="13.8" hidden="false" customHeight="false" outlineLevel="0" collapsed="false">
      <c r="A423" s="0" t="s">
        <v>1028</v>
      </c>
      <c r="B423" s="0" t="s">
        <v>1029</v>
      </c>
      <c r="C423" s="0" t="s">
        <v>15</v>
      </c>
      <c r="D423" s="0" t="s">
        <v>19</v>
      </c>
    </row>
    <row r="424" customFormat="false" ht="13.8" hidden="false" customHeight="false" outlineLevel="0" collapsed="false">
      <c r="A424" s="0" t="s">
        <v>1031</v>
      </c>
      <c r="B424" s="0" t="s">
        <v>1032</v>
      </c>
      <c r="C424" s="0" t="s">
        <v>15</v>
      </c>
      <c r="D424" s="0" t="s">
        <v>19</v>
      </c>
    </row>
    <row r="425" customFormat="false" ht="13.8" hidden="false" customHeight="false" outlineLevel="0" collapsed="false">
      <c r="A425" s="0" t="s">
        <v>1034</v>
      </c>
      <c r="B425" s="0" t="s">
        <v>1035</v>
      </c>
      <c r="C425" s="0" t="s">
        <v>15</v>
      </c>
      <c r="D425" s="0" t="s">
        <v>19</v>
      </c>
    </row>
    <row r="426" customFormat="false" ht="13.8" hidden="false" customHeight="false" outlineLevel="0" collapsed="false">
      <c r="A426" s="0" t="s">
        <v>1036</v>
      </c>
      <c r="B426" s="0" t="s">
        <v>1037</v>
      </c>
      <c r="C426" s="0" t="s">
        <v>15</v>
      </c>
      <c r="D426" s="0" t="s">
        <v>19</v>
      </c>
    </row>
    <row r="427" customFormat="false" ht="13.8" hidden="false" customHeight="false" outlineLevel="0" collapsed="false">
      <c r="A427" s="0" t="s">
        <v>1039</v>
      </c>
      <c r="B427" s="0" t="s">
        <v>1040</v>
      </c>
      <c r="C427" s="0" t="s">
        <v>15</v>
      </c>
      <c r="D427" s="0" t="s">
        <v>19</v>
      </c>
    </row>
    <row r="428" customFormat="false" ht="13.8" hidden="false" customHeight="false" outlineLevel="0" collapsed="false">
      <c r="A428" s="0" t="s">
        <v>1041</v>
      </c>
      <c r="B428" s="0" t="s">
        <v>1042</v>
      </c>
      <c r="C428" s="0" t="s">
        <v>15</v>
      </c>
      <c r="D428" s="0" t="s">
        <v>19</v>
      </c>
    </row>
    <row r="429" customFormat="false" ht="13.8" hidden="false" customHeight="false" outlineLevel="0" collapsed="false">
      <c r="A429" s="0" t="s">
        <v>1044</v>
      </c>
      <c r="B429" s="0" t="s">
        <v>1045</v>
      </c>
      <c r="C429" s="0" t="s">
        <v>15</v>
      </c>
      <c r="D429" s="0" t="s">
        <v>19</v>
      </c>
    </row>
    <row r="430" customFormat="false" ht="13.8" hidden="false" customHeight="false" outlineLevel="0" collapsed="false">
      <c r="A430" s="0" t="s">
        <v>1046</v>
      </c>
      <c r="B430" s="0" t="s">
        <v>1047</v>
      </c>
      <c r="C430" s="0" t="s">
        <v>15</v>
      </c>
      <c r="D430" s="0" t="s">
        <v>19</v>
      </c>
    </row>
    <row r="431" customFormat="false" ht="13.8" hidden="false" customHeight="false" outlineLevel="0" collapsed="false">
      <c r="A431" s="0" t="s">
        <v>1049</v>
      </c>
      <c r="B431" s="0" t="s">
        <v>1050</v>
      </c>
      <c r="C431" s="0" t="s">
        <v>15</v>
      </c>
      <c r="D431" s="0" t="s">
        <v>19</v>
      </c>
    </row>
    <row r="432" customFormat="false" ht="13.8" hidden="false" customHeight="false" outlineLevel="0" collapsed="false">
      <c r="A432" s="0" t="s">
        <v>1051</v>
      </c>
      <c r="B432" s="0" t="s">
        <v>1052</v>
      </c>
      <c r="C432" s="0" t="s">
        <v>15</v>
      </c>
      <c r="D432" s="0" t="s">
        <v>19</v>
      </c>
    </row>
    <row r="433" customFormat="false" ht="13.8" hidden="false" customHeight="false" outlineLevel="0" collapsed="false">
      <c r="A433" s="0" t="s">
        <v>1053</v>
      </c>
      <c r="B433" s="0" t="s">
        <v>1054</v>
      </c>
      <c r="C433" s="0" t="s">
        <v>15</v>
      </c>
      <c r="D433" s="0" t="s">
        <v>19</v>
      </c>
    </row>
    <row r="434" customFormat="false" ht="13.8" hidden="false" customHeight="false" outlineLevel="0" collapsed="false">
      <c r="A434" s="0" t="s">
        <v>1055</v>
      </c>
      <c r="B434" s="0" t="s">
        <v>1056</v>
      </c>
      <c r="C434" s="0" t="s">
        <v>15</v>
      </c>
      <c r="D434" s="0" t="s">
        <v>19</v>
      </c>
    </row>
    <row r="435" customFormat="false" ht="13.8" hidden="false" customHeight="false" outlineLevel="0" collapsed="false">
      <c r="A435" s="0" t="s">
        <v>1058</v>
      </c>
      <c r="B435" s="0" t="s">
        <v>1059</v>
      </c>
      <c r="C435" s="0" t="s">
        <v>15</v>
      </c>
      <c r="D435" s="0" t="s">
        <v>19</v>
      </c>
    </row>
    <row r="436" customFormat="false" ht="13.8" hidden="false" customHeight="false" outlineLevel="0" collapsed="false">
      <c r="A436" s="0" t="s">
        <v>1061</v>
      </c>
      <c r="B436" s="0" t="s">
        <v>1062</v>
      </c>
      <c r="C436" s="0" t="s">
        <v>15</v>
      </c>
      <c r="D436" s="0" t="s">
        <v>19</v>
      </c>
    </row>
    <row r="437" customFormat="false" ht="13.8" hidden="false" customHeight="false" outlineLevel="0" collapsed="false">
      <c r="A437" s="0" t="s">
        <v>1063</v>
      </c>
      <c r="B437" s="0" t="s">
        <v>1064</v>
      </c>
      <c r="C437" s="0" t="s">
        <v>15</v>
      </c>
      <c r="D437" s="0" t="s">
        <v>19</v>
      </c>
    </row>
    <row r="438" customFormat="false" ht="13.8" hidden="false" customHeight="false" outlineLevel="0" collapsed="false">
      <c r="A438" s="0" t="s">
        <v>1066</v>
      </c>
      <c r="B438" s="0" t="s">
        <v>1067</v>
      </c>
      <c r="C438" s="0" t="s">
        <v>15</v>
      </c>
      <c r="D438" s="0" t="s">
        <v>19</v>
      </c>
    </row>
    <row r="439" customFormat="false" ht="13.8" hidden="false" customHeight="false" outlineLevel="0" collapsed="false">
      <c r="A439" s="0" t="s">
        <v>1068</v>
      </c>
      <c r="B439" s="0" t="s">
        <v>1069</v>
      </c>
      <c r="C439" s="0" t="s">
        <v>15</v>
      </c>
      <c r="D439" s="0" t="s">
        <v>19</v>
      </c>
    </row>
    <row r="440" customFormat="false" ht="13.8" hidden="false" customHeight="false" outlineLevel="0" collapsed="false">
      <c r="A440" s="0" t="s">
        <v>1070</v>
      </c>
      <c r="B440" s="0" t="s">
        <v>1071</v>
      </c>
      <c r="C440" s="0" t="s">
        <v>15</v>
      </c>
      <c r="D440" s="0" t="s">
        <v>19</v>
      </c>
    </row>
    <row r="441" customFormat="false" ht="13.8" hidden="false" customHeight="false" outlineLevel="0" collapsed="false">
      <c r="A441" s="0" t="s">
        <v>1072</v>
      </c>
      <c r="B441" s="0" t="s">
        <v>1073</v>
      </c>
      <c r="C441" s="0" t="s">
        <v>15</v>
      </c>
      <c r="D441" s="0" t="s">
        <v>19</v>
      </c>
    </row>
    <row r="442" customFormat="false" ht="13.8" hidden="false" customHeight="false" outlineLevel="0" collapsed="false">
      <c r="A442" s="0" t="s">
        <v>1074</v>
      </c>
      <c r="B442" s="0" t="s">
        <v>1075</v>
      </c>
      <c r="C442" s="0" t="s">
        <v>15</v>
      </c>
      <c r="D442" s="0" t="s">
        <v>19</v>
      </c>
    </row>
    <row r="443" customFormat="false" ht="13.8" hidden="false" customHeight="false" outlineLevel="0" collapsed="false">
      <c r="A443" s="0" t="s">
        <v>1076</v>
      </c>
      <c r="B443" s="0" t="s">
        <v>1077</v>
      </c>
      <c r="C443" s="0" t="s">
        <v>15</v>
      </c>
      <c r="D443" s="0" t="s">
        <v>19</v>
      </c>
    </row>
    <row r="444" customFormat="false" ht="13.8" hidden="false" customHeight="false" outlineLevel="0" collapsed="false">
      <c r="A444" s="0" t="s">
        <v>1078</v>
      </c>
      <c r="B444" s="0" t="s">
        <v>1011</v>
      </c>
      <c r="C444" s="0" t="s">
        <v>15</v>
      </c>
      <c r="D444" s="0" t="s">
        <v>19</v>
      </c>
    </row>
    <row r="445" customFormat="false" ht="13.8" hidden="false" customHeight="false" outlineLevel="0" collapsed="false">
      <c r="A445" s="0" t="s">
        <v>1079</v>
      </c>
      <c r="B445" s="0" t="s">
        <v>1080</v>
      </c>
      <c r="C445" s="0" t="s">
        <v>15</v>
      </c>
      <c r="D445" s="0" t="s">
        <v>19</v>
      </c>
    </row>
    <row r="446" customFormat="false" ht="13.8" hidden="false" customHeight="false" outlineLevel="0" collapsed="false">
      <c r="A446" s="0" t="s">
        <v>1081</v>
      </c>
      <c r="B446" s="0" t="s">
        <v>1082</v>
      </c>
      <c r="C446" s="0" t="s">
        <v>15</v>
      </c>
      <c r="D446" s="0" t="s">
        <v>19</v>
      </c>
    </row>
    <row r="447" customFormat="false" ht="13.8" hidden="false" customHeight="false" outlineLevel="0" collapsed="false">
      <c r="A447" s="0" t="s">
        <v>1083</v>
      </c>
      <c r="B447" s="0" t="s">
        <v>1084</v>
      </c>
      <c r="C447" s="0" t="s">
        <v>15</v>
      </c>
      <c r="D447" s="0" t="s">
        <v>19</v>
      </c>
    </row>
    <row r="448" customFormat="false" ht="13.8" hidden="false" customHeight="false" outlineLevel="0" collapsed="false">
      <c r="A448" s="0" t="s">
        <v>1085</v>
      </c>
      <c r="B448" s="0" t="s">
        <v>1086</v>
      </c>
      <c r="C448" s="0" t="s">
        <v>15</v>
      </c>
      <c r="D448" s="0" t="s">
        <v>19</v>
      </c>
    </row>
    <row r="449" customFormat="false" ht="13.8" hidden="false" customHeight="false" outlineLevel="0" collapsed="false">
      <c r="A449" s="0" t="s">
        <v>1087</v>
      </c>
      <c r="B449" s="0" t="s">
        <v>1088</v>
      </c>
      <c r="C449" s="0" t="s">
        <v>15</v>
      </c>
      <c r="D449" s="0" t="s">
        <v>19</v>
      </c>
    </row>
    <row r="450" customFormat="false" ht="13.8" hidden="false" customHeight="false" outlineLevel="0" collapsed="false">
      <c r="A450" s="0" t="s">
        <v>1089</v>
      </c>
      <c r="B450" s="0" t="s">
        <v>1090</v>
      </c>
      <c r="C450" s="0" t="s">
        <v>15</v>
      </c>
      <c r="D450" s="0" t="s">
        <v>19</v>
      </c>
    </row>
    <row r="451" customFormat="false" ht="13.8" hidden="false" customHeight="false" outlineLevel="0" collapsed="false">
      <c r="A451" s="0" t="s">
        <v>1091</v>
      </c>
      <c r="B451" s="0" t="s">
        <v>1092</v>
      </c>
      <c r="C451" s="0" t="s">
        <v>15</v>
      </c>
      <c r="D451" s="0" t="s">
        <v>19</v>
      </c>
    </row>
    <row r="452" customFormat="false" ht="13.8" hidden="false" customHeight="false" outlineLevel="0" collapsed="false">
      <c r="A452" s="0" t="s">
        <v>1094</v>
      </c>
      <c r="B452" s="0" t="s">
        <v>1095</v>
      </c>
      <c r="C452" s="0" t="s">
        <v>15</v>
      </c>
      <c r="D452" s="0" t="s">
        <v>19</v>
      </c>
    </row>
    <row r="453" customFormat="false" ht="13.8" hidden="false" customHeight="false" outlineLevel="0" collapsed="false">
      <c r="A453" s="0" t="s">
        <v>1096</v>
      </c>
      <c r="B453" s="0" t="s">
        <v>1097</v>
      </c>
      <c r="C453" s="0" t="s">
        <v>15</v>
      </c>
      <c r="D453" s="0" t="s">
        <v>19</v>
      </c>
    </row>
    <row r="454" customFormat="false" ht="13.8" hidden="false" customHeight="false" outlineLevel="0" collapsed="false">
      <c r="A454" s="0" t="s">
        <v>1098</v>
      </c>
      <c r="B454" s="0" t="s">
        <v>1099</v>
      </c>
      <c r="C454" s="0" t="s">
        <v>15</v>
      </c>
      <c r="D454" s="0" t="s">
        <v>19</v>
      </c>
    </row>
    <row r="455" customFormat="false" ht="13.8" hidden="false" customHeight="false" outlineLevel="0" collapsed="false">
      <c r="A455" s="0" t="s">
        <v>1100</v>
      </c>
      <c r="B455" s="0" t="s">
        <v>1101</v>
      </c>
      <c r="C455" s="0" t="s">
        <v>15</v>
      </c>
      <c r="D455" s="0" t="s">
        <v>19</v>
      </c>
    </row>
    <row r="456" customFormat="false" ht="13.8" hidden="false" customHeight="false" outlineLevel="0" collapsed="false">
      <c r="A456" s="0" t="s">
        <v>1102</v>
      </c>
      <c r="B456" s="0" t="s">
        <v>1103</v>
      </c>
      <c r="C456" s="0" t="s">
        <v>15</v>
      </c>
      <c r="D456" s="0" t="s">
        <v>19</v>
      </c>
    </row>
    <row r="457" customFormat="false" ht="13.8" hidden="false" customHeight="false" outlineLevel="0" collapsed="false">
      <c r="A457" s="0" t="s">
        <v>1104</v>
      </c>
      <c r="B457" s="0" t="s">
        <v>1105</v>
      </c>
      <c r="C457" s="0" t="s">
        <v>15</v>
      </c>
      <c r="D457" s="0" t="s">
        <v>19</v>
      </c>
    </row>
    <row r="458" customFormat="false" ht="13.8" hidden="false" customHeight="false" outlineLevel="0" collapsed="false">
      <c r="A458" s="0" t="s">
        <v>1107</v>
      </c>
      <c r="B458" s="0" t="s">
        <v>1108</v>
      </c>
      <c r="C458" s="0" t="s">
        <v>15</v>
      </c>
      <c r="D458" s="0" t="s">
        <v>19</v>
      </c>
    </row>
    <row r="459" customFormat="false" ht="13.8" hidden="false" customHeight="false" outlineLevel="0" collapsed="false">
      <c r="A459" s="0" t="s">
        <v>1109</v>
      </c>
      <c r="B459" s="0" t="s">
        <v>1110</v>
      </c>
      <c r="C459" s="0" t="s">
        <v>15</v>
      </c>
      <c r="D459" s="0" t="s">
        <v>19</v>
      </c>
    </row>
    <row r="460" customFormat="false" ht="13.8" hidden="false" customHeight="false" outlineLevel="0" collapsed="false">
      <c r="A460" s="0" t="s">
        <v>1112</v>
      </c>
      <c r="B460" s="0" t="s">
        <v>1113</v>
      </c>
      <c r="C460" s="0" t="s">
        <v>15</v>
      </c>
      <c r="D460" s="0" t="s">
        <v>19</v>
      </c>
    </row>
    <row r="461" customFormat="false" ht="13.8" hidden="false" customHeight="false" outlineLevel="0" collapsed="false">
      <c r="A461" s="0" t="s">
        <v>1114</v>
      </c>
      <c r="B461" s="0" t="s">
        <v>1115</v>
      </c>
      <c r="C461" s="0" t="s">
        <v>15</v>
      </c>
      <c r="D461" s="0" t="s">
        <v>19</v>
      </c>
    </row>
    <row r="462" customFormat="false" ht="13.8" hidden="false" customHeight="false" outlineLevel="0" collapsed="false">
      <c r="A462" s="0" t="s">
        <v>1117</v>
      </c>
      <c r="B462" s="0" t="s">
        <v>1118</v>
      </c>
      <c r="C462" s="0" t="s">
        <v>15</v>
      </c>
      <c r="D462" s="0" t="s">
        <v>19</v>
      </c>
    </row>
    <row r="463" customFormat="false" ht="13.8" hidden="false" customHeight="false" outlineLevel="0" collapsed="false">
      <c r="A463" s="0" t="s">
        <v>1120</v>
      </c>
      <c r="B463" s="0" t="s">
        <v>1121</v>
      </c>
      <c r="C463" s="0" t="s">
        <v>15</v>
      </c>
      <c r="D463" s="0" t="s">
        <v>19</v>
      </c>
    </row>
    <row r="464" customFormat="false" ht="13.8" hidden="false" customHeight="false" outlineLevel="0" collapsed="false">
      <c r="A464" s="0" t="s">
        <v>1122</v>
      </c>
      <c r="B464" s="0" t="s">
        <v>1123</v>
      </c>
      <c r="C464" s="0" t="s">
        <v>15</v>
      </c>
      <c r="D464" s="0" t="s">
        <v>19</v>
      </c>
    </row>
    <row r="465" customFormat="false" ht="13.8" hidden="false" customHeight="false" outlineLevel="0" collapsed="false">
      <c r="A465" s="0" t="s">
        <v>1124</v>
      </c>
      <c r="B465" s="0" t="s">
        <v>1125</v>
      </c>
      <c r="C465" s="0" t="s">
        <v>15</v>
      </c>
      <c r="D465" s="0" t="s">
        <v>19</v>
      </c>
    </row>
    <row r="466" customFormat="false" ht="13.8" hidden="false" customHeight="false" outlineLevel="0" collapsed="false">
      <c r="A466" s="0" t="s">
        <v>1126</v>
      </c>
      <c r="B466" s="0" t="s">
        <v>1127</v>
      </c>
      <c r="C466" s="0" t="s">
        <v>15</v>
      </c>
      <c r="D466" s="0" t="s">
        <v>19</v>
      </c>
    </row>
    <row r="467" customFormat="false" ht="13.8" hidden="false" customHeight="false" outlineLevel="0" collapsed="false">
      <c r="A467" s="0" t="s">
        <v>1128</v>
      </c>
      <c r="B467" s="0" t="s">
        <v>1129</v>
      </c>
      <c r="C467" s="0" t="s">
        <v>15</v>
      </c>
      <c r="D467" s="0" t="s">
        <v>19</v>
      </c>
    </row>
    <row r="468" customFormat="false" ht="13.8" hidden="false" customHeight="false" outlineLevel="0" collapsed="false">
      <c r="A468" s="0" t="s">
        <v>1130</v>
      </c>
      <c r="B468" s="0" t="s">
        <v>1131</v>
      </c>
      <c r="C468" s="0" t="s">
        <v>15</v>
      </c>
      <c r="D468" s="0" t="s">
        <v>19</v>
      </c>
    </row>
    <row r="469" customFormat="false" ht="13.8" hidden="false" customHeight="false" outlineLevel="0" collapsed="false">
      <c r="A469" s="0" t="s">
        <v>1132</v>
      </c>
      <c r="B469" s="0" t="s">
        <v>1133</v>
      </c>
      <c r="C469" s="0" t="s">
        <v>15</v>
      </c>
      <c r="D469" s="0" t="s">
        <v>19</v>
      </c>
    </row>
    <row r="470" customFormat="false" ht="13.8" hidden="false" customHeight="false" outlineLevel="0" collapsed="false">
      <c r="A470" s="0" t="s">
        <v>1135</v>
      </c>
      <c r="B470" s="0" t="s">
        <v>1136</v>
      </c>
      <c r="C470" s="0" t="s">
        <v>15</v>
      </c>
      <c r="D470" s="0" t="s">
        <v>19</v>
      </c>
    </row>
    <row r="471" customFormat="false" ht="13.8" hidden="false" customHeight="false" outlineLevel="0" collapsed="false">
      <c r="A471" s="0" t="s">
        <v>1137</v>
      </c>
      <c r="B471" s="0" t="s">
        <v>1138</v>
      </c>
      <c r="C471" s="0" t="s">
        <v>15</v>
      </c>
      <c r="D471" s="0" t="s">
        <v>19</v>
      </c>
    </row>
    <row r="472" customFormat="false" ht="13.8" hidden="false" customHeight="false" outlineLevel="0" collapsed="false">
      <c r="A472" s="0" t="s">
        <v>1140</v>
      </c>
      <c r="B472" s="0" t="s">
        <v>1141</v>
      </c>
      <c r="C472" s="0" t="s">
        <v>15</v>
      </c>
      <c r="D472" s="0" t="s">
        <v>19</v>
      </c>
    </row>
    <row r="473" customFormat="false" ht="13.8" hidden="false" customHeight="false" outlineLevel="0" collapsed="false">
      <c r="A473" s="0" t="s">
        <v>1142</v>
      </c>
      <c r="B473" s="0" t="s">
        <v>1143</v>
      </c>
      <c r="C473" s="0" t="s">
        <v>15</v>
      </c>
      <c r="D473" s="0" t="s">
        <v>19</v>
      </c>
    </row>
    <row r="474" customFormat="false" ht="13.8" hidden="false" customHeight="false" outlineLevel="0" collapsed="false">
      <c r="A474" s="0" t="s">
        <v>1144</v>
      </c>
      <c r="B474" s="0" t="s">
        <v>1145</v>
      </c>
      <c r="C474" s="0" t="s">
        <v>15</v>
      </c>
      <c r="D474" s="0" t="s">
        <v>19</v>
      </c>
    </row>
    <row r="475" customFormat="false" ht="13.8" hidden="false" customHeight="false" outlineLevel="0" collapsed="false">
      <c r="A475" s="0" t="s">
        <v>1146</v>
      </c>
      <c r="B475" s="0" t="s">
        <v>1147</v>
      </c>
      <c r="C475" s="0" t="s">
        <v>15</v>
      </c>
      <c r="D475" s="0" t="s">
        <v>19</v>
      </c>
    </row>
    <row r="476" customFormat="false" ht="13.8" hidden="false" customHeight="false" outlineLevel="0" collapsed="false">
      <c r="A476" s="0" t="s">
        <v>1149</v>
      </c>
      <c r="B476" s="0" t="s">
        <v>1150</v>
      </c>
      <c r="C476" s="0" t="s">
        <v>15</v>
      </c>
      <c r="D476" s="0" t="s">
        <v>19</v>
      </c>
    </row>
    <row r="477" customFormat="false" ht="13.8" hidden="false" customHeight="false" outlineLevel="0" collapsed="false">
      <c r="A477" s="0" t="s">
        <v>1153</v>
      </c>
      <c r="B477" s="0" t="s">
        <v>1037</v>
      </c>
      <c r="C477" s="0" t="s">
        <v>15</v>
      </c>
      <c r="D477" s="0" t="s">
        <v>19</v>
      </c>
    </row>
    <row r="478" customFormat="false" ht="13.8" hidden="false" customHeight="false" outlineLevel="0" collapsed="false">
      <c r="A478" s="0" t="s">
        <v>1154</v>
      </c>
      <c r="B478" s="0" t="s">
        <v>1155</v>
      </c>
      <c r="C478" s="0" t="s">
        <v>15</v>
      </c>
      <c r="D478" s="0" t="s">
        <v>19</v>
      </c>
    </row>
    <row r="479" customFormat="false" ht="13.8" hidden="false" customHeight="false" outlineLevel="0" collapsed="false">
      <c r="A479" s="0" t="s">
        <v>1156</v>
      </c>
      <c r="B479" s="0" t="s">
        <v>1157</v>
      </c>
      <c r="C479" s="0" t="s">
        <v>15</v>
      </c>
      <c r="D479" s="0" t="s">
        <v>19</v>
      </c>
    </row>
    <row r="480" customFormat="false" ht="13.8" hidden="false" customHeight="false" outlineLevel="0" collapsed="false">
      <c r="A480" s="0" t="s">
        <v>1159</v>
      </c>
      <c r="B480" s="0" t="s">
        <v>1160</v>
      </c>
      <c r="C480" s="0" t="s">
        <v>15</v>
      </c>
      <c r="D480" s="0" t="s">
        <v>19</v>
      </c>
    </row>
    <row r="481" customFormat="false" ht="13.8" hidden="false" customHeight="false" outlineLevel="0" collapsed="false">
      <c r="A481" s="0" t="s">
        <v>1162</v>
      </c>
      <c r="B481" s="0" t="s">
        <v>1163</v>
      </c>
      <c r="C481" s="0" t="s">
        <v>15</v>
      </c>
      <c r="D481" s="0" t="s">
        <v>19</v>
      </c>
    </row>
    <row r="482" customFormat="false" ht="13.8" hidden="false" customHeight="false" outlineLevel="0" collapsed="false">
      <c r="A482" s="0" t="s">
        <v>1164</v>
      </c>
      <c r="B482" s="0" t="s">
        <v>1165</v>
      </c>
      <c r="C482" s="0" t="s">
        <v>15</v>
      </c>
      <c r="D482" s="0" t="s">
        <v>19</v>
      </c>
    </row>
    <row r="483" customFormat="false" ht="13.8" hidden="false" customHeight="false" outlineLevel="0" collapsed="false">
      <c r="A483" s="0" t="s">
        <v>1167</v>
      </c>
      <c r="B483" s="0" t="s">
        <v>1168</v>
      </c>
      <c r="C483" s="0" t="s">
        <v>15</v>
      </c>
      <c r="D483" s="0" t="s">
        <v>19</v>
      </c>
    </row>
    <row r="484" customFormat="false" ht="13.8" hidden="false" customHeight="false" outlineLevel="0" collapsed="false">
      <c r="A484" s="0" t="s">
        <v>1169</v>
      </c>
      <c r="B484" s="0" t="s">
        <v>1170</v>
      </c>
      <c r="C484" s="0" t="s">
        <v>15</v>
      </c>
      <c r="D484" s="0" t="s">
        <v>19</v>
      </c>
    </row>
    <row r="485" customFormat="false" ht="13.8" hidden="false" customHeight="false" outlineLevel="0" collapsed="false">
      <c r="A485" s="0" t="s">
        <v>1171</v>
      </c>
      <c r="B485" s="0" t="s">
        <v>1172</v>
      </c>
      <c r="C485" s="0" t="s">
        <v>15</v>
      </c>
      <c r="D485" s="0" t="s">
        <v>19</v>
      </c>
    </row>
    <row r="486" customFormat="false" ht="13.8" hidden="false" customHeight="false" outlineLevel="0" collapsed="false">
      <c r="A486" s="0" t="s">
        <v>1173</v>
      </c>
      <c r="B486" s="0" t="s">
        <v>1174</v>
      </c>
      <c r="C486" s="0" t="s">
        <v>15</v>
      </c>
      <c r="D486" s="0" t="s">
        <v>19</v>
      </c>
    </row>
    <row r="487" customFormat="false" ht="13.8" hidden="false" customHeight="false" outlineLevel="0" collapsed="false">
      <c r="A487" s="0" t="s">
        <v>1175</v>
      </c>
      <c r="B487" s="0" t="s">
        <v>1176</v>
      </c>
      <c r="C487" s="0" t="s">
        <v>15</v>
      </c>
      <c r="D487" s="0" t="s">
        <v>19</v>
      </c>
    </row>
    <row r="488" customFormat="false" ht="13.8" hidden="false" customHeight="false" outlineLevel="0" collapsed="false">
      <c r="A488" s="0" t="s">
        <v>1177</v>
      </c>
      <c r="B488" s="0" t="s">
        <v>1178</v>
      </c>
      <c r="C488" s="0" t="s">
        <v>15</v>
      </c>
      <c r="D488" s="0" t="s">
        <v>19</v>
      </c>
    </row>
    <row r="489" customFormat="false" ht="13.8" hidden="false" customHeight="false" outlineLevel="0" collapsed="false">
      <c r="A489" s="0" t="s">
        <v>1179</v>
      </c>
      <c r="B489" s="0" t="s">
        <v>1180</v>
      </c>
      <c r="C489" s="0" t="s">
        <v>15</v>
      </c>
      <c r="D489" s="0" t="s">
        <v>19</v>
      </c>
    </row>
    <row r="490" customFormat="false" ht="13.8" hidden="false" customHeight="false" outlineLevel="0" collapsed="false">
      <c r="A490" s="0" t="s">
        <v>1181</v>
      </c>
      <c r="B490" s="0" t="s">
        <v>1182</v>
      </c>
      <c r="C490" s="0" t="s">
        <v>15</v>
      </c>
      <c r="D490" s="0" t="s">
        <v>19</v>
      </c>
    </row>
    <row r="491" customFormat="false" ht="13.8" hidden="false" customHeight="false" outlineLevel="0" collapsed="false">
      <c r="A491" s="0" t="s">
        <v>1183</v>
      </c>
      <c r="B491" s="0" t="s">
        <v>1184</v>
      </c>
      <c r="C491" s="0" t="s">
        <v>15</v>
      </c>
      <c r="D491" s="0" t="s">
        <v>19</v>
      </c>
    </row>
    <row r="492" customFormat="false" ht="13.8" hidden="false" customHeight="false" outlineLevel="0" collapsed="false">
      <c r="A492" s="0" t="s">
        <v>1185</v>
      </c>
      <c r="B492" s="0" t="s">
        <v>1186</v>
      </c>
      <c r="C492" s="0" t="s">
        <v>15</v>
      </c>
      <c r="D492" s="0" t="s">
        <v>19</v>
      </c>
    </row>
    <row r="493" customFormat="false" ht="13.8" hidden="false" customHeight="false" outlineLevel="0" collapsed="false">
      <c r="A493" s="0" t="s">
        <v>1187</v>
      </c>
      <c r="B493" s="0" t="s">
        <v>1188</v>
      </c>
      <c r="C493" s="0" t="s">
        <v>15</v>
      </c>
      <c r="D493" s="0" t="s">
        <v>19</v>
      </c>
    </row>
    <row r="494" customFormat="false" ht="13.8" hidden="false" customHeight="false" outlineLevel="0" collapsed="false">
      <c r="A494" s="0" t="s">
        <v>1189</v>
      </c>
      <c r="B494" s="0" t="s">
        <v>1190</v>
      </c>
      <c r="C494" s="0" t="s">
        <v>15</v>
      </c>
      <c r="D494" s="0" t="s">
        <v>19</v>
      </c>
    </row>
    <row r="495" customFormat="false" ht="13.8" hidden="false" customHeight="false" outlineLevel="0" collapsed="false">
      <c r="A495" s="0" t="s">
        <v>1192</v>
      </c>
      <c r="B495" s="0" t="s">
        <v>1193</v>
      </c>
      <c r="C495" s="0" t="s">
        <v>15</v>
      </c>
      <c r="D495" s="0" t="s">
        <v>19</v>
      </c>
    </row>
    <row r="496" customFormat="false" ht="13.8" hidden="false" customHeight="false" outlineLevel="0" collapsed="false">
      <c r="A496" s="0" t="s">
        <v>1194</v>
      </c>
      <c r="B496" s="0" t="s">
        <v>1195</v>
      </c>
      <c r="C496" s="0" t="s">
        <v>15</v>
      </c>
      <c r="D496" s="0" t="s">
        <v>19</v>
      </c>
    </row>
    <row r="497" customFormat="false" ht="13.8" hidden="false" customHeight="false" outlineLevel="0" collapsed="false">
      <c r="A497" s="0" t="s">
        <v>1196</v>
      </c>
      <c r="B497" s="0" t="s">
        <v>1197</v>
      </c>
      <c r="C497" s="0" t="s">
        <v>15</v>
      </c>
      <c r="D497" s="0" t="s">
        <v>19</v>
      </c>
    </row>
    <row r="498" customFormat="false" ht="13.8" hidden="false" customHeight="false" outlineLevel="0" collapsed="false">
      <c r="A498" s="0" t="s">
        <v>1199</v>
      </c>
      <c r="B498" s="0" t="s">
        <v>1200</v>
      </c>
      <c r="C498" s="0" t="s">
        <v>15</v>
      </c>
      <c r="D498" s="0" t="s">
        <v>19</v>
      </c>
    </row>
    <row r="499" customFormat="false" ht="13.8" hidden="false" customHeight="false" outlineLevel="0" collapsed="false">
      <c r="A499" s="0" t="s">
        <v>1201</v>
      </c>
      <c r="B499" s="0" t="s">
        <v>1202</v>
      </c>
      <c r="C499" s="0" t="s">
        <v>15</v>
      </c>
      <c r="D499" s="0" t="s">
        <v>19</v>
      </c>
    </row>
    <row r="500" customFormat="false" ht="13.8" hidden="false" customHeight="false" outlineLevel="0" collapsed="false">
      <c r="A500" s="0" t="s">
        <v>1203</v>
      </c>
      <c r="B500" s="0" t="s">
        <v>1204</v>
      </c>
      <c r="C500" s="0" t="s">
        <v>15</v>
      </c>
      <c r="D500" s="0" t="s">
        <v>19</v>
      </c>
    </row>
    <row r="501" customFormat="false" ht="13.8" hidden="false" customHeight="false" outlineLevel="0" collapsed="false">
      <c r="A501" s="0" t="s">
        <v>1205</v>
      </c>
      <c r="B501" s="0" t="s">
        <v>1206</v>
      </c>
      <c r="C501" s="0" t="s">
        <v>15</v>
      </c>
      <c r="D501" s="0" t="s">
        <v>19</v>
      </c>
    </row>
    <row r="502" customFormat="false" ht="13.8" hidden="false" customHeight="false" outlineLevel="0" collapsed="false">
      <c r="A502" s="0" t="s">
        <v>1207</v>
      </c>
      <c r="B502" s="0" t="s">
        <v>1208</v>
      </c>
      <c r="C502" s="0" t="s">
        <v>15</v>
      </c>
      <c r="D502" s="0" t="s">
        <v>19</v>
      </c>
    </row>
    <row r="503" customFormat="false" ht="13.8" hidden="false" customHeight="false" outlineLevel="0" collapsed="false">
      <c r="A503" s="0" t="s">
        <v>1210</v>
      </c>
      <c r="B503" s="0" t="s">
        <v>1211</v>
      </c>
      <c r="C503" s="0" t="s">
        <v>15</v>
      </c>
      <c r="D503" s="0" t="s">
        <v>19</v>
      </c>
    </row>
    <row r="504" customFormat="false" ht="13.8" hidden="false" customHeight="false" outlineLevel="0" collapsed="false">
      <c r="A504" s="0" t="s">
        <v>1212</v>
      </c>
      <c r="B504" s="0" t="s">
        <v>1213</v>
      </c>
      <c r="C504" s="0" t="s">
        <v>15</v>
      </c>
      <c r="D504" s="0" t="s">
        <v>19</v>
      </c>
    </row>
    <row r="505" customFormat="false" ht="13.8" hidden="false" customHeight="false" outlineLevel="0" collapsed="false">
      <c r="A505" s="0" t="s">
        <v>1215</v>
      </c>
      <c r="B505" s="0" t="s">
        <v>1216</v>
      </c>
      <c r="C505" s="0" t="s">
        <v>15</v>
      </c>
      <c r="D505" s="0" t="s">
        <v>19</v>
      </c>
    </row>
    <row r="506" customFormat="false" ht="13.8" hidden="false" customHeight="false" outlineLevel="0" collapsed="false">
      <c r="A506" s="0" t="s">
        <v>1218</v>
      </c>
      <c r="B506" s="0" t="s">
        <v>1219</v>
      </c>
      <c r="C506" s="0" t="s">
        <v>15</v>
      </c>
      <c r="D506" s="0" t="s">
        <v>19</v>
      </c>
    </row>
    <row r="507" customFormat="false" ht="13.8" hidden="false" customHeight="false" outlineLevel="0" collapsed="false">
      <c r="A507" s="0" t="s">
        <v>1220</v>
      </c>
      <c r="B507" s="0" t="s">
        <v>1221</v>
      </c>
      <c r="C507" s="0" t="s">
        <v>15</v>
      </c>
      <c r="D507" s="0" t="s">
        <v>19</v>
      </c>
    </row>
    <row r="508" customFormat="false" ht="13.8" hidden="false" customHeight="false" outlineLevel="0" collapsed="false">
      <c r="A508" s="0" t="s">
        <v>1222</v>
      </c>
      <c r="B508" s="0" t="s">
        <v>1223</v>
      </c>
      <c r="C508" s="0" t="s">
        <v>15</v>
      </c>
      <c r="D508" s="0" t="s">
        <v>19</v>
      </c>
    </row>
    <row r="509" customFormat="false" ht="13.8" hidden="false" customHeight="false" outlineLevel="0" collapsed="false">
      <c r="A509" s="0" t="s">
        <v>1224</v>
      </c>
      <c r="B509" s="0" t="s">
        <v>1225</v>
      </c>
      <c r="C509" s="0" t="s">
        <v>15</v>
      </c>
      <c r="D509" s="0" t="s">
        <v>19</v>
      </c>
    </row>
    <row r="510" customFormat="false" ht="13.8" hidden="false" customHeight="false" outlineLevel="0" collapsed="false">
      <c r="A510" s="0" t="s">
        <v>1226</v>
      </c>
      <c r="B510" s="0" t="s">
        <v>615</v>
      </c>
      <c r="C510" s="0" t="s">
        <v>15</v>
      </c>
      <c r="D510" s="0" t="s">
        <v>19</v>
      </c>
    </row>
    <row r="511" customFormat="false" ht="13.8" hidden="false" customHeight="false" outlineLevel="0" collapsed="false">
      <c r="A511" s="0" t="s">
        <v>1228</v>
      </c>
      <c r="B511" s="0" t="s">
        <v>1229</v>
      </c>
      <c r="C511" s="0" t="s">
        <v>15</v>
      </c>
      <c r="D511" s="0" t="s">
        <v>19</v>
      </c>
    </row>
    <row r="512" customFormat="false" ht="13.8" hidden="false" customHeight="false" outlineLevel="0" collapsed="false">
      <c r="A512" s="0" t="s">
        <v>1230</v>
      </c>
      <c r="B512" s="0" t="s">
        <v>799</v>
      </c>
      <c r="C512" s="0" t="s">
        <v>15</v>
      </c>
      <c r="D512" s="0" t="s">
        <v>19</v>
      </c>
    </row>
    <row r="513" customFormat="false" ht="13.8" hidden="false" customHeight="false" outlineLevel="0" collapsed="false">
      <c r="A513" s="0" t="s">
        <v>1231</v>
      </c>
      <c r="B513" s="0" t="s">
        <v>1232</v>
      </c>
      <c r="C513" s="0" t="s">
        <v>15</v>
      </c>
      <c r="D513" s="0" t="s">
        <v>19</v>
      </c>
    </row>
    <row r="514" customFormat="false" ht="13.8" hidden="false" customHeight="false" outlineLevel="0" collapsed="false">
      <c r="A514" s="0" t="s">
        <v>1233</v>
      </c>
      <c r="B514" s="0" t="s">
        <v>1234</v>
      </c>
      <c r="C514" s="0" t="s">
        <v>15</v>
      </c>
      <c r="D514" s="0" t="s">
        <v>19</v>
      </c>
    </row>
    <row r="515" customFormat="false" ht="13.8" hidden="false" customHeight="false" outlineLevel="0" collapsed="false">
      <c r="A515" s="0" t="s">
        <v>1235</v>
      </c>
      <c r="B515" s="0" t="s">
        <v>1236</v>
      </c>
      <c r="C515" s="0" t="s">
        <v>15</v>
      </c>
      <c r="D515" s="0" t="s">
        <v>19</v>
      </c>
    </row>
    <row r="516" customFormat="false" ht="13.8" hidden="false" customHeight="false" outlineLevel="0" collapsed="false">
      <c r="A516" s="0" t="s">
        <v>1237</v>
      </c>
      <c r="B516" s="0" t="s">
        <v>1238</v>
      </c>
      <c r="C516" s="0" t="s">
        <v>15</v>
      </c>
      <c r="D516" s="0" t="s">
        <v>19</v>
      </c>
    </row>
    <row r="517" customFormat="false" ht="13.8" hidden="false" customHeight="false" outlineLevel="0" collapsed="false">
      <c r="A517" s="0" t="s">
        <v>1239</v>
      </c>
      <c r="B517" s="0" t="s">
        <v>1240</v>
      </c>
      <c r="C517" s="0" t="s">
        <v>15</v>
      </c>
      <c r="D517" s="0" t="s">
        <v>19</v>
      </c>
    </row>
    <row r="518" customFormat="false" ht="13.8" hidden="false" customHeight="false" outlineLevel="0" collapsed="false">
      <c r="A518" s="0" t="s">
        <v>1241</v>
      </c>
      <c r="B518" s="0" t="s">
        <v>1242</v>
      </c>
      <c r="C518" s="0" t="s">
        <v>15</v>
      </c>
      <c r="D518" s="0" t="s">
        <v>19</v>
      </c>
    </row>
    <row r="519" customFormat="false" ht="13.8" hidden="false" customHeight="false" outlineLevel="0" collapsed="false">
      <c r="A519" s="0" t="s">
        <v>1244</v>
      </c>
      <c r="B519" s="0" t="s">
        <v>1245</v>
      </c>
      <c r="C519" s="0" t="s">
        <v>15</v>
      </c>
      <c r="D519" s="0" t="s">
        <v>19</v>
      </c>
    </row>
    <row r="520" customFormat="false" ht="13.8" hidden="false" customHeight="false" outlineLevel="0" collapsed="false">
      <c r="A520" s="0" t="s">
        <v>1246</v>
      </c>
      <c r="B520" s="0" t="s">
        <v>1247</v>
      </c>
      <c r="C520" s="0" t="s">
        <v>15</v>
      </c>
      <c r="D520" s="0" t="s">
        <v>19</v>
      </c>
    </row>
    <row r="521" customFormat="false" ht="13.8" hidden="false" customHeight="false" outlineLevel="0" collapsed="false">
      <c r="A521" s="0" t="s">
        <v>1248</v>
      </c>
      <c r="B521" s="0" t="s">
        <v>1249</v>
      </c>
      <c r="C521" s="0" t="s">
        <v>15</v>
      </c>
      <c r="D521" s="0" t="s">
        <v>19</v>
      </c>
    </row>
    <row r="522" customFormat="false" ht="13.8" hidden="false" customHeight="false" outlineLevel="0" collapsed="false">
      <c r="A522" s="0" t="s">
        <v>1250</v>
      </c>
      <c r="B522" s="0" t="s">
        <v>1195</v>
      </c>
      <c r="C522" s="0" t="s">
        <v>15</v>
      </c>
      <c r="D522" s="0" t="s">
        <v>19</v>
      </c>
    </row>
    <row r="523" customFormat="false" ht="13.8" hidden="false" customHeight="false" outlineLevel="0" collapsed="false">
      <c r="A523" s="0" t="s">
        <v>1251</v>
      </c>
      <c r="B523" s="0" t="s">
        <v>1252</v>
      </c>
      <c r="C523" s="0" t="s">
        <v>15</v>
      </c>
      <c r="D523" s="0" t="s">
        <v>19</v>
      </c>
    </row>
    <row r="524" customFormat="false" ht="13.8" hidden="false" customHeight="false" outlineLevel="0" collapsed="false">
      <c r="A524" s="0" t="s">
        <v>1254</v>
      </c>
      <c r="B524" s="0" t="s">
        <v>1255</v>
      </c>
      <c r="C524" s="0" t="s">
        <v>15</v>
      </c>
      <c r="D524" s="0" t="s">
        <v>19</v>
      </c>
    </row>
    <row r="525" customFormat="false" ht="13.8" hidden="false" customHeight="false" outlineLevel="0" collapsed="false">
      <c r="A525" s="0" t="s">
        <v>1256</v>
      </c>
      <c r="B525" s="0" t="s">
        <v>1257</v>
      </c>
      <c r="C525" s="0" t="s">
        <v>15</v>
      </c>
      <c r="D525" s="0" t="s">
        <v>19</v>
      </c>
    </row>
    <row r="526" customFormat="false" ht="13.8" hidden="false" customHeight="false" outlineLevel="0" collapsed="false">
      <c r="A526" s="0" t="s">
        <v>1258</v>
      </c>
      <c r="B526" s="0" t="s">
        <v>1259</v>
      </c>
      <c r="C526" s="0" t="s">
        <v>15</v>
      </c>
      <c r="D526" s="0" t="s">
        <v>19</v>
      </c>
    </row>
    <row r="527" customFormat="false" ht="13.8" hidden="false" customHeight="false" outlineLevel="0" collapsed="false">
      <c r="A527" s="0" t="s">
        <v>1260</v>
      </c>
      <c r="B527" s="0" t="s">
        <v>1035</v>
      </c>
      <c r="C527" s="0" t="s">
        <v>15</v>
      </c>
      <c r="D527" s="0" t="s">
        <v>19</v>
      </c>
    </row>
    <row r="528" customFormat="false" ht="13.8" hidden="false" customHeight="false" outlineLevel="0" collapsed="false">
      <c r="A528" s="0" t="s">
        <v>1261</v>
      </c>
      <c r="B528" s="0" t="s">
        <v>1262</v>
      </c>
      <c r="C528" s="0" t="s">
        <v>15</v>
      </c>
      <c r="D528" s="0" t="s">
        <v>19</v>
      </c>
    </row>
    <row r="529" customFormat="false" ht="13.8" hidden="false" customHeight="false" outlineLevel="0" collapsed="false">
      <c r="A529" s="0" t="s">
        <v>1263</v>
      </c>
      <c r="B529" s="0" t="s">
        <v>1264</v>
      </c>
      <c r="C529" s="0" t="s">
        <v>15</v>
      </c>
      <c r="D529" s="0" t="s">
        <v>19</v>
      </c>
    </row>
    <row r="530" customFormat="false" ht="13.8" hidden="false" customHeight="false" outlineLevel="0" collapsed="false">
      <c r="A530" s="0" t="s">
        <v>1265</v>
      </c>
      <c r="B530" s="0" t="s">
        <v>1266</v>
      </c>
      <c r="C530" s="0" t="s">
        <v>15</v>
      </c>
      <c r="D530" s="0" t="s">
        <v>19</v>
      </c>
    </row>
    <row r="531" customFormat="false" ht="13.8" hidden="false" customHeight="false" outlineLevel="0" collapsed="false">
      <c r="A531" s="0" t="s">
        <v>1267</v>
      </c>
      <c r="B531" s="0" t="s">
        <v>1268</v>
      </c>
      <c r="C531" s="0" t="s">
        <v>15</v>
      </c>
      <c r="D531" s="0" t="s">
        <v>19</v>
      </c>
    </row>
    <row r="532" customFormat="false" ht="13.8" hidden="false" customHeight="false" outlineLevel="0" collapsed="false">
      <c r="A532" s="0" t="s">
        <v>1269</v>
      </c>
      <c r="B532" s="0" t="s">
        <v>1270</v>
      </c>
      <c r="C532" s="0" t="s">
        <v>15</v>
      </c>
      <c r="D532" s="0" t="s">
        <v>19</v>
      </c>
    </row>
    <row r="533" customFormat="false" ht="13.8" hidden="false" customHeight="false" outlineLevel="0" collapsed="false">
      <c r="A533" s="0" t="s">
        <v>1271</v>
      </c>
      <c r="B533" s="0" t="s">
        <v>1272</v>
      </c>
      <c r="C533" s="0" t="s">
        <v>15</v>
      </c>
      <c r="D533" s="0" t="s">
        <v>19</v>
      </c>
    </row>
    <row r="534" customFormat="false" ht="13.8" hidden="false" customHeight="false" outlineLevel="0" collapsed="false">
      <c r="A534" s="0" t="s">
        <v>1274</v>
      </c>
      <c r="B534" s="0" t="s">
        <v>94</v>
      </c>
      <c r="C534" s="0" t="s">
        <v>15</v>
      </c>
      <c r="D534" s="0" t="s">
        <v>19</v>
      </c>
    </row>
    <row r="535" customFormat="false" ht="13.8" hidden="false" customHeight="false" outlineLevel="0" collapsed="false">
      <c r="A535" s="0" t="s">
        <v>1275</v>
      </c>
      <c r="B535" s="0" t="s">
        <v>1186</v>
      </c>
      <c r="C535" s="0" t="s">
        <v>15</v>
      </c>
      <c r="D535" s="0" t="s">
        <v>19</v>
      </c>
    </row>
    <row r="536" customFormat="false" ht="13.8" hidden="false" customHeight="false" outlineLevel="0" collapsed="false">
      <c r="A536" s="0" t="s">
        <v>1276</v>
      </c>
      <c r="B536" s="0" t="s">
        <v>1277</v>
      </c>
      <c r="C536" s="0" t="s">
        <v>15</v>
      </c>
      <c r="D536" s="0" t="s">
        <v>19</v>
      </c>
    </row>
    <row r="537" customFormat="false" ht="13.8" hidden="false" customHeight="false" outlineLevel="0" collapsed="false">
      <c r="A537" s="0" t="s">
        <v>1279</v>
      </c>
      <c r="B537" s="0" t="s">
        <v>1280</v>
      </c>
      <c r="C537" s="3" t="s">
        <v>15</v>
      </c>
      <c r="D537" s="0" t="s">
        <v>19</v>
      </c>
    </row>
    <row r="538" customFormat="false" ht="13.8" hidden="false" customHeight="false" outlineLevel="0" collapsed="false">
      <c r="A538" s="0" t="s">
        <v>1281</v>
      </c>
      <c r="B538" s="0" t="s">
        <v>1282</v>
      </c>
      <c r="C538" s="0" t="s">
        <v>15</v>
      </c>
      <c r="D538" s="0" t="s">
        <v>19</v>
      </c>
    </row>
    <row r="539" customFormat="false" ht="13.8" hidden="false" customHeight="false" outlineLevel="0" collapsed="false">
      <c r="A539" s="0" t="s">
        <v>1284</v>
      </c>
      <c r="B539" s="0" t="s">
        <v>1285</v>
      </c>
      <c r="C539" s="0" t="s">
        <v>15</v>
      </c>
      <c r="D539" s="0" t="s">
        <v>19</v>
      </c>
    </row>
    <row r="540" customFormat="false" ht="13.8" hidden="false" customHeight="false" outlineLevel="0" collapsed="false">
      <c r="A540" s="0" t="s">
        <v>1286</v>
      </c>
      <c r="B540" s="0" t="s">
        <v>1282</v>
      </c>
      <c r="C540" s="0" t="s">
        <v>15</v>
      </c>
      <c r="D540" s="0" t="s">
        <v>19</v>
      </c>
    </row>
    <row r="541" customFormat="false" ht="13.8" hidden="false" customHeight="false" outlineLevel="0" collapsed="false">
      <c r="A541" s="0" t="s">
        <v>1287</v>
      </c>
      <c r="B541" s="0" t="s">
        <v>1288</v>
      </c>
      <c r="C541" s="0" t="s">
        <v>15</v>
      </c>
      <c r="D541" s="0" t="s">
        <v>19</v>
      </c>
    </row>
    <row r="542" customFormat="false" ht="13.8" hidden="false" customHeight="false" outlineLevel="0" collapsed="false">
      <c r="A542" s="0" t="s">
        <v>1290</v>
      </c>
      <c r="B542" s="0" t="s">
        <v>1291</v>
      </c>
      <c r="C542" s="0" t="s">
        <v>15</v>
      </c>
      <c r="D542" s="0" t="s">
        <v>19</v>
      </c>
    </row>
    <row r="543" customFormat="false" ht="13.8" hidden="false" customHeight="false" outlineLevel="0" collapsed="false">
      <c r="A543" s="0" t="s">
        <v>1293</v>
      </c>
      <c r="B543" s="0" t="s">
        <v>1288</v>
      </c>
      <c r="C543" s="0" t="s">
        <v>15</v>
      </c>
      <c r="D543" s="0" t="s">
        <v>19</v>
      </c>
    </row>
    <row r="544" customFormat="false" ht="13.8" hidden="false" customHeight="false" outlineLevel="0" collapsed="false">
      <c r="A544" s="0" t="s">
        <v>1294</v>
      </c>
      <c r="B544" s="0" t="s">
        <v>1295</v>
      </c>
      <c r="C544" s="0" t="s">
        <v>15</v>
      </c>
      <c r="D544" s="0" t="s">
        <v>19</v>
      </c>
    </row>
    <row r="545" customFormat="false" ht="13.8" hidden="false" customHeight="false" outlineLevel="0" collapsed="false">
      <c r="A545" s="0" t="s">
        <v>1296</v>
      </c>
      <c r="B545" s="0" t="s">
        <v>1297</v>
      </c>
      <c r="C545" s="0" t="s">
        <v>15</v>
      </c>
      <c r="D545" s="0" t="s">
        <v>19</v>
      </c>
    </row>
    <row r="546" customFormat="false" ht="13.8" hidden="false" customHeight="false" outlineLevel="0" collapsed="false">
      <c r="A546" s="0" t="s">
        <v>1298</v>
      </c>
      <c r="B546" s="0" t="s">
        <v>1299</v>
      </c>
      <c r="C546" s="0" t="s">
        <v>15</v>
      </c>
      <c r="D546" s="0" t="s">
        <v>19</v>
      </c>
    </row>
    <row r="547" customFormat="false" ht="13.8" hidden="false" customHeight="false" outlineLevel="0" collapsed="false">
      <c r="A547" s="0" t="s">
        <v>1300</v>
      </c>
      <c r="B547" s="0" t="s">
        <v>1301</v>
      </c>
      <c r="C547" s="0" t="s">
        <v>15</v>
      </c>
      <c r="D547" s="0" t="s">
        <v>19</v>
      </c>
    </row>
    <row r="548" customFormat="false" ht="13.8" hidden="false" customHeight="false" outlineLevel="0" collapsed="false">
      <c r="A548" s="0" t="s">
        <v>1302</v>
      </c>
      <c r="B548" s="0" t="s">
        <v>1303</v>
      </c>
      <c r="C548" s="0" t="s">
        <v>15</v>
      </c>
      <c r="D548" s="0" t="s">
        <v>19</v>
      </c>
    </row>
    <row r="549" customFormat="false" ht="13.8" hidden="false" customHeight="false" outlineLevel="0" collapsed="false">
      <c r="A549" s="0" t="s">
        <v>1304</v>
      </c>
      <c r="B549" s="0" t="s">
        <v>1305</v>
      </c>
      <c r="C549" s="0" t="s">
        <v>15</v>
      </c>
      <c r="D549" s="0" t="s">
        <v>19</v>
      </c>
    </row>
    <row r="550" customFormat="false" ht="13.8" hidden="false" customHeight="false" outlineLevel="0" collapsed="false">
      <c r="A550" s="0" t="s">
        <v>1306</v>
      </c>
      <c r="B550" s="0" t="s">
        <v>1307</v>
      </c>
      <c r="C550" s="0" t="s">
        <v>15</v>
      </c>
      <c r="D550" s="0" t="s">
        <v>19</v>
      </c>
    </row>
    <row r="551" customFormat="false" ht="13.8" hidden="false" customHeight="false" outlineLevel="0" collapsed="false">
      <c r="A551" s="0" t="s">
        <v>1309</v>
      </c>
      <c r="B551" s="0" t="s">
        <v>1310</v>
      </c>
      <c r="C551" s="0" t="s">
        <v>15</v>
      </c>
      <c r="D551" s="0" t="s">
        <v>19</v>
      </c>
    </row>
    <row r="552" customFormat="false" ht="13.8" hidden="false" customHeight="false" outlineLevel="0" collapsed="false">
      <c r="A552" s="0" t="s">
        <v>1311</v>
      </c>
      <c r="B552" s="0" t="s">
        <v>1312</v>
      </c>
      <c r="C552" s="0" t="s">
        <v>15</v>
      </c>
      <c r="D552" s="0" t="s">
        <v>19</v>
      </c>
    </row>
    <row r="553" customFormat="false" ht="13.8" hidden="false" customHeight="false" outlineLevel="0" collapsed="false">
      <c r="A553" s="0" t="s">
        <v>1313</v>
      </c>
      <c r="B553" s="0" t="s">
        <v>1314</v>
      </c>
      <c r="C553" s="0" t="s">
        <v>15</v>
      </c>
      <c r="D553" s="0" t="s">
        <v>19</v>
      </c>
    </row>
    <row r="554" customFormat="false" ht="13.8" hidden="false" customHeight="false" outlineLevel="0" collapsed="false">
      <c r="A554" s="0" t="s">
        <v>1315</v>
      </c>
      <c r="B554" s="0" t="s">
        <v>1316</v>
      </c>
      <c r="C554" s="0" t="s">
        <v>15</v>
      </c>
      <c r="D554" s="0" t="s">
        <v>19</v>
      </c>
    </row>
    <row r="555" customFormat="false" ht="13.8" hidden="false" customHeight="false" outlineLevel="0" collapsed="false">
      <c r="A555" s="0" t="s">
        <v>1317</v>
      </c>
      <c r="B555" s="0" t="s">
        <v>1318</v>
      </c>
      <c r="C555" s="0" t="s">
        <v>15</v>
      </c>
      <c r="D555" s="0" t="s">
        <v>19</v>
      </c>
    </row>
    <row r="556" customFormat="false" ht="13.8" hidden="false" customHeight="false" outlineLevel="0" collapsed="false">
      <c r="A556" s="0" t="s">
        <v>1319</v>
      </c>
      <c r="B556" s="0" t="s">
        <v>1320</v>
      </c>
      <c r="C556" s="0" t="s">
        <v>15</v>
      </c>
      <c r="D556" s="0" t="s">
        <v>19</v>
      </c>
    </row>
    <row r="557" customFormat="false" ht="13.8" hidden="false" customHeight="false" outlineLevel="0" collapsed="false">
      <c r="A557" s="0" t="s">
        <v>1321</v>
      </c>
      <c r="B557" s="0" t="s">
        <v>1322</v>
      </c>
      <c r="C557" s="0" t="s">
        <v>15</v>
      </c>
      <c r="D557" s="0" t="s">
        <v>19</v>
      </c>
    </row>
    <row r="558" customFormat="false" ht="13.8" hidden="false" customHeight="false" outlineLevel="0" collapsed="false">
      <c r="A558" s="0" t="s">
        <v>1323</v>
      </c>
      <c r="B558" s="0" t="s">
        <v>1324</v>
      </c>
      <c r="C558" s="0" t="s">
        <v>15</v>
      </c>
      <c r="D558" s="0" t="s">
        <v>19</v>
      </c>
    </row>
    <row r="559" customFormat="false" ht="13.8" hidden="false" customHeight="false" outlineLevel="0" collapsed="false">
      <c r="A559" s="0" t="s">
        <v>1325</v>
      </c>
      <c r="B559" s="0" t="s">
        <v>1326</v>
      </c>
      <c r="C559" s="0" t="s">
        <v>15</v>
      </c>
      <c r="D559" s="0" t="s">
        <v>19</v>
      </c>
    </row>
    <row r="560" customFormat="false" ht="13.8" hidden="false" customHeight="false" outlineLevel="0" collapsed="false">
      <c r="A560" s="0" t="s">
        <v>1327</v>
      </c>
      <c r="B560" s="0" t="s">
        <v>1282</v>
      </c>
      <c r="C560" s="0" t="s">
        <v>15</v>
      </c>
      <c r="D560" s="0" t="s">
        <v>19</v>
      </c>
    </row>
    <row r="561" customFormat="false" ht="13.8" hidden="false" customHeight="false" outlineLevel="0" collapsed="false">
      <c r="A561" s="0" t="s">
        <v>1328</v>
      </c>
      <c r="B561" s="0" t="s">
        <v>1329</v>
      </c>
      <c r="C561" s="0" t="s">
        <v>15</v>
      </c>
      <c r="D561" s="0" t="s">
        <v>19</v>
      </c>
    </row>
    <row r="562" customFormat="false" ht="13.8" hidden="false" customHeight="false" outlineLevel="0" collapsed="false">
      <c r="A562" s="0" t="s">
        <v>1330</v>
      </c>
      <c r="B562" s="0" t="s">
        <v>1331</v>
      </c>
      <c r="C562" s="0" t="s">
        <v>15</v>
      </c>
      <c r="D562" s="0" t="s">
        <v>19</v>
      </c>
    </row>
    <row r="563" customFormat="false" ht="13.8" hidden="false" customHeight="false" outlineLevel="0" collapsed="false">
      <c r="A563" s="0" t="s">
        <v>1332</v>
      </c>
      <c r="B563" s="0" t="s">
        <v>1333</v>
      </c>
      <c r="C563" s="0" t="s">
        <v>15</v>
      </c>
      <c r="D563" s="0" t="s">
        <v>19</v>
      </c>
    </row>
    <row r="564" customFormat="false" ht="13.8" hidden="false" customHeight="false" outlineLevel="0" collapsed="false">
      <c r="A564" s="0" t="s">
        <v>1334</v>
      </c>
      <c r="B564" s="0" t="s">
        <v>1335</v>
      </c>
      <c r="C564" s="0" t="s">
        <v>15</v>
      </c>
      <c r="D564" s="0" t="s">
        <v>19</v>
      </c>
    </row>
    <row r="565" customFormat="false" ht="13.8" hidden="false" customHeight="false" outlineLevel="0" collapsed="false">
      <c r="A565" s="0" t="s">
        <v>1337</v>
      </c>
      <c r="B565" s="0" t="s">
        <v>1338</v>
      </c>
      <c r="C565" s="0" t="s">
        <v>15</v>
      </c>
      <c r="D565" s="0" t="s">
        <v>19</v>
      </c>
    </row>
    <row r="566" customFormat="false" ht="13.8" hidden="false" customHeight="false" outlineLevel="0" collapsed="false">
      <c r="A566" s="0" t="s">
        <v>1339</v>
      </c>
      <c r="B566" s="0" t="s">
        <v>1340</v>
      </c>
      <c r="C566" s="0" t="s">
        <v>15</v>
      </c>
      <c r="D566" s="0" t="s">
        <v>19</v>
      </c>
    </row>
    <row r="567" customFormat="false" ht="13.8" hidden="false" customHeight="false" outlineLevel="0" collapsed="false">
      <c r="A567" s="0" t="s">
        <v>1341</v>
      </c>
      <c r="B567" s="0" t="s">
        <v>1342</v>
      </c>
      <c r="C567" s="0" t="s">
        <v>15</v>
      </c>
      <c r="D567" s="0" t="s">
        <v>19</v>
      </c>
    </row>
    <row r="568" customFormat="false" ht="13.8" hidden="false" customHeight="false" outlineLevel="0" collapsed="false">
      <c r="A568" s="0" t="s">
        <v>1343</v>
      </c>
      <c r="B568" s="0" t="s">
        <v>1344</v>
      </c>
      <c r="C568" s="0" t="s">
        <v>15</v>
      </c>
      <c r="D568" s="0" t="s">
        <v>19</v>
      </c>
    </row>
    <row r="569" customFormat="false" ht="13.8" hidden="false" customHeight="false" outlineLevel="0" collapsed="false">
      <c r="A569" s="0" t="s">
        <v>1345</v>
      </c>
      <c r="B569" s="0" t="s">
        <v>1346</v>
      </c>
      <c r="C569" s="0" t="s">
        <v>15</v>
      </c>
      <c r="D569" s="0" t="s">
        <v>19</v>
      </c>
    </row>
    <row r="570" customFormat="false" ht="13.8" hidden="false" customHeight="false" outlineLevel="0" collapsed="false">
      <c r="A570" s="0" t="s">
        <v>1347</v>
      </c>
      <c r="B570" s="0" t="s">
        <v>1348</v>
      </c>
      <c r="C570" s="0" t="s">
        <v>15</v>
      </c>
      <c r="D570" s="0" t="s">
        <v>19</v>
      </c>
    </row>
    <row r="571" customFormat="false" ht="13.8" hidden="false" customHeight="false" outlineLevel="0" collapsed="false">
      <c r="A571" s="0" t="s">
        <v>1349</v>
      </c>
      <c r="B571" s="0" t="s">
        <v>1350</v>
      </c>
      <c r="C571" s="0" t="s">
        <v>15</v>
      </c>
      <c r="D571" s="0" t="s">
        <v>19</v>
      </c>
    </row>
    <row r="572" customFormat="false" ht="13.8" hidden="false" customHeight="false" outlineLevel="0" collapsed="false">
      <c r="A572" s="0" t="s">
        <v>1351</v>
      </c>
      <c r="B572" s="0" t="s">
        <v>1352</v>
      </c>
      <c r="C572" s="0" t="s">
        <v>15</v>
      </c>
      <c r="D572" s="0" t="s">
        <v>19</v>
      </c>
    </row>
    <row r="573" customFormat="false" ht="13.8" hidden="false" customHeight="false" outlineLevel="0" collapsed="false">
      <c r="A573" s="0" t="s">
        <v>1353</v>
      </c>
      <c r="B573" s="0" t="s">
        <v>1354</v>
      </c>
      <c r="C573" s="0" t="s">
        <v>15</v>
      </c>
      <c r="D573" s="0" t="s">
        <v>19</v>
      </c>
    </row>
    <row r="574" customFormat="false" ht="13.8" hidden="false" customHeight="false" outlineLevel="0" collapsed="false">
      <c r="A574" s="0" t="s">
        <v>1355</v>
      </c>
      <c r="B574" s="0" t="s">
        <v>1356</v>
      </c>
      <c r="C574" s="0" t="s">
        <v>15</v>
      </c>
      <c r="D574" s="0" t="s">
        <v>19</v>
      </c>
    </row>
    <row r="575" customFormat="false" ht="13.8" hidden="false" customHeight="false" outlineLevel="0" collapsed="false">
      <c r="A575" s="0" t="s">
        <v>1357</v>
      </c>
      <c r="B575" s="0" t="s">
        <v>1358</v>
      </c>
      <c r="C575" s="0" t="s">
        <v>15</v>
      </c>
      <c r="D575" s="0" t="s">
        <v>19</v>
      </c>
    </row>
    <row r="576" customFormat="false" ht="13.8" hidden="false" customHeight="false" outlineLevel="0" collapsed="false">
      <c r="A576" s="0" t="s">
        <v>1359</v>
      </c>
      <c r="B576" s="0" t="s">
        <v>1360</v>
      </c>
      <c r="C576" s="0" t="s">
        <v>15</v>
      </c>
      <c r="D576" s="0" t="s">
        <v>19</v>
      </c>
    </row>
    <row r="577" customFormat="false" ht="13.8" hidden="false" customHeight="false" outlineLevel="0" collapsed="false">
      <c r="A577" s="0" t="s">
        <v>1361</v>
      </c>
      <c r="B577" s="0" t="s">
        <v>1362</v>
      </c>
      <c r="C577" s="0" t="s">
        <v>15</v>
      </c>
      <c r="D577" s="0" t="s">
        <v>19</v>
      </c>
    </row>
    <row r="578" customFormat="false" ht="13.8" hidden="false" customHeight="false" outlineLevel="0" collapsed="false">
      <c r="A578" s="0" t="s">
        <v>1363</v>
      </c>
      <c r="B578" s="0" t="s">
        <v>1364</v>
      </c>
      <c r="C578" s="0" t="s">
        <v>15</v>
      </c>
      <c r="D578" s="0" t="s">
        <v>19</v>
      </c>
    </row>
    <row r="579" customFormat="false" ht="13.8" hidden="false" customHeight="false" outlineLevel="0" collapsed="false">
      <c r="A579" s="0" t="s">
        <v>1365</v>
      </c>
      <c r="B579" s="0" t="s">
        <v>1366</v>
      </c>
      <c r="C579" s="0" t="s">
        <v>15</v>
      </c>
      <c r="D579" s="0" t="s">
        <v>19</v>
      </c>
    </row>
    <row r="580" customFormat="false" ht="13.8" hidden="false" customHeight="false" outlineLevel="0" collapsed="false">
      <c r="A580" s="0" t="s">
        <v>1367</v>
      </c>
      <c r="B580" s="0" t="s">
        <v>1368</v>
      </c>
      <c r="C580" s="0" t="s">
        <v>15</v>
      </c>
      <c r="D580" s="0" t="s">
        <v>19</v>
      </c>
    </row>
    <row r="581" customFormat="false" ht="13.8" hidden="false" customHeight="false" outlineLevel="0" collapsed="false">
      <c r="A581" s="0" t="s">
        <v>1369</v>
      </c>
      <c r="B581" s="0" t="s">
        <v>1370</v>
      </c>
      <c r="C581" s="0" t="s">
        <v>15</v>
      </c>
      <c r="D581" s="0" t="s">
        <v>19</v>
      </c>
    </row>
    <row r="582" customFormat="false" ht="13.8" hidden="false" customHeight="false" outlineLevel="0" collapsed="false">
      <c r="A582" s="0" t="s">
        <v>1371</v>
      </c>
      <c r="B582" s="0" t="s">
        <v>1372</v>
      </c>
      <c r="C582" s="0" t="s">
        <v>15</v>
      </c>
      <c r="D582" s="0" t="s">
        <v>19</v>
      </c>
    </row>
    <row r="583" customFormat="false" ht="13.8" hidden="false" customHeight="false" outlineLevel="0" collapsed="false">
      <c r="A583" s="0" t="s">
        <v>1373</v>
      </c>
      <c r="B583" s="0" t="s">
        <v>1374</v>
      </c>
      <c r="C583" s="0" t="s">
        <v>15</v>
      </c>
      <c r="D583" s="0" t="s">
        <v>19</v>
      </c>
    </row>
    <row r="584" customFormat="false" ht="13.8" hidden="false" customHeight="false" outlineLevel="0" collapsed="false">
      <c r="A584" s="0" t="s">
        <v>1375</v>
      </c>
      <c r="B584" s="0" t="s">
        <v>1376</v>
      </c>
      <c r="C584" s="0" t="s">
        <v>15</v>
      </c>
      <c r="D584" s="0" t="s">
        <v>19</v>
      </c>
    </row>
    <row r="585" customFormat="false" ht="13.8" hidden="false" customHeight="false" outlineLevel="0" collapsed="false">
      <c r="A585" s="0" t="s">
        <v>1377</v>
      </c>
      <c r="B585" s="0" t="s">
        <v>1378</v>
      </c>
      <c r="C585" s="0" t="s">
        <v>15</v>
      </c>
      <c r="D585" s="0" t="s">
        <v>19</v>
      </c>
    </row>
    <row r="586" customFormat="false" ht="13.8" hidden="false" customHeight="false" outlineLevel="0" collapsed="false">
      <c r="A586" s="0" t="s">
        <v>1380</v>
      </c>
      <c r="B586" s="0" t="s">
        <v>861</v>
      </c>
      <c r="C586" s="0" t="s">
        <v>15</v>
      </c>
      <c r="D586" s="0" t="s">
        <v>19</v>
      </c>
    </row>
    <row r="587" customFormat="false" ht="13.8" hidden="false" customHeight="false" outlineLevel="0" collapsed="false">
      <c r="A587" s="0" t="s">
        <v>1381</v>
      </c>
      <c r="B587" s="0" t="s">
        <v>1382</v>
      </c>
      <c r="C587" s="0" t="s">
        <v>15</v>
      </c>
      <c r="D587" s="0" t="s">
        <v>19</v>
      </c>
    </row>
    <row r="588" customFormat="false" ht="13.8" hidden="false" customHeight="false" outlineLevel="0" collapsed="false">
      <c r="A588" s="0" t="s">
        <v>1383</v>
      </c>
      <c r="B588" s="0" t="s">
        <v>1384</v>
      </c>
      <c r="C588" s="0" t="s">
        <v>15</v>
      </c>
      <c r="D588" s="0" t="s">
        <v>19</v>
      </c>
    </row>
    <row r="589" customFormat="false" ht="13.8" hidden="false" customHeight="false" outlineLevel="0" collapsed="false">
      <c r="A589" s="0" t="s">
        <v>1386</v>
      </c>
      <c r="B589" s="0" t="s">
        <v>1387</v>
      </c>
      <c r="C589" s="0" t="s">
        <v>15</v>
      </c>
      <c r="D589" s="0" t="s">
        <v>19</v>
      </c>
    </row>
    <row r="590" customFormat="false" ht="13.8" hidden="false" customHeight="false" outlineLevel="0" collapsed="false">
      <c r="A590" s="0" t="s">
        <v>1388</v>
      </c>
      <c r="B590" s="0" t="s">
        <v>1389</v>
      </c>
      <c r="C590" s="0" t="s">
        <v>15</v>
      </c>
      <c r="D590" s="0" t="s">
        <v>19</v>
      </c>
    </row>
    <row r="591" customFormat="false" ht="13.8" hidden="false" customHeight="false" outlineLevel="0" collapsed="false">
      <c r="A591" s="0" t="s">
        <v>1390</v>
      </c>
      <c r="B591" s="0" t="s">
        <v>1358</v>
      </c>
      <c r="C591" s="0" t="s">
        <v>15</v>
      </c>
      <c r="D591" s="0" t="s">
        <v>19</v>
      </c>
    </row>
    <row r="592" customFormat="false" ht="13.8" hidden="false" customHeight="false" outlineLevel="0" collapsed="false">
      <c r="A592" s="0" t="s">
        <v>1391</v>
      </c>
      <c r="B592" s="0" t="s">
        <v>1392</v>
      </c>
      <c r="C592" s="0" t="s">
        <v>15</v>
      </c>
      <c r="D592" s="0" t="s">
        <v>19</v>
      </c>
    </row>
    <row r="593" customFormat="false" ht="13.8" hidden="false" customHeight="false" outlineLevel="0" collapsed="false">
      <c r="A593" s="0" t="s">
        <v>1394</v>
      </c>
      <c r="B593" s="0" t="s">
        <v>1395</v>
      </c>
      <c r="C593" s="0" t="s">
        <v>15</v>
      </c>
      <c r="D593" s="0" t="s">
        <v>19</v>
      </c>
    </row>
    <row r="594" customFormat="false" ht="13.8" hidden="false" customHeight="false" outlineLevel="0" collapsed="false">
      <c r="A594" s="0" t="s">
        <v>1397</v>
      </c>
      <c r="B594" s="0" t="s">
        <v>1398</v>
      </c>
      <c r="C594" s="0" t="s">
        <v>15</v>
      </c>
      <c r="D594" s="0" t="s">
        <v>19</v>
      </c>
    </row>
    <row r="595" customFormat="false" ht="13.8" hidden="false" customHeight="false" outlineLevel="0" collapsed="false">
      <c r="A595" s="0" t="s">
        <v>1400</v>
      </c>
      <c r="B595" s="0" t="s">
        <v>1401</v>
      </c>
      <c r="C595" s="0" t="s">
        <v>15</v>
      </c>
      <c r="D595" s="0" t="s">
        <v>19</v>
      </c>
    </row>
    <row r="596" customFormat="false" ht="13.8" hidden="false" customHeight="false" outlineLevel="0" collapsed="false">
      <c r="A596" s="0" t="s">
        <v>1402</v>
      </c>
      <c r="B596" s="0" t="s">
        <v>1403</v>
      </c>
      <c r="C596" s="0" t="s">
        <v>15</v>
      </c>
      <c r="D596" s="0" t="s">
        <v>19</v>
      </c>
    </row>
    <row r="597" customFormat="false" ht="13.8" hidden="false" customHeight="false" outlineLevel="0" collapsed="false">
      <c r="A597" s="0" t="s">
        <v>1404</v>
      </c>
      <c r="B597" s="0" t="s">
        <v>1405</v>
      </c>
      <c r="C597" s="3" t="s">
        <v>15</v>
      </c>
      <c r="D597" s="0" t="s">
        <v>19</v>
      </c>
    </row>
    <row r="598" customFormat="false" ht="13.8" hidden="false" customHeight="false" outlineLevel="0" collapsed="false">
      <c r="A598" s="0" t="s">
        <v>1406</v>
      </c>
      <c r="B598" s="0" t="s">
        <v>1407</v>
      </c>
      <c r="C598" s="0" t="s">
        <v>15</v>
      </c>
      <c r="D598" s="0" t="s">
        <v>19</v>
      </c>
    </row>
    <row r="599" customFormat="false" ht="13.8" hidden="false" customHeight="false" outlineLevel="0" collapsed="false">
      <c r="A599" s="0" t="s">
        <v>1408</v>
      </c>
      <c r="B599" s="0" t="s">
        <v>1409</v>
      </c>
      <c r="C599" s="3" t="s">
        <v>15</v>
      </c>
      <c r="D599" s="0" t="s">
        <v>19</v>
      </c>
    </row>
    <row r="600" customFormat="false" ht="13.8" hidden="false" customHeight="false" outlineLevel="0" collapsed="false">
      <c r="A600" s="0" t="s">
        <v>1410</v>
      </c>
      <c r="B600" s="0" t="s">
        <v>1411</v>
      </c>
      <c r="C600" s="3" t="s">
        <v>15</v>
      </c>
      <c r="D600" s="0" t="s">
        <v>19</v>
      </c>
    </row>
    <row r="601" customFormat="false" ht="13.8" hidden="false" customHeight="false" outlineLevel="0" collapsed="false">
      <c r="A601" s="0" t="s">
        <v>1412</v>
      </c>
      <c r="B601" s="0" t="s">
        <v>1413</v>
      </c>
      <c r="C601" s="3" t="s">
        <v>15</v>
      </c>
      <c r="D601" s="0" t="s">
        <v>19</v>
      </c>
    </row>
    <row r="602" customFormat="false" ht="13.8" hidden="false" customHeight="false" outlineLevel="0" collapsed="false">
      <c r="A602" s="0" t="s">
        <v>1414</v>
      </c>
      <c r="B602" s="0" t="s">
        <v>1415</v>
      </c>
      <c r="C602" s="3" t="s">
        <v>15</v>
      </c>
      <c r="D602" s="0" t="s">
        <v>19</v>
      </c>
    </row>
    <row r="603" customFormat="false" ht="13.8" hidden="false" customHeight="false" outlineLevel="0" collapsed="false">
      <c r="A603" s="0" t="s">
        <v>1416</v>
      </c>
      <c r="B603" s="0" t="s">
        <v>1417</v>
      </c>
      <c r="C603" s="0" t="s">
        <v>15</v>
      </c>
      <c r="D603" s="0" t="s">
        <v>19</v>
      </c>
    </row>
    <row r="604" customFormat="false" ht="13.8" hidden="false" customHeight="false" outlineLevel="0" collapsed="false">
      <c r="A604" s="0" t="s">
        <v>1419</v>
      </c>
      <c r="B604" s="0" t="s">
        <v>1420</v>
      </c>
      <c r="C604" s="0" t="s">
        <v>15</v>
      </c>
      <c r="D604" s="0" t="s">
        <v>19</v>
      </c>
    </row>
    <row r="605" customFormat="false" ht="13.8" hidden="false" customHeight="false" outlineLevel="0" collapsed="false">
      <c r="A605" s="0" t="s">
        <v>1422</v>
      </c>
      <c r="B605" s="0" t="s">
        <v>1423</v>
      </c>
      <c r="C605" s="0" t="s">
        <v>15</v>
      </c>
      <c r="D605" s="0" t="s">
        <v>19</v>
      </c>
    </row>
    <row r="606" customFormat="false" ht="13.8" hidden="false" customHeight="false" outlineLevel="0" collapsed="false">
      <c r="A606" s="0" t="s">
        <v>1424</v>
      </c>
      <c r="B606" s="0" t="s">
        <v>1425</v>
      </c>
      <c r="C606" s="0" t="s">
        <v>15</v>
      </c>
      <c r="D606" s="0" t="s">
        <v>19</v>
      </c>
    </row>
    <row r="607" customFormat="false" ht="13.8" hidden="false" customHeight="false" outlineLevel="0" collapsed="false">
      <c r="A607" s="0" t="s">
        <v>1426</v>
      </c>
      <c r="B607" s="0" t="s">
        <v>1427</v>
      </c>
      <c r="C607" s="3" t="s">
        <v>15</v>
      </c>
      <c r="D607" s="0" t="s">
        <v>19</v>
      </c>
    </row>
    <row r="608" customFormat="false" ht="13.8" hidden="false" customHeight="false" outlineLevel="0" collapsed="false">
      <c r="A608" s="0" t="s">
        <v>1428</v>
      </c>
      <c r="B608" s="0" t="s">
        <v>1429</v>
      </c>
      <c r="C608" s="3" t="s">
        <v>15</v>
      </c>
      <c r="D608" s="0" t="s">
        <v>19</v>
      </c>
    </row>
    <row r="609" customFormat="false" ht="13.8" hidden="false" customHeight="false" outlineLevel="0" collapsed="false">
      <c r="A609" s="0" t="s">
        <v>1431</v>
      </c>
      <c r="B609" s="0" t="s">
        <v>1432</v>
      </c>
      <c r="C609" s="3" t="s">
        <v>15</v>
      </c>
      <c r="D609" s="0" t="s">
        <v>19</v>
      </c>
    </row>
    <row r="610" customFormat="false" ht="13.8" hidden="false" customHeight="false" outlineLevel="0" collapsed="false">
      <c r="A610" s="0" t="s">
        <v>1433</v>
      </c>
      <c r="B610" s="0" t="s">
        <v>1434</v>
      </c>
      <c r="C610" s="3" t="s">
        <v>15</v>
      </c>
      <c r="D610" s="0" t="s">
        <v>19</v>
      </c>
    </row>
    <row r="611" customFormat="false" ht="13.8" hidden="false" customHeight="false" outlineLevel="0" collapsed="false">
      <c r="A611" s="0" t="s">
        <v>1435</v>
      </c>
      <c r="B611" s="0" t="s">
        <v>1436</v>
      </c>
      <c r="C611" s="3" t="s">
        <v>15</v>
      </c>
      <c r="D611" s="0" t="s">
        <v>19</v>
      </c>
    </row>
    <row r="612" customFormat="false" ht="13.8" hidden="false" customHeight="false" outlineLevel="0" collapsed="false">
      <c r="A612" s="0" t="s">
        <v>1437</v>
      </c>
      <c r="B612" s="0" t="s">
        <v>1438</v>
      </c>
      <c r="C612" s="3" t="s">
        <v>15</v>
      </c>
      <c r="D612" s="0" t="s">
        <v>24</v>
      </c>
    </row>
    <row r="613" customFormat="false" ht="13.8" hidden="false" customHeight="false" outlineLevel="0" collapsed="false">
      <c r="A613" s="0" t="s">
        <v>1439</v>
      </c>
      <c r="B613" s="0" t="s">
        <v>1440</v>
      </c>
      <c r="C613" s="0" t="s">
        <v>15</v>
      </c>
      <c r="D613" s="0" t="s">
        <v>19</v>
      </c>
    </row>
    <row r="614" customFormat="false" ht="13.8" hidden="false" customHeight="false" outlineLevel="0" collapsed="false">
      <c r="A614" s="0" t="s">
        <v>1441</v>
      </c>
      <c r="B614" s="0" t="s">
        <v>1442</v>
      </c>
      <c r="C614" s="0" t="s">
        <v>15</v>
      </c>
      <c r="D614" s="0" t="s">
        <v>625</v>
      </c>
    </row>
    <row r="615" customFormat="false" ht="13.8" hidden="false" customHeight="false" outlineLevel="0" collapsed="false">
      <c r="A615" s="0" t="s">
        <v>1443</v>
      </c>
      <c r="B615" s="0" t="s">
        <v>1444</v>
      </c>
      <c r="C615" s="0" t="s">
        <v>15</v>
      </c>
      <c r="D615" s="0" t="s">
        <v>19</v>
      </c>
    </row>
    <row r="616" customFormat="false" ht="13.8" hidden="false" customHeight="false" outlineLevel="0" collapsed="false">
      <c r="A616" s="0" t="s">
        <v>1445</v>
      </c>
      <c r="B616" s="0" t="s">
        <v>1446</v>
      </c>
      <c r="C616" s="0" t="s">
        <v>15</v>
      </c>
      <c r="D616" s="0" t="s">
        <v>19</v>
      </c>
    </row>
    <row r="617" customFormat="false" ht="13.8" hidden="false" customHeight="false" outlineLevel="0" collapsed="false">
      <c r="A617" s="0" t="s">
        <v>1447</v>
      </c>
      <c r="B617" s="0" t="s">
        <v>1448</v>
      </c>
      <c r="C617" s="0" t="s">
        <v>15</v>
      </c>
      <c r="D617" s="0" t="s">
        <v>19</v>
      </c>
    </row>
    <row r="618" customFormat="false" ht="13.8" hidden="false" customHeight="false" outlineLevel="0" collapsed="false">
      <c r="A618" s="0" t="s">
        <v>1449</v>
      </c>
      <c r="B618" s="0" t="s">
        <v>1450</v>
      </c>
      <c r="C618" s="0" t="s">
        <v>15</v>
      </c>
      <c r="D618" s="0" t="s">
        <v>19</v>
      </c>
    </row>
    <row r="619" customFormat="false" ht="13.8" hidden="false" customHeight="false" outlineLevel="0" collapsed="false">
      <c r="A619" s="0" t="s">
        <v>1451</v>
      </c>
      <c r="B619" s="0" t="s">
        <v>1452</v>
      </c>
      <c r="C619" s="0" t="s">
        <v>15</v>
      </c>
      <c r="D619" s="0" t="s">
        <v>19</v>
      </c>
    </row>
    <row r="620" customFormat="false" ht="13.8" hidden="false" customHeight="false" outlineLevel="0" collapsed="false">
      <c r="A620" s="0" t="s">
        <v>1454</v>
      </c>
      <c r="B620" s="0" t="s">
        <v>1455</v>
      </c>
      <c r="C620" s="0" t="s">
        <v>15</v>
      </c>
      <c r="D620" s="0" t="s">
        <v>19</v>
      </c>
    </row>
    <row r="621" customFormat="false" ht="13.8" hidden="false" customHeight="false" outlineLevel="0" collapsed="false">
      <c r="A621" s="0" t="s">
        <v>1457</v>
      </c>
      <c r="B621" s="0" t="s">
        <v>1458</v>
      </c>
      <c r="C621" s="0" t="s">
        <v>15</v>
      </c>
      <c r="D621" s="0" t="s">
        <v>19</v>
      </c>
    </row>
    <row r="622" customFormat="false" ht="13.8" hidden="false" customHeight="false" outlineLevel="0" collapsed="false">
      <c r="A622" s="0" t="s">
        <v>1460</v>
      </c>
      <c r="B622" s="0" t="s">
        <v>1461</v>
      </c>
      <c r="C622" s="0" t="s">
        <v>15</v>
      </c>
      <c r="D622" s="0" t="s">
        <v>19</v>
      </c>
    </row>
    <row r="623" customFormat="false" ht="13.8" hidden="false" customHeight="false" outlineLevel="0" collapsed="false">
      <c r="A623" s="0" t="s">
        <v>1462</v>
      </c>
      <c r="B623" s="0" t="s">
        <v>1463</v>
      </c>
      <c r="C623" s="0" t="s">
        <v>15</v>
      </c>
      <c r="D623" s="0" t="s">
        <v>1464</v>
      </c>
    </row>
    <row r="624" customFormat="false" ht="13.8" hidden="false" customHeight="false" outlineLevel="0" collapsed="false">
      <c r="A624" s="0" t="s">
        <v>1465</v>
      </c>
      <c r="B624" s="0" t="s">
        <v>1466</v>
      </c>
      <c r="C624" s="0" t="s">
        <v>15</v>
      </c>
      <c r="D624" s="0" t="s">
        <v>19</v>
      </c>
    </row>
    <row r="625" customFormat="false" ht="13.8" hidden="false" customHeight="false" outlineLevel="0" collapsed="false">
      <c r="A625" s="0" t="s">
        <v>1467</v>
      </c>
      <c r="B625" s="0" t="s">
        <v>1468</v>
      </c>
      <c r="C625" s="0" t="s">
        <v>15</v>
      </c>
      <c r="D625" s="0" t="s">
        <v>19</v>
      </c>
    </row>
    <row r="626" customFormat="false" ht="13.8" hidden="false" customHeight="false" outlineLevel="0" collapsed="false">
      <c r="A626" s="0" t="s">
        <v>1469</v>
      </c>
      <c r="B626" s="0" t="s">
        <v>1470</v>
      </c>
      <c r="C626" s="0" t="s">
        <v>15</v>
      </c>
      <c r="D626" s="0" t="s">
        <v>19</v>
      </c>
    </row>
    <row r="627" customFormat="false" ht="13.8" hidden="false" customHeight="false" outlineLevel="0" collapsed="false">
      <c r="A627" s="0" t="s">
        <v>1471</v>
      </c>
      <c r="B627" s="0" t="s">
        <v>1472</v>
      </c>
      <c r="C627" s="0" t="s">
        <v>15</v>
      </c>
      <c r="D627" s="0" t="s">
        <v>19</v>
      </c>
    </row>
    <row r="628" customFormat="false" ht="13.8" hidden="false" customHeight="false" outlineLevel="0" collapsed="false">
      <c r="A628" s="0" t="s">
        <v>1473</v>
      </c>
      <c r="B628" s="0" t="s">
        <v>1474</v>
      </c>
      <c r="C628" s="0" t="s">
        <v>15</v>
      </c>
      <c r="D628" s="0" t="s">
        <v>19</v>
      </c>
    </row>
    <row r="629" customFormat="false" ht="13.8" hidden="false" customHeight="false" outlineLevel="0" collapsed="false">
      <c r="A629" s="0" t="s">
        <v>1475</v>
      </c>
      <c r="B629" s="0" t="s">
        <v>1476</v>
      </c>
      <c r="C629" s="0" t="s">
        <v>15</v>
      </c>
      <c r="D629" s="0" t="s">
        <v>16</v>
      </c>
    </row>
    <row r="630" customFormat="false" ht="13.8" hidden="false" customHeight="false" outlineLevel="0" collapsed="false">
      <c r="A630" s="0" t="s">
        <v>1477</v>
      </c>
      <c r="B630" s="0" t="s">
        <v>1478</v>
      </c>
      <c r="C630" s="0" t="s">
        <v>15</v>
      </c>
      <c r="D630" s="0" t="s">
        <v>16</v>
      </c>
    </row>
    <row r="631" customFormat="false" ht="13.8" hidden="false" customHeight="false" outlineLevel="0" collapsed="false">
      <c r="A631" s="0" t="s">
        <v>1479</v>
      </c>
      <c r="B631" s="0" t="s">
        <v>1480</v>
      </c>
      <c r="C631" s="0" t="s">
        <v>15</v>
      </c>
      <c r="D631" s="0" t="s">
        <v>19</v>
      </c>
    </row>
    <row r="632" customFormat="false" ht="13.8" hidden="false" customHeight="false" outlineLevel="0" collapsed="false">
      <c r="A632" s="0" t="s">
        <v>1481</v>
      </c>
      <c r="B632" s="0" t="s">
        <v>1482</v>
      </c>
      <c r="C632" s="0" t="s">
        <v>15</v>
      </c>
      <c r="D632" s="0" t="s">
        <v>19</v>
      </c>
    </row>
    <row r="633" customFormat="false" ht="13.8" hidden="false" customHeight="false" outlineLevel="0" collapsed="false">
      <c r="A633" s="0" t="s">
        <v>1483</v>
      </c>
      <c r="B633" s="0" t="s">
        <v>1484</v>
      </c>
      <c r="C633" s="0" t="s">
        <v>15</v>
      </c>
      <c r="D633" s="0" t="s">
        <v>24</v>
      </c>
    </row>
    <row r="634" customFormat="false" ht="13.8" hidden="false" customHeight="false" outlineLevel="0" collapsed="false">
      <c r="A634" s="0" t="s">
        <v>1485</v>
      </c>
      <c r="B634" s="0" t="s">
        <v>1486</v>
      </c>
      <c r="C634" s="0" t="s">
        <v>15</v>
      </c>
      <c r="D634" s="0" t="s">
        <v>19</v>
      </c>
    </row>
    <row r="635" customFormat="false" ht="13.8" hidden="false" customHeight="false" outlineLevel="0" collapsed="false">
      <c r="A635" s="0" t="s">
        <v>1487</v>
      </c>
      <c r="B635" s="0" t="s">
        <v>1488</v>
      </c>
      <c r="C635" s="0" t="s">
        <v>15</v>
      </c>
      <c r="D635" s="0" t="s">
        <v>19</v>
      </c>
    </row>
    <row r="636" customFormat="false" ht="13.8" hidden="false" customHeight="false" outlineLevel="0" collapsed="false">
      <c r="A636" s="0" t="s">
        <v>1489</v>
      </c>
      <c r="B636" s="0" t="s">
        <v>1490</v>
      </c>
      <c r="C636" s="0" t="s">
        <v>15</v>
      </c>
      <c r="D636" s="0" t="s">
        <v>19</v>
      </c>
    </row>
    <row r="637" customFormat="false" ht="13.8" hidden="false" customHeight="false" outlineLevel="0" collapsed="false">
      <c r="A637" s="0" t="s">
        <v>1491</v>
      </c>
      <c r="B637" s="0" t="s">
        <v>1492</v>
      </c>
      <c r="C637" s="0" t="s">
        <v>15</v>
      </c>
      <c r="D637" s="0" t="s">
        <v>19</v>
      </c>
    </row>
    <row r="638" customFormat="false" ht="13.8" hidden="false" customHeight="false" outlineLevel="0" collapsed="false">
      <c r="A638" s="0" t="s">
        <v>1493</v>
      </c>
      <c r="B638" s="0" t="s">
        <v>1494</v>
      </c>
      <c r="C638" s="0" t="s">
        <v>15</v>
      </c>
      <c r="D638" s="0" t="s">
        <v>19</v>
      </c>
    </row>
    <row r="639" customFormat="false" ht="13.8" hidden="false" customHeight="false" outlineLevel="0" collapsed="false">
      <c r="A639" s="0" t="s">
        <v>1495</v>
      </c>
      <c r="B639" s="0" t="s">
        <v>1496</v>
      </c>
      <c r="C639" s="0" t="s">
        <v>15</v>
      </c>
      <c r="D639" s="0" t="s">
        <v>19</v>
      </c>
    </row>
    <row r="640" customFormat="false" ht="13.8" hidden="false" customHeight="false" outlineLevel="0" collapsed="false">
      <c r="A640" s="0" t="s">
        <v>1497</v>
      </c>
      <c r="B640" s="0" t="s">
        <v>1498</v>
      </c>
      <c r="C640" s="0" t="s">
        <v>15</v>
      </c>
      <c r="D640" s="0" t="s">
        <v>19</v>
      </c>
    </row>
    <row r="641" customFormat="false" ht="13.8" hidden="false" customHeight="false" outlineLevel="0" collapsed="false">
      <c r="A641" s="0" t="s">
        <v>1500</v>
      </c>
      <c r="B641" s="0" t="s">
        <v>1501</v>
      </c>
      <c r="C641" s="0" t="s">
        <v>1502</v>
      </c>
      <c r="D641" s="0" t="s">
        <v>413</v>
      </c>
    </row>
    <row r="642" customFormat="false" ht="13.8" hidden="false" customHeight="false" outlineLevel="0" collapsed="false">
      <c r="A642" s="0" t="s">
        <v>1503</v>
      </c>
      <c r="B642" s="0" t="s">
        <v>1504</v>
      </c>
      <c r="C642" s="0" t="s">
        <v>1502</v>
      </c>
      <c r="D642" s="0" t="s">
        <v>1505</v>
      </c>
    </row>
    <row r="643" customFormat="false" ht="13.8" hidden="false" customHeight="false" outlineLevel="0" collapsed="false">
      <c r="A643" s="0" t="s">
        <v>1506</v>
      </c>
      <c r="B643" s="0" t="s">
        <v>1507</v>
      </c>
      <c r="C643" s="0" t="s">
        <v>1502</v>
      </c>
      <c r="D643" s="0" t="s">
        <v>1508</v>
      </c>
    </row>
    <row r="644" customFormat="false" ht="13.8" hidden="false" customHeight="false" outlineLevel="0" collapsed="false">
      <c r="A644" s="0" t="s">
        <v>1509</v>
      </c>
      <c r="B644" s="0" t="s">
        <v>1510</v>
      </c>
      <c r="C644" s="0" t="s">
        <v>31</v>
      </c>
      <c r="D644" s="0" t="s">
        <v>69</v>
      </c>
    </row>
    <row r="645" customFormat="false" ht="13.8" hidden="false" customHeight="false" outlineLevel="0" collapsed="false">
      <c r="A645" s="0" t="s">
        <v>1511</v>
      </c>
      <c r="B645" s="0" t="s">
        <v>1512</v>
      </c>
      <c r="C645" s="0" t="s">
        <v>31</v>
      </c>
      <c r="D645" s="0" t="s">
        <v>1513</v>
      </c>
    </row>
    <row r="646" customFormat="false" ht="13.8" hidden="false" customHeight="false" outlineLevel="0" collapsed="false">
      <c r="A646" s="0" t="s">
        <v>1514</v>
      </c>
      <c r="B646" s="0" t="s">
        <v>1515</v>
      </c>
      <c r="C646" s="0" t="s">
        <v>31</v>
      </c>
      <c r="D646" s="0" t="s">
        <v>1513</v>
      </c>
    </row>
    <row r="647" customFormat="false" ht="13.8" hidden="false" customHeight="false" outlineLevel="0" collapsed="false">
      <c r="A647" s="0" t="s">
        <v>1516</v>
      </c>
      <c r="B647" s="0" t="s">
        <v>1517</v>
      </c>
      <c r="C647" s="0" t="s">
        <v>31</v>
      </c>
      <c r="D647" s="0" t="s">
        <v>1518</v>
      </c>
    </row>
    <row r="648" customFormat="false" ht="13.8" hidden="false" customHeight="false" outlineLevel="0" collapsed="false">
      <c r="A648" s="0" t="s">
        <v>1519</v>
      </c>
      <c r="B648" s="0" t="s">
        <v>1520</v>
      </c>
      <c r="C648" s="0" t="s">
        <v>31</v>
      </c>
      <c r="D648" s="0" t="s">
        <v>1521</v>
      </c>
    </row>
    <row r="649" customFormat="false" ht="13.8" hidden="false" customHeight="false" outlineLevel="0" collapsed="false">
      <c r="A649" s="0" t="s">
        <v>1522</v>
      </c>
      <c r="B649" s="0" t="s">
        <v>1523</v>
      </c>
      <c r="C649" s="0" t="s">
        <v>31</v>
      </c>
      <c r="D649" s="0" t="s">
        <v>1524</v>
      </c>
    </row>
    <row r="650" customFormat="false" ht="13.8" hidden="false" customHeight="false" outlineLevel="0" collapsed="false">
      <c r="A650" s="0" t="s">
        <v>1525</v>
      </c>
      <c r="B650" s="0" t="s">
        <v>1526</v>
      </c>
      <c r="C650" s="0" t="s">
        <v>31</v>
      </c>
      <c r="D650" s="0" t="s">
        <v>1527</v>
      </c>
    </row>
    <row r="651" customFormat="false" ht="13.8" hidden="false" customHeight="false" outlineLevel="0" collapsed="false">
      <c r="A651" s="0" t="s">
        <v>1528</v>
      </c>
      <c r="B651" s="0" t="s">
        <v>1529</v>
      </c>
      <c r="C651" s="0" t="s">
        <v>31</v>
      </c>
      <c r="D651" s="0" t="s">
        <v>69</v>
      </c>
    </row>
    <row r="652" customFormat="false" ht="13.8" hidden="false" customHeight="false" outlineLevel="0" collapsed="false">
      <c r="A652" s="0" t="s">
        <v>1530</v>
      </c>
      <c r="B652" s="0" t="s">
        <v>1531</v>
      </c>
      <c r="C652" s="0" t="s">
        <v>31</v>
      </c>
      <c r="D652" s="0" t="s">
        <v>1518</v>
      </c>
    </row>
    <row r="653" customFormat="false" ht="13.8" hidden="false" customHeight="false" outlineLevel="0" collapsed="false">
      <c r="A653" s="0" t="s">
        <v>1532</v>
      </c>
      <c r="B653" s="0" t="s">
        <v>1533</v>
      </c>
      <c r="C653" s="0" t="s">
        <v>31</v>
      </c>
      <c r="D653" s="0" t="s">
        <v>1508</v>
      </c>
    </row>
    <row r="654" customFormat="false" ht="13.8" hidden="false" customHeight="false" outlineLevel="0" collapsed="false">
      <c r="A654" s="0" t="s">
        <v>1534</v>
      </c>
      <c r="B654" s="0" t="s">
        <v>1535</v>
      </c>
      <c r="C654" s="0" t="s">
        <v>31</v>
      </c>
      <c r="D654" s="0" t="s">
        <v>16</v>
      </c>
    </row>
    <row r="655" customFormat="false" ht="13.8" hidden="false" customHeight="false" outlineLevel="0" collapsed="false">
      <c r="A655" s="0" t="s">
        <v>1536</v>
      </c>
      <c r="B655" s="0" t="s">
        <v>1537</v>
      </c>
      <c r="C655" s="0" t="s">
        <v>31</v>
      </c>
      <c r="D655" s="0" t="s">
        <v>1505</v>
      </c>
    </row>
    <row r="656" customFormat="false" ht="13.8" hidden="false" customHeight="false" outlineLevel="0" collapsed="false">
      <c r="A656" s="0" t="s">
        <v>1538</v>
      </c>
      <c r="B656" s="0" t="s">
        <v>1539</v>
      </c>
      <c r="C656" s="0" t="s">
        <v>31</v>
      </c>
      <c r="D656" s="0" t="s">
        <v>1540</v>
      </c>
    </row>
    <row r="657" customFormat="false" ht="13.8" hidden="false" customHeight="false" outlineLevel="0" collapsed="false">
      <c r="A657" s="0" t="s">
        <v>1541</v>
      </c>
      <c r="B657" s="0" t="s">
        <v>404</v>
      </c>
      <c r="C657" s="0" t="s">
        <v>31</v>
      </c>
      <c r="D657" s="0" t="s">
        <v>69</v>
      </c>
    </row>
    <row r="658" customFormat="false" ht="13.8" hidden="false" customHeight="false" outlineLevel="0" collapsed="false">
      <c r="A658" s="0" t="s">
        <v>1542</v>
      </c>
      <c r="B658" s="0" t="s">
        <v>1543</v>
      </c>
      <c r="C658" s="0" t="s">
        <v>31</v>
      </c>
      <c r="D658" s="0" t="s">
        <v>16</v>
      </c>
    </row>
    <row r="659" customFormat="false" ht="13.8" hidden="false" customHeight="false" outlineLevel="0" collapsed="false">
      <c r="A659" s="0" t="s">
        <v>1544</v>
      </c>
      <c r="B659" s="0" t="s">
        <v>1545</v>
      </c>
      <c r="C659" s="0" t="s">
        <v>31</v>
      </c>
      <c r="D659" s="0" t="s">
        <v>16</v>
      </c>
    </row>
    <row r="660" customFormat="false" ht="13.8" hidden="false" customHeight="false" outlineLevel="0" collapsed="false">
      <c r="A660" s="0" t="s">
        <v>1546</v>
      </c>
      <c r="B660" s="0" t="s">
        <v>1547</v>
      </c>
      <c r="C660" s="0" t="s">
        <v>31</v>
      </c>
      <c r="D660" s="0" t="s">
        <v>16</v>
      </c>
    </row>
    <row r="661" customFormat="false" ht="13.8" hidden="false" customHeight="false" outlineLevel="0" collapsed="false">
      <c r="A661" s="0" t="s">
        <v>1548</v>
      </c>
      <c r="B661" s="0" t="s">
        <v>1549</v>
      </c>
      <c r="C661" s="0" t="s">
        <v>31</v>
      </c>
      <c r="D661" s="0" t="s">
        <v>16</v>
      </c>
    </row>
    <row r="662" customFormat="false" ht="13.8" hidden="false" customHeight="false" outlineLevel="0" collapsed="false">
      <c r="A662" s="0" t="s">
        <v>1551</v>
      </c>
      <c r="B662" s="0" t="s">
        <v>1552</v>
      </c>
      <c r="C662" s="0" t="s">
        <v>31</v>
      </c>
      <c r="D662" s="0" t="s">
        <v>1553</v>
      </c>
    </row>
    <row r="663" customFormat="false" ht="13.8" hidden="false" customHeight="false" outlineLevel="0" collapsed="false">
      <c r="A663" s="0" t="s">
        <v>1554</v>
      </c>
      <c r="B663" s="0" t="s">
        <v>1555</v>
      </c>
      <c r="C663" s="0" t="s">
        <v>31</v>
      </c>
      <c r="D663" s="0" t="s">
        <v>1556</v>
      </c>
    </row>
    <row r="664" customFormat="false" ht="13.8" hidden="false" customHeight="false" outlineLevel="0" collapsed="false">
      <c r="A664" s="0" t="s">
        <v>1557</v>
      </c>
      <c r="B664" s="0" t="s">
        <v>1558</v>
      </c>
      <c r="C664" s="0" t="s">
        <v>31</v>
      </c>
      <c r="D664" s="0" t="s">
        <v>1513</v>
      </c>
    </row>
    <row r="665" customFormat="false" ht="13.8" hidden="false" customHeight="false" outlineLevel="0" collapsed="false">
      <c r="A665" s="0" t="s">
        <v>1559</v>
      </c>
      <c r="B665" s="0" t="s">
        <v>1560</v>
      </c>
      <c r="C665" s="0" t="s">
        <v>31</v>
      </c>
      <c r="D665" s="0" t="s">
        <v>1561</v>
      </c>
    </row>
    <row r="666" customFormat="false" ht="13.8" hidden="false" customHeight="false" outlineLevel="0" collapsed="false">
      <c r="A666" s="0" t="s">
        <v>1562</v>
      </c>
      <c r="B666" s="0" t="s">
        <v>1563</v>
      </c>
      <c r="C666" s="0" t="s">
        <v>31</v>
      </c>
      <c r="D666" s="0" t="s">
        <v>19</v>
      </c>
    </row>
    <row r="667" customFormat="false" ht="13.8" hidden="false" customHeight="false" outlineLevel="0" collapsed="false">
      <c r="A667" s="0" t="s">
        <v>1565</v>
      </c>
      <c r="B667" s="0" t="s">
        <v>1566</v>
      </c>
      <c r="C667" s="0" t="s">
        <v>31</v>
      </c>
      <c r="D667" s="0" t="s">
        <v>16</v>
      </c>
    </row>
    <row r="668" customFormat="false" ht="13.8" hidden="false" customHeight="false" outlineLevel="0" collapsed="false">
      <c r="A668" s="0" t="s">
        <v>1567</v>
      </c>
      <c r="B668" s="0" t="s">
        <v>1568</v>
      </c>
      <c r="C668" s="0" t="s">
        <v>31</v>
      </c>
      <c r="D668" s="0" t="s">
        <v>1569</v>
      </c>
    </row>
    <row r="669" customFormat="false" ht="13.8" hidden="false" customHeight="false" outlineLevel="0" collapsed="false">
      <c r="A669" s="0" t="s">
        <v>1570</v>
      </c>
      <c r="B669" s="0" t="s">
        <v>1571</v>
      </c>
      <c r="C669" s="0" t="s">
        <v>31</v>
      </c>
      <c r="D669" s="0" t="s">
        <v>1572</v>
      </c>
    </row>
    <row r="670" customFormat="false" ht="13.8" hidden="false" customHeight="false" outlineLevel="0" collapsed="false">
      <c r="A670" s="0" t="s">
        <v>1573</v>
      </c>
      <c r="B670" s="0" t="s">
        <v>1574</v>
      </c>
      <c r="C670" s="0" t="s">
        <v>31</v>
      </c>
      <c r="D670" s="0" t="s">
        <v>16</v>
      </c>
    </row>
    <row r="671" customFormat="false" ht="13.8" hidden="false" customHeight="false" outlineLevel="0" collapsed="false">
      <c r="A671" s="0" t="s">
        <v>1575</v>
      </c>
      <c r="B671" s="0" t="s">
        <v>1576</v>
      </c>
      <c r="C671" s="0" t="s">
        <v>31</v>
      </c>
      <c r="D671" s="0" t="s">
        <v>1561</v>
      </c>
    </row>
    <row r="672" customFormat="false" ht="13.8" hidden="false" customHeight="false" outlineLevel="0" collapsed="false">
      <c r="A672" s="0" t="s">
        <v>1577</v>
      </c>
      <c r="B672" s="0" t="s">
        <v>1578</v>
      </c>
      <c r="C672" s="0" t="s">
        <v>31</v>
      </c>
      <c r="D672" s="0" t="s">
        <v>1508</v>
      </c>
    </row>
    <row r="673" customFormat="false" ht="13.8" hidden="false" customHeight="false" outlineLevel="0" collapsed="false">
      <c r="A673" s="0" t="s">
        <v>1579</v>
      </c>
      <c r="B673" s="0" t="s">
        <v>1580</v>
      </c>
      <c r="C673" s="0" t="s">
        <v>31</v>
      </c>
      <c r="D673" s="0" t="s">
        <v>16</v>
      </c>
    </row>
    <row r="674" customFormat="false" ht="13.8" hidden="false" customHeight="false" outlineLevel="0" collapsed="false">
      <c r="A674" s="0" t="s">
        <v>1581</v>
      </c>
      <c r="B674" s="0" t="s">
        <v>1582</v>
      </c>
      <c r="C674" s="0" t="s">
        <v>31</v>
      </c>
      <c r="D674" s="0" t="s">
        <v>69</v>
      </c>
    </row>
    <row r="675" customFormat="false" ht="13.8" hidden="false" customHeight="false" outlineLevel="0" collapsed="false">
      <c r="A675" s="0" t="s">
        <v>1583</v>
      </c>
      <c r="B675" s="0" t="s">
        <v>1584</v>
      </c>
      <c r="C675" s="0" t="s">
        <v>31</v>
      </c>
      <c r="D675" s="0" t="s">
        <v>1513</v>
      </c>
    </row>
    <row r="676" customFormat="false" ht="13.8" hidden="false" customHeight="false" outlineLevel="0" collapsed="false">
      <c r="A676" s="0" t="s">
        <v>1585</v>
      </c>
      <c r="B676" s="0" t="s">
        <v>1586</v>
      </c>
      <c r="C676" s="0" t="s">
        <v>31</v>
      </c>
      <c r="D676" s="0" t="s">
        <v>16</v>
      </c>
    </row>
    <row r="677" customFormat="false" ht="13.8" hidden="false" customHeight="false" outlineLevel="0" collapsed="false">
      <c r="A677" s="0" t="s">
        <v>1587</v>
      </c>
      <c r="B677" s="0" t="s">
        <v>1588</v>
      </c>
      <c r="C677" s="0" t="s">
        <v>31</v>
      </c>
      <c r="D677" s="0" t="s">
        <v>16</v>
      </c>
    </row>
    <row r="678" customFormat="false" ht="13.8" hidden="false" customHeight="false" outlineLevel="0" collapsed="false">
      <c r="A678" s="0" t="s">
        <v>1590</v>
      </c>
      <c r="B678" s="0" t="s">
        <v>1591</v>
      </c>
      <c r="C678" s="0" t="s">
        <v>31</v>
      </c>
      <c r="D678" s="0" t="s">
        <v>1592</v>
      </c>
    </row>
    <row r="679" customFormat="false" ht="13.8" hidden="false" customHeight="false" outlineLevel="0" collapsed="false">
      <c r="A679" s="0" t="s">
        <v>1593</v>
      </c>
      <c r="B679" s="0" t="s">
        <v>1594</v>
      </c>
      <c r="C679" s="0" t="s">
        <v>31</v>
      </c>
      <c r="D679" s="0" t="s">
        <v>16</v>
      </c>
    </row>
    <row r="680" customFormat="false" ht="13.8" hidden="false" customHeight="false" outlineLevel="0" collapsed="false">
      <c r="A680" s="0" t="s">
        <v>1595</v>
      </c>
      <c r="B680" s="0" t="s">
        <v>1596</v>
      </c>
      <c r="C680" s="0" t="s">
        <v>31</v>
      </c>
      <c r="D680" s="0" t="s">
        <v>16</v>
      </c>
    </row>
    <row r="681" customFormat="false" ht="13.8" hidden="false" customHeight="false" outlineLevel="0" collapsed="false">
      <c r="A681" s="0" t="s">
        <v>1597</v>
      </c>
      <c r="B681" s="0" t="s">
        <v>1598</v>
      </c>
      <c r="C681" s="0" t="s">
        <v>31</v>
      </c>
      <c r="D681" s="0" t="s">
        <v>1599</v>
      </c>
    </row>
    <row r="682" customFormat="false" ht="13.8" hidden="false" customHeight="false" outlineLevel="0" collapsed="false">
      <c r="A682" s="0" t="s">
        <v>1600</v>
      </c>
      <c r="B682" s="0" t="s">
        <v>1601</v>
      </c>
      <c r="C682" s="0" t="s">
        <v>31</v>
      </c>
      <c r="D682" s="0" t="s">
        <v>1508</v>
      </c>
    </row>
    <row r="683" customFormat="false" ht="13.8" hidden="false" customHeight="false" outlineLevel="0" collapsed="false">
      <c r="A683" s="0" t="s">
        <v>1602</v>
      </c>
      <c r="B683" s="0" t="s">
        <v>1603</v>
      </c>
      <c r="C683" s="0" t="s">
        <v>31</v>
      </c>
      <c r="D683" s="0" t="s">
        <v>1604</v>
      </c>
    </row>
    <row r="684" customFormat="false" ht="13.8" hidden="false" customHeight="false" outlineLevel="0" collapsed="false">
      <c r="A684" s="0" t="s">
        <v>1605</v>
      </c>
      <c r="B684" s="0" t="s">
        <v>1606</v>
      </c>
      <c r="C684" s="0" t="s">
        <v>31</v>
      </c>
      <c r="D684" s="0" t="s">
        <v>16</v>
      </c>
    </row>
    <row r="685" customFormat="false" ht="13.8" hidden="false" customHeight="false" outlineLevel="0" collapsed="false">
      <c r="A685" s="0" t="s">
        <v>1608</v>
      </c>
      <c r="B685" s="0" t="s">
        <v>1609</v>
      </c>
      <c r="C685" s="0" t="s">
        <v>31</v>
      </c>
      <c r="D685" s="0" t="s">
        <v>1610</v>
      </c>
    </row>
    <row r="686" customFormat="false" ht="13.8" hidden="false" customHeight="false" outlineLevel="0" collapsed="false">
      <c r="A686" s="0" t="s">
        <v>1611</v>
      </c>
      <c r="B686" s="0" t="s">
        <v>1612</v>
      </c>
      <c r="C686" s="0" t="s">
        <v>31</v>
      </c>
      <c r="D686" s="0" t="s">
        <v>1613</v>
      </c>
    </row>
    <row r="687" customFormat="false" ht="13.8" hidden="false" customHeight="false" outlineLevel="0" collapsed="false">
      <c r="A687" s="0" t="s">
        <v>1614</v>
      </c>
      <c r="B687" s="0" t="s">
        <v>1615</v>
      </c>
      <c r="C687" s="0" t="s">
        <v>31</v>
      </c>
      <c r="D687" s="0" t="s">
        <v>1616</v>
      </c>
    </row>
    <row r="688" customFormat="false" ht="13.8" hidden="false" customHeight="false" outlineLevel="0" collapsed="false">
      <c r="A688" s="0" t="s">
        <v>1617</v>
      </c>
      <c r="B688" s="0" t="s">
        <v>1618</v>
      </c>
      <c r="C688" s="0" t="s">
        <v>31</v>
      </c>
      <c r="D688" s="0" t="s">
        <v>1619</v>
      </c>
    </row>
    <row r="689" customFormat="false" ht="13.8" hidden="false" customHeight="false" outlineLevel="0" collapsed="false">
      <c r="A689" s="0" t="s">
        <v>1620</v>
      </c>
      <c r="B689" s="0" t="s">
        <v>1621</v>
      </c>
      <c r="C689" s="0" t="s">
        <v>31</v>
      </c>
      <c r="D689" s="0" t="s">
        <v>1508</v>
      </c>
    </row>
    <row r="690" customFormat="false" ht="13.8" hidden="false" customHeight="false" outlineLevel="0" collapsed="false">
      <c r="A690" s="0" t="s">
        <v>1622</v>
      </c>
      <c r="B690" s="0" t="s">
        <v>1623</v>
      </c>
      <c r="C690" s="0" t="s">
        <v>31</v>
      </c>
      <c r="D690" s="0" t="s">
        <v>1624</v>
      </c>
    </row>
    <row r="691" customFormat="false" ht="13.8" hidden="false" customHeight="false" outlineLevel="0" collapsed="false">
      <c r="A691" s="0" t="s">
        <v>1625</v>
      </c>
      <c r="B691" s="0" t="s">
        <v>1626</v>
      </c>
      <c r="C691" s="0" t="s">
        <v>31</v>
      </c>
      <c r="D691" s="0" t="s">
        <v>1627</v>
      </c>
    </row>
    <row r="692" customFormat="false" ht="13.8" hidden="false" customHeight="false" outlineLevel="0" collapsed="false">
      <c r="A692" s="0" t="s">
        <v>1628</v>
      </c>
      <c r="B692" s="0" t="s">
        <v>1629</v>
      </c>
      <c r="C692" s="0" t="s">
        <v>31</v>
      </c>
      <c r="D692" s="0" t="s">
        <v>1630</v>
      </c>
    </row>
    <row r="693" customFormat="false" ht="13.8" hidden="false" customHeight="false" outlineLevel="0" collapsed="false">
      <c r="A693" s="0" t="s">
        <v>1631</v>
      </c>
      <c r="B693" s="0" t="s">
        <v>1632</v>
      </c>
      <c r="C693" s="0" t="s">
        <v>31</v>
      </c>
      <c r="D693" s="0" t="s">
        <v>1633</v>
      </c>
    </row>
    <row r="694" customFormat="false" ht="13.8" hidden="false" customHeight="false" outlineLevel="0" collapsed="false">
      <c r="A694" s="0" t="s">
        <v>1634</v>
      </c>
      <c r="B694" s="0" t="s">
        <v>1635</v>
      </c>
      <c r="C694" s="0" t="s">
        <v>31</v>
      </c>
      <c r="D694" s="0" t="s">
        <v>1508</v>
      </c>
    </row>
    <row r="695" customFormat="false" ht="13.8" hidden="false" customHeight="false" outlineLevel="0" collapsed="false">
      <c r="A695" s="0" t="s">
        <v>1636</v>
      </c>
      <c r="B695" s="0" t="s">
        <v>1637</v>
      </c>
      <c r="C695" s="0" t="s">
        <v>31</v>
      </c>
      <c r="D695" s="0" t="s">
        <v>1540</v>
      </c>
    </row>
    <row r="696" customFormat="false" ht="13.8" hidden="false" customHeight="false" outlineLevel="0" collapsed="false">
      <c r="A696" s="0" t="s">
        <v>1638</v>
      </c>
      <c r="B696" s="0" t="s">
        <v>1639</v>
      </c>
      <c r="C696" s="0" t="s">
        <v>31</v>
      </c>
      <c r="D696" s="0" t="s">
        <v>69</v>
      </c>
    </row>
    <row r="697" customFormat="false" ht="13.8" hidden="false" customHeight="false" outlineLevel="0" collapsed="false">
      <c r="A697" s="0" t="s">
        <v>1640</v>
      </c>
      <c r="B697" s="0" t="s">
        <v>1641</v>
      </c>
      <c r="C697" s="0" t="s">
        <v>31</v>
      </c>
      <c r="D697" s="0" t="s">
        <v>1630</v>
      </c>
    </row>
    <row r="698" customFormat="false" ht="13.8" hidden="false" customHeight="false" outlineLevel="0" collapsed="false">
      <c r="A698" s="0" t="s">
        <v>1642</v>
      </c>
      <c r="B698" s="0" t="s">
        <v>1643</v>
      </c>
      <c r="C698" s="0" t="s">
        <v>31</v>
      </c>
      <c r="D698" s="0" t="s">
        <v>1633</v>
      </c>
    </row>
    <row r="699" customFormat="false" ht="13.8" hidden="false" customHeight="false" outlineLevel="0" collapsed="false">
      <c r="A699" s="0" t="s">
        <v>1644</v>
      </c>
      <c r="B699" s="0" t="s">
        <v>1645</v>
      </c>
      <c r="C699" s="0" t="s">
        <v>31</v>
      </c>
      <c r="D699" s="0" t="s">
        <v>69</v>
      </c>
    </row>
    <row r="700" customFormat="false" ht="13.8" hidden="false" customHeight="false" outlineLevel="0" collapsed="false">
      <c r="A700" s="0" t="s">
        <v>1646</v>
      </c>
      <c r="B700" s="0" t="s">
        <v>1647</v>
      </c>
      <c r="C700" s="0" t="s">
        <v>31</v>
      </c>
      <c r="D700" s="0" t="s">
        <v>16</v>
      </c>
    </row>
    <row r="701" customFormat="false" ht="13.8" hidden="false" customHeight="false" outlineLevel="0" collapsed="false">
      <c r="A701" s="0" t="s">
        <v>1649</v>
      </c>
      <c r="B701" s="0" t="s">
        <v>1650</v>
      </c>
      <c r="C701" s="0" t="s">
        <v>31</v>
      </c>
      <c r="D701" s="0" t="s">
        <v>1651</v>
      </c>
    </row>
    <row r="702" customFormat="false" ht="13.8" hidden="false" customHeight="false" outlineLevel="0" collapsed="false">
      <c r="A702" s="0" t="s">
        <v>1652</v>
      </c>
      <c r="B702" s="0" t="s">
        <v>1653</v>
      </c>
      <c r="C702" s="0" t="s">
        <v>31</v>
      </c>
      <c r="D702" s="0" t="s">
        <v>1654</v>
      </c>
    </row>
    <row r="703" customFormat="false" ht="13.8" hidden="false" customHeight="false" outlineLevel="0" collapsed="false">
      <c r="A703" s="0" t="s">
        <v>1655</v>
      </c>
      <c r="B703" s="0" t="s">
        <v>1656</v>
      </c>
      <c r="C703" s="0" t="s">
        <v>31</v>
      </c>
      <c r="D703" s="0" t="s">
        <v>1657</v>
      </c>
    </row>
    <row r="704" customFormat="false" ht="13.8" hidden="false" customHeight="false" outlineLevel="0" collapsed="false">
      <c r="A704" s="0" t="s">
        <v>1658</v>
      </c>
      <c r="B704" s="0" t="s">
        <v>1659</v>
      </c>
      <c r="C704" s="0" t="s">
        <v>31</v>
      </c>
      <c r="D704" s="0" t="s">
        <v>1540</v>
      </c>
    </row>
    <row r="705" customFormat="false" ht="13.8" hidden="false" customHeight="false" outlineLevel="0" collapsed="false">
      <c r="A705" s="0" t="s">
        <v>1660</v>
      </c>
      <c r="B705" s="0" t="s">
        <v>1661</v>
      </c>
      <c r="C705" s="0" t="s">
        <v>31</v>
      </c>
      <c r="D705" s="0" t="s">
        <v>16</v>
      </c>
    </row>
    <row r="706" customFormat="false" ht="13.8" hidden="false" customHeight="false" outlineLevel="0" collapsed="false">
      <c r="A706" s="0" t="s">
        <v>1664</v>
      </c>
      <c r="B706" s="0" t="s">
        <v>1665</v>
      </c>
      <c r="C706" s="0" t="s">
        <v>31</v>
      </c>
      <c r="D706" s="0" t="s">
        <v>19</v>
      </c>
    </row>
    <row r="707" customFormat="false" ht="13.8" hidden="false" customHeight="false" outlineLevel="0" collapsed="false">
      <c r="A707" s="0" t="s">
        <v>1667</v>
      </c>
      <c r="B707" s="0" t="s">
        <v>1668</v>
      </c>
      <c r="C707" s="0" t="s">
        <v>31</v>
      </c>
      <c r="D707" s="0" t="s">
        <v>16</v>
      </c>
    </row>
    <row r="708" customFormat="false" ht="13.8" hidden="false" customHeight="false" outlineLevel="0" collapsed="false">
      <c r="A708" s="0" t="s">
        <v>1670</v>
      </c>
      <c r="B708" s="0" t="s">
        <v>1671</v>
      </c>
      <c r="C708" s="0" t="s">
        <v>31</v>
      </c>
      <c r="D708" s="0" t="s">
        <v>19</v>
      </c>
    </row>
    <row r="709" customFormat="false" ht="13.8" hidden="false" customHeight="false" outlineLevel="0" collapsed="false">
      <c r="A709" s="0" t="s">
        <v>1674</v>
      </c>
      <c r="B709" s="0" t="s">
        <v>1675</v>
      </c>
      <c r="C709" s="0" t="s">
        <v>31</v>
      </c>
      <c r="D709" s="0" t="s">
        <v>19</v>
      </c>
    </row>
    <row r="710" customFormat="false" ht="13.8" hidden="false" customHeight="false" outlineLevel="0" collapsed="false">
      <c r="A710" s="0" t="s">
        <v>1677</v>
      </c>
      <c r="B710" s="0" t="s">
        <v>1678</v>
      </c>
      <c r="C710" s="0" t="s">
        <v>31</v>
      </c>
      <c r="D710" s="0" t="s">
        <v>19</v>
      </c>
    </row>
    <row r="711" customFormat="false" ht="13.8" hidden="false" customHeight="false" outlineLevel="0" collapsed="false">
      <c r="A711" s="0" t="s">
        <v>1680</v>
      </c>
      <c r="B711" s="0" t="s">
        <v>1681</v>
      </c>
      <c r="C711" s="0" t="s">
        <v>31</v>
      </c>
      <c r="D711" s="0" t="s">
        <v>16</v>
      </c>
    </row>
    <row r="712" customFormat="false" ht="13.8" hidden="false" customHeight="false" outlineLevel="0" collapsed="false">
      <c r="A712" s="0" t="s">
        <v>1683</v>
      </c>
      <c r="B712" s="0" t="s">
        <v>1684</v>
      </c>
      <c r="C712" s="0" t="s">
        <v>31</v>
      </c>
      <c r="D712" s="0" t="s">
        <v>16</v>
      </c>
    </row>
    <row r="713" customFormat="false" ht="13.8" hidden="false" customHeight="false" outlineLevel="0" collapsed="false">
      <c r="A713" s="0" t="s">
        <v>1685</v>
      </c>
      <c r="B713" s="0" t="s">
        <v>1686</v>
      </c>
      <c r="C713" s="0" t="s">
        <v>31</v>
      </c>
      <c r="D713" s="0" t="s">
        <v>16</v>
      </c>
    </row>
    <row r="714" customFormat="false" ht="13.8" hidden="false" customHeight="false" outlineLevel="0" collapsed="false">
      <c r="A714" s="0" t="s">
        <v>1687</v>
      </c>
      <c r="B714" s="0" t="s">
        <v>1688</v>
      </c>
      <c r="C714" s="0" t="s">
        <v>31</v>
      </c>
      <c r="D714" s="0" t="s">
        <v>19</v>
      </c>
    </row>
    <row r="715" customFormat="false" ht="13.8" hidden="false" customHeight="false" outlineLevel="0" collapsed="false">
      <c r="A715" s="0" t="s">
        <v>1690</v>
      </c>
      <c r="B715" s="0" t="s">
        <v>1691</v>
      </c>
      <c r="C715" s="0" t="s">
        <v>31</v>
      </c>
      <c r="D715" s="0" t="s">
        <v>19</v>
      </c>
    </row>
    <row r="716" customFormat="false" ht="13.8" hidden="false" customHeight="false" outlineLevel="0" collapsed="false">
      <c r="A716" s="0" t="s">
        <v>1693</v>
      </c>
      <c r="B716" s="0" t="s">
        <v>1694</v>
      </c>
      <c r="C716" s="0" t="s">
        <v>31</v>
      </c>
      <c r="D716" s="0" t="s">
        <v>24</v>
      </c>
    </row>
    <row r="717" customFormat="false" ht="13.8" hidden="false" customHeight="false" outlineLevel="0" collapsed="false">
      <c r="A717" s="0" t="s">
        <v>1696</v>
      </c>
      <c r="B717" s="0" t="s">
        <v>1697</v>
      </c>
      <c r="C717" s="0" t="s">
        <v>31</v>
      </c>
      <c r="D717" s="0" t="s">
        <v>1651</v>
      </c>
    </row>
    <row r="718" customFormat="false" ht="13.8" hidden="false" customHeight="false" outlineLevel="0" collapsed="false">
      <c r="A718" s="0" t="s">
        <v>1698</v>
      </c>
      <c r="C718" s="0" t="s">
        <v>31</v>
      </c>
      <c r="D718" s="0" t="s">
        <v>1699</v>
      </c>
    </row>
    <row r="719" customFormat="false" ht="13.8" hidden="false" customHeight="false" outlineLevel="0" collapsed="false">
      <c r="A719" s="0" t="s">
        <v>1700</v>
      </c>
      <c r="B719" s="0" t="s">
        <v>1701</v>
      </c>
      <c r="C719" s="0" t="s">
        <v>31</v>
      </c>
      <c r="D719" s="0" t="s">
        <v>19</v>
      </c>
    </row>
    <row r="720" customFormat="false" ht="13.8" hidden="false" customHeight="false" outlineLevel="0" collapsed="false">
      <c r="A720" s="0" t="s">
        <v>1702</v>
      </c>
      <c r="B720" s="0" t="s">
        <v>1703</v>
      </c>
      <c r="C720" s="0" t="s">
        <v>31</v>
      </c>
      <c r="D720" s="0" t="s">
        <v>1704</v>
      </c>
    </row>
    <row r="721" customFormat="false" ht="13.8" hidden="false" customHeight="false" outlineLevel="0" collapsed="false">
      <c r="A721" s="0" t="s">
        <v>1705</v>
      </c>
      <c r="B721" s="0" t="s">
        <v>1706</v>
      </c>
      <c r="C721" s="0" t="s">
        <v>31</v>
      </c>
      <c r="D721" s="0" t="s">
        <v>69</v>
      </c>
    </row>
    <row r="722" customFormat="false" ht="13.8" hidden="false" customHeight="false" outlineLevel="0" collapsed="false">
      <c r="A722" s="0" t="s">
        <v>1707</v>
      </c>
      <c r="B722" s="0" t="s">
        <v>1708</v>
      </c>
      <c r="C722" s="0" t="s">
        <v>31</v>
      </c>
      <c r="D722" s="0" t="s">
        <v>16</v>
      </c>
    </row>
    <row r="723" customFormat="false" ht="13.8" hidden="false" customHeight="false" outlineLevel="0" collapsed="false">
      <c r="A723" s="0" t="s">
        <v>1710</v>
      </c>
      <c r="B723" s="0" t="s">
        <v>1711</v>
      </c>
      <c r="C723" s="0" t="s">
        <v>31</v>
      </c>
      <c r="D723" s="0" t="s">
        <v>19</v>
      </c>
    </row>
    <row r="724" customFormat="false" ht="13.8" hidden="false" customHeight="false" outlineLevel="0" collapsed="false">
      <c r="A724" s="0" t="s">
        <v>1713</v>
      </c>
      <c r="B724" s="0" t="s">
        <v>1714</v>
      </c>
      <c r="C724" s="0" t="s">
        <v>31</v>
      </c>
      <c r="D724" s="0" t="s">
        <v>1527</v>
      </c>
    </row>
    <row r="725" customFormat="false" ht="13.8" hidden="false" customHeight="false" outlineLevel="0" collapsed="false">
      <c r="A725" s="0" t="s">
        <v>1715</v>
      </c>
      <c r="B725" s="0" t="s">
        <v>1716</v>
      </c>
      <c r="C725" s="0" t="s">
        <v>31</v>
      </c>
      <c r="D725" s="0" t="s">
        <v>19</v>
      </c>
    </row>
    <row r="726" customFormat="false" ht="13.8" hidden="false" customHeight="false" outlineLevel="0" collapsed="false">
      <c r="A726" s="0" t="s">
        <v>1717</v>
      </c>
      <c r="B726" s="0" t="s">
        <v>1718</v>
      </c>
      <c r="C726" s="0" t="s">
        <v>31</v>
      </c>
      <c r="D726" s="0" t="s">
        <v>19</v>
      </c>
    </row>
    <row r="727" customFormat="false" ht="13.8" hidden="false" customHeight="false" outlineLevel="0" collapsed="false">
      <c r="A727" s="0" t="s">
        <v>1720</v>
      </c>
      <c r="B727" s="0" t="s">
        <v>1721</v>
      </c>
      <c r="C727" s="0" t="s">
        <v>31</v>
      </c>
      <c r="D727" s="0" t="s">
        <v>1722</v>
      </c>
    </row>
    <row r="728" customFormat="false" ht="13.8" hidden="false" customHeight="false" outlineLevel="0" collapsed="false">
      <c r="A728" s="0" t="s">
        <v>1723</v>
      </c>
      <c r="B728" s="0" t="s">
        <v>1724</v>
      </c>
      <c r="C728" s="0" t="s">
        <v>31</v>
      </c>
      <c r="D728" s="0" t="s">
        <v>19</v>
      </c>
    </row>
    <row r="729" customFormat="false" ht="13.8" hidden="false" customHeight="false" outlineLevel="0" collapsed="false">
      <c r="A729" s="0" t="s">
        <v>1726</v>
      </c>
      <c r="B729" s="0" t="s">
        <v>1727</v>
      </c>
      <c r="C729" s="0" t="s">
        <v>31</v>
      </c>
      <c r="D729" s="0" t="s">
        <v>16</v>
      </c>
    </row>
    <row r="730" customFormat="false" ht="13.8" hidden="false" customHeight="false" outlineLevel="0" collapsed="false">
      <c r="A730" s="0" t="s">
        <v>1728</v>
      </c>
      <c r="B730" s="0" t="s">
        <v>1729</v>
      </c>
      <c r="C730" s="0" t="s">
        <v>31</v>
      </c>
      <c r="D730" s="0" t="s">
        <v>19</v>
      </c>
    </row>
    <row r="731" customFormat="false" ht="13.8" hidden="false" customHeight="false" outlineLevel="0" collapsed="false">
      <c r="A731" s="0" t="s">
        <v>1730</v>
      </c>
      <c r="B731" s="0" t="s">
        <v>1731</v>
      </c>
      <c r="C731" s="0" t="s">
        <v>31</v>
      </c>
      <c r="D731" s="0" t="s">
        <v>1527</v>
      </c>
    </row>
    <row r="732" customFormat="false" ht="13.8" hidden="false" customHeight="false" outlineLevel="0" collapsed="false">
      <c r="A732" s="0" t="s">
        <v>1732</v>
      </c>
      <c r="B732" s="0" t="s">
        <v>1733</v>
      </c>
      <c r="C732" s="0" t="s">
        <v>31</v>
      </c>
      <c r="D732" s="0" t="s">
        <v>19</v>
      </c>
    </row>
    <row r="733" customFormat="false" ht="13.8" hidden="false" customHeight="false" outlineLevel="0" collapsed="false">
      <c r="A733" s="0" t="s">
        <v>1735</v>
      </c>
      <c r="B733" s="0" t="s">
        <v>1736</v>
      </c>
      <c r="C733" s="0" t="s">
        <v>31</v>
      </c>
      <c r="D733" s="0" t="s">
        <v>1737</v>
      </c>
    </row>
    <row r="734" customFormat="false" ht="13.8" hidden="false" customHeight="false" outlineLevel="0" collapsed="false">
      <c r="A734" s="0" t="s">
        <v>1738</v>
      </c>
      <c r="B734" s="0" t="s">
        <v>1739</v>
      </c>
      <c r="C734" s="0" t="s">
        <v>31</v>
      </c>
      <c r="D734" s="0" t="s">
        <v>16</v>
      </c>
    </row>
    <row r="735" customFormat="false" ht="13.8" hidden="false" customHeight="false" outlineLevel="0" collapsed="false">
      <c r="A735" s="0" t="s">
        <v>1741</v>
      </c>
      <c r="B735" s="0" t="s">
        <v>1742</v>
      </c>
      <c r="C735" s="0" t="s">
        <v>31</v>
      </c>
      <c r="D735" s="0" t="s">
        <v>1743</v>
      </c>
    </row>
    <row r="736" customFormat="false" ht="13.8" hidden="false" customHeight="false" outlineLevel="0" collapsed="false">
      <c r="A736" s="0" t="s">
        <v>1744</v>
      </c>
      <c r="B736" s="0" t="s">
        <v>1745</v>
      </c>
      <c r="C736" s="0" t="s">
        <v>31</v>
      </c>
      <c r="D736" s="0" t="s">
        <v>1746</v>
      </c>
    </row>
    <row r="737" customFormat="false" ht="13.8" hidden="false" customHeight="false" outlineLevel="0" collapsed="false">
      <c r="A737" s="0" t="s">
        <v>1747</v>
      </c>
      <c r="B737" s="0" t="s">
        <v>1748</v>
      </c>
      <c r="C737" s="0" t="s">
        <v>31</v>
      </c>
      <c r="D737" s="0" t="s">
        <v>16</v>
      </c>
    </row>
    <row r="738" customFormat="false" ht="13.8" hidden="false" customHeight="false" outlineLevel="0" collapsed="false">
      <c r="A738" s="0" t="s">
        <v>1750</v>
      </c>
      <c r="B738" s="0" t="s">
        <v>1751</v>
      </c>
      <c r="C738" s="0" t="s">
        <v>31</v>
      </c>
      <c r="D738" s="0" t="s">
        <v>1704</v>
      </c>
    </row>
    <row r="739" customFormat="false" ht="13.8" hidden="false" customHeight="false" outlineLevel="0" collapsed="false">
      <c r="A739" s="0" t="s">
        <v>1752</v>
      </c>
      <c r="B739" s="0" t="s">
        <v>1753</v>
      </c>
      <c r="C739" s="0" t="s">
        <v>31</v>
      </c>
      <c r="D739" s="0" t="s">
        <v>1754</v>
      </c>
    </row>
    <row r="740" customFormat="false" ht="13.8" hidden="false" customHeight="false" outlineLevel="0" collapsed="false">
      <c r="A740" s="0" t="s">
        <v>1755</v>
      </c>
      <c r="B740" s="0" t="s">
        <v>1756</v>
      </c>
      <c r="C740" s="0" t="s">
        <v>31</v>
      </c>
      <c r="D740" s="0" t="s">
        <v>1540</v>
      </c>
    </row>
    <row r="741" customFormat="false" ht="13.8" hidden="false" customHeight="false" outlineLevel="0" collapsed="false">
      <c r="A741" s="0" t="s">
        <v>1757</v>
      </c>
      <c r="B741" s="0" t="s">
        <v>1758</v>
      </c>
      <c r="C741" s="0" t="s">
        <v>31</v>
      </c>
      <c r="D741" s="0" t="s">
        <v>1651</v>
      </c>
    </row>
    <row r="742" customFormat="false" ht="13.8" hidden="false" customHeight="false" outlineLevel="0" collapsed="false">
      <c r="A742" s="0" t="s">
        <v>1759</v>
      </c>
      <c r="B742" s="0" t="s">
        <v>1760</v>
      </c>
      <c r="C742" s="0" t="s">
        <v>31</v>
      </c>
      <c r="D742" s="0" t="s">
        <v>1761</v>
      </c>
    </row>
    <row r="743" customFormat="false" ht="13.8" hidden="false" customHeight="false" outlineLevel="0" collapsed="false">
      <c r="A743" s="0" t="s">
        <v>1762</v>
      </c>
      <c r="B743" s="0" t="s">
        <v>1697</v>
      </c>
      <c r="C743" s="0" t="s">
        <v>31</v>
      </c>
      <c r="D743" s="0" t="s">
        <v>1651</v>
      </c>
    </row>
    <row r="744" customFormat="false" ht="13.8" hidden="false" customHeight="false" outlineLevel="0" collapsed="false">
      <c r="A744" s="0" t="s">
        <v>1763</v>
      </c>
      <c r="B744" s="0" t="s">
        <v>1764</v>
      </c>
      <c r="C744" s="0" t="s">
        <v>31</v>
      </c>
      <c r="D744" s="0" t="s">
        <v>16</v>
      </c>
    </row>
    <row r="745" customFormat="false" ht="13.8" hidden="false" customHeight="false" outlineLevel="0" collapsed="false">
      <c r="A745" s="0" t="s">
        <v>1766</v>
      </c>
      <c r="B745" s="0" t="s">
        <v>1767</v>
      </c>
      <c r="C745" s="0" t="s">
        <v>31</v>
      </c>
      <c r="D745" s="0" t="s">
        <v>413</v>
      </c>
    </row>
    <row r="746" customFormat="false" ht="13.8" hidden="false" customHeight="false" outlineLevel="0" collapsed="false">
      <c r="A746" s="0" t="s">
        <v>1768</v>
      </c>
      <c r="B746" s="0" t="s">
        <v>1769</v>
      </c>
      <c r="C746" s="0" t="s">
        <v>31</v>
      </c>
      <c r="D746" s="0" t="s">
        <v>1754</v>
      </c>
    </row>
    <row r="747" customFormat="false" ht="13.8" hidden="false" customHeight="false" outlineLevel="0" collapsed="false">
      <c r="A747" s="0" t="s">
        <v>1770</v>
      </c>
      <c r="B747" s="0" t="s">
        <v>1771</v>
      </c>
      <c r="C747" s="0" t="s">
        <v>31</v>
      </c>
      <c r="D747" s="0" t="s">
        <v>1772</v>
      </c>
    </row>
    <row r="748" customFormat="false" ht="13.8" hidden="false" customHeight="false" outlineLevel="0" collapsed="false">
      <c r="A748" s="0" t="s">
        <v>1773</v>
      </c>
      <c r="B748" s="0" t="s">
        <v>1774</v>
      </c>
      <c r="C748" s="0" t="s">
        <v>31</v>
      </c>
      <c r="D748" s="0" t="s">
        <v>413</v>
      </c>
    </row>
    <row r="749" customFormat="false" ht="13.8" hidden="false" customHeight="false" outlineLevel="0" collapsed="false">
      <c r="A749" s="0" t="s">
        <v>1775</v>
      </c>
      <c r="B749" s="0" t="s">
        <v>1776</v>
      </c>
      <c r="C749" s="0" t="s">
        <v>31</v>
      </c>
      <c r="D749" s="0" t="s">
        <v>1704</v>
      </c>
    </row>
    <row r="750" customFormat="false" ht="13.8" hidden="false" customHeight="false" outlineLevel="0" collapsed="false">
      <c r="A750" s="0" t="s">
        <v>1777</v>
      </c>
      <c r="B750" s="0" t="s">
        <v>1778</v>
      </c>
      <c r="C750" s="0" t="s">
        <v>31</v>
      </c>
      <c r="D750" s="0" t="s">
        <v>1779</v>
      </c>
    </row>
    <row r="751" customFormat="false" ht="13.8" hidden="false" customHeight="false" outlineLevel="0" collapsed="false">
      <c r="A751" s="0" t="s">
        <v>1780</v>
      </c>
      <c r="B751" s="0" t="s">
        <v>1781</v>
      </c>
      <c r="C751" s="0" t="s">
        <v>31</v>
      </c>
      <c r="D751" s="0" t="s">
        <v>19</v>
      </c>
    </row>
    <row r="752" customFormat="false" ht="13.8" hidden="false" customHeight="false" outlineLevel="0" collapsed="false">
      <c r="A752" s="0" t="s">
        <v>1783</v>
      </c>
      <c r="B752" s="0" t="s">
        <v>1784</v>
      </c>
      <c r="C752" s="0" t="s">
        <v>31</v>
      </c>
      <c r="D752" s="0" t="s">
        <v>413</v>
      </c>
    </row>
    <row r="753" customFormat="false" ht="13.8" hidden="false" customHeight="false" outlineLevel="0" collapsed="false">
      <c r="A753" s="0" t="s">
        <v>214</v>
      </c>
      <c r="B753" s="0" t="s">
        <v>215</v>
      </c>
      <c r="C753" s="0" t="s">
        <v>31</v>
      </c>
      <c r="D753" s="0" t="s">
        <v>16</v>
      </c>
    </row>
    <row r="754" customFormat="false" ht="13.8" hidden="false" customHeight="false" outlineLevel="0" collapsed="false">
      <c r="A754" s="0" t="s">
        <v>1787</v>
      </c>
      <c r="B754" s="0" t="s">
        <v>1788</v>
      </c>
      <c r="C754" s="0" t="s">
        <v>31</v>
      </c>
      <c r="D754" s="0" t="s">
        <v>19</v>
      </c>
    </row>
    <row r="755" customFormat="false" ht="13.8" hidden="false" customHeight="false" outlineLevel="0" collapsed="false">
      <c r="A755" s="0" t="s">
        <v>1789</v>
      </c>
      <c r="B755" s="0" t="s">
        <v>1790</v>
      </c>
      <c r="C755" s="0" t="s">
        <v>31</v>
      </c>
      <c r="D755" s="0" t="s">
        <v>1657</v>
      </c>
    </row>
    <row r="756" customFormat="false" ht="13.8" hidden="false" customHeight="false" outlineLevel="0" collapsed="false">
      <c r="A756" s="0" t="s">
        <v>1791</v>
      </c>
      <c r="B756" s="0" t="s">
        <v>1792</v>
      </c>
      <c r="C756" s="0" t="s">
        <v>31</v>
      </c>
      <c r="D756" s="0" t="s">
        <v>1704</v>
      </c>
    </row>
    <row r="757" customFormat="false" ht="13.8" hidden="false" customHeight="false" outlineLevel="0" collapsed="false">
      <c r="A757" s="0" t="s">
        <v>1793</v>
      </c>
      <c r="B757" s="0" t="s">
        <v>1794</v>
      </c>
      <c r="C757" s="0" t="s">
        <v>31</v>
      </c>
      <c r="D757" s="0" t="s">
        <v>1592</v>
      </c>
    </row>
    <row r="758" customFormat="false" ht="13.8" hidden="false" customHeight="false" outlineLevel="0" collapsed="false">
      <c r="A758" s="0" t="s">
        <v>1795</v>
      </c>
      <c r="B758" s="0" t="s">
        <v>1796</v>
      </c>
      <c r="C758" s="0" t="s">
        <v>31</v>
      </c>
      <c r="D758" s="0" t="s">
        <v>19</v>
      </c>
    </row>
    <row r="759" customFormat="false" ht="13.8" hidden="false" customHeight="false" outlineLevel="0" collapsed="false">
      <c r="A759" s="0" t="s">
        <v>1798</v>
      </c>
      <c r="B759" s="0" t="s">
        <v>1799</v>
      </c>
      <c r="C759" s="0" t="s">
        <v>31</v>
      </c>
      <c r="D759" s="0" t="s">
        <v>1592</v>
      </c>
    </row>
    <row r="760" customFormat="false" ht="13.8" hidden="false" customHeight="false" outlineLevel="0" collapsed="false">
      <c r="A760" s="0" t="s">
        <v>1800</v>
      </c>
      <c r="B760" s="0" t="s">
        <v>1801</v>
      </c>
      <c r="C760" s="0" t="s">
        <v>31</v>
      </c>
      <c r="D760" s="0" t="s">
        <v>16</v>
      </c>
    </row>
    <row r="761" customFormat="false" ht="13.8" hidden="false" customHeight="false" outlineLevel="0" collapsed="false">
      <c r="A761" s="0" t="s">
        <v>1802</v>
      </c>
      <c r="B761" s="0" t="s">
        <v>1803</v>
      </c>
      <c r="C761" s="0" t="s">
        <v>31</v>
      </c>
      <c r="D761" s="0" t="s">
        <v>19</v>
      </c>
    </row>
    <row r="762" customFormat="false" ht="13.8" hidden="false" customHeight="false" outlineLevel="0" collapsed="false">
      <c r="A762" s="0" t="s">
        <v>1804</v>
      </c>
      <c r="B762" s="0" t="s">
        <v>1805</v>
      </c>
      <c r="C762" s="0" t="s">
        <v>31</v>
      </c>
      <c r="D762" s="0" t="s">
        <v>16</v>
      </c>
    </row>
    <row r="763" customFormat="false" ht="13.8" hidden="false" customHeight="false" outlineLevel="0" collapsed="false">
      <c r="A763" s="0" t="s">
        <v>1806</v>
      </c>
      <c r="B763" s="0" t="s">
        <v>1807</v>
      </c>
      <c r="C763" s="0" t="s">
        <v>31</v>
      </c>
      <c r="D763" s="0" t="s">
        <v>19</v>
      </c>
    </row>
    <row r="764" customFormat="false" ht="13.8" hidden="false" customHeight="false" outlineLevel="0" collapsed="false">
      <c r="A764" s="0" t="s">
        <v>1809</v>
      </c>
      <c r="B764" s="0" t="s">
        <v>1810</v>
      </c>
      <c r="C764" s="0" t="s">
        <v>31</v>
      </c>
      <c r="D764" s="0" t="s">
        <v>19</v>
      </c>
    </row>
    <row r="765" customFormat="false" ht="13.8" hidden="false" customHeight="false" outlineLevel="0" collapsed="false">
      <c r="A765" s="0" t="s">
        <v>1812</v>
      </c>
      <c r="B765" s="0" t="s">
        <v>1813</v>
      </c>
      <c r="C765" s="0" t="s">
        <v>31</v>
      </c>
      <c r="D765" s="0" t="s">
        <v>1814</v>
      </c>
    </row>
    <row r="766" customFormat="false" ht="13.8" hidden="false" customHeight="false" outlineLevel="0" collapsed="false">
      <c r="A766" s="0" t="s">
        <v>1815</v>
      </c>
      <c r="B766" s="0" t="s">
        <v>1816</v>
      </c>
      <c r="C766" s="0" t="s">
        <v>31</v>
      </c>
      <c r="D766" s="0" t="s">
        <v>19</v>
      </c>
    </row>
    <row r="767" customFormat="false" ht="13.8" hidden="false" customHeight="false" outlineLevel="0" collapsed="false">
      <c r="A767" s="0" t="s">
        <v>1817</v>
      </c>
      <c r="B767" s="0" t="s">
        <v>1818</v>
      </c>
      <c r="C767" s="0" t="s">
        <v>31</v>
      </c>
      <c r="D767" s="0" t="s">
        <v>1722</v>
      </c>
    </row>
    <row r="768" customFormat="false" ht="13.8" hidden="false" customHeight="false" outlineLevel="0" collapsed="false">
      <c r="A768" s="0" t="s">
        <v>1819</v>
      </c>
      <c r="B768" s="0" t="s">
        <v>1745</v>
      </c>
      <c r="C768" s="0" t="s">
        <v>31</v>
      </c>
      <c r="D768" s="0" t="s">
        <v>16</v>
      </c>
    </row>
    <row r="769" customFormat="false" ht="13.8" hidden="false" customHeight="false" outlineLevel="0" collapsed="false">
      <c r="A769" s="0" t="s">
        <v>1821</v>
      </c>
      <c r="B769" s="0" t="s">
        <v>1822</v>
      </c>
      <c r="C769" s="0" t="s">
        <v>31</v>
      </c>
      <c r="D769" s="0" t="s">
        <v>1592</v>
      </c>
    </row>
    <row r="770" customFormat="false" ht="13.8" hidden="false" customHeight="false" outlineLevel="0" collapsed="false">
      <c r="A770" s="0" t="s">
        <v>1823</v>
      </c>
      <c r="B770" s="0" t="s">
        <v>1824</v>
      </c>
      <c r="C770" s="0" t="s">
        <v>31</v>
      </c>
      <c r="D770" s="0" t="s">
        <v>19</v>
      </c>
    </row>
    <row r="771" customFormat="false" ht="13.8" hidden="false" customHeight="false" outlineLevel="0" collapsed="false">
      <c r="A771" s="0" t="s">
        <v>1825</v>
      </c>
      <c r="B771" s="0" t="s">
        <v>1826</v>
      </c>
      <c r="C771" s="0" t="s">
        <v>31</v>
      </c>
      <c r="D771" s="0" t="s">
        <v>413</v>
      </c>
    </row>
    <row r="772" customFormat="false" ht="13.8" hidden="false" customHeight="false" outlineLevel="0" collapsed="false">
      <c r="A772" s="0" t="s">
        <v>1827</v>
      </c>
      <c r="B772" s="0" t="s">
        <v>1828</v>
      </c>
      <c r="C772" s="0" t="s">
        <v>31</v>
      </c>
      <c r="D772" s="0" t="s">
        <v>1592</v>
      </c>
    </row>
    <row r="773" customFormat="false" ht="13.8" hidden="false" customHeight="false" outlineLevel="0" collapsed="false">
      <c r="A773" s="0" t="s">
        <v>1829</v>
      </c>
      <c r="B773" s="0" t="s">
        <v>1830</v>
      </c>
      <c r="C773" s="0" t="s">
        <v>31</v>
      </c>
      <c r="D773" s="0" t="s">
        <v>1754</v>
      </c>
    </row>
    <row r="774" customFormat="false" ht="13.8" hidden="false" customHeight="false" outlineLevel="0" collapsed="false">
      <c r="A774" s="0" t="s">
        <v>1831</v>
      </c>
      <c r="B774" s="0" t="s">
        <v>1832</v>
      </c>
      <c r="C774" s="0" t="s">
        <v>31</v>
      </c>
      <c r="D774" s="0" t="s">
        <v>1704</v>
      </c>
    </row>
    <row r="775" customFormat="false" ht="13.8" hidden="false" customHeight="false" outlineLevel="0" collapsed="false">
      <c r="A775" s="0" t="s">
        <v>1833</v>
      </c>
      <c r="B775" s="0" t="s">
        <v>1834</v>
      </c>
      <c r="C775" s="0" t="s">
        <v>31</v>
      </c>
      <c r="D775" s="0" t="s">
        <v>1592</v>
      </c>
    </row>
    <row r="776" customFormat="false" ht="13.8" hidden="false" customHeight="false" outlineLevel="0" collapsed="false">
      <c r="A776" s="0" t="s">
        <v>1835</v>
      </c>
      <c r="B776" s="0" t="s">
        <v>1836</v>
      </c>
      <c r="C776" s="0" t="s">
        <v>31</v>
      </c>
      <c r="D776" s="0" t="s">
        <v>19</v>
      </c>
    </row>
    <row r="777" customFormat="false" ht="13.8" hidden="false" customHeight="false" outlineLevel="0" collapsed="false">
      <c r="A777" s="0" t="s">
        <v>1837</v>
      </c>
      <c r="B777" s="0" t="s">
        <v>1838</v>
      </c>
      <c r="C777" s="0" t="s">
        <v>31</v>
      </c>
      <c r="D777" s="0" t="s">
        <v>1651</v>
      </c>
    </row>
    <row r="778" customFormat="false" ht="13.8" hidden="false" customHeight="false" outlineLevel="0" collapsed="false">
      <c r="A778" s="0" t="s">
        <v>1839</v>
      </c>
      <c r="B778" s="0" t="s">
        <v>1840</v>
      </c>
      <c r="C778" s="0" t="s">
        <v>31</v>
      </c>
      <c r="D778" s="0" t="s">
        <v>1651</v>
      </c>
    </row>
    <row r="779" customFormat="false" ht="13.8" hidden="false" customHeight="false" outlineLevel="0" collapsed="false">
      <c r="A779" s="0" t="s">
        <v>1841</v>
      </c>
      <c r="B779" s="0" t="s">
        <v>1842</v>
      </c>
      <c r="C779" s="0" t="s">
        <v>31</v>
      </c>
      <c r="D779" s="0" t="s">
        <v>19</v>
      </c>
    </row>
    <row r="780" customFormat="false" ht="13.8" hidden="false" customHeight="false" outlineLevel="0" collapsed="false">
      <c r="A780" s="0" t="s">
        <v>1843</v>
      </c>
      <c r="B780" s="0" t="s">
        <v>1844</v>
      </c>
      <c r="C780" s="0" t="s">
        <v>31</v>
      </c>
      <c r="D780" s="0" t="s">
        <v>19</v>
      </c>
    </row>
    <row r="781" customFormat="false" ht="13.8" hidden="false" customHeight="false" outlineLevel="0" collapsed="false">
      <c r="A781" s="0" t="s">
        <v>1846</v>
      </c>
      <c r="B781" s="0" t="s">
        <v>1847</v>
      </c>
      <c r="C781" s="0" t="s">
        <v>31</v>
      </c>
      <c r="D781" s="0" t="s">
        <v>1848</v>
      </c>
    </row>
    <row r="782" customFormat="false" ht="13.8" hidden="false" customHeight="false" outlineLevel="0" collapsed="false">
      <c r="A782" s="0" t="s">
        <v>1849</v>
      </c>
      <c r="B782" s="0" t="s">
        <v>1850</v>
      </c>
      <c r="C782" s="0" t="s">
        <v>31</v>
      </c>
      <c r="D782" s="0" t="s">
        <v>1699</v>
      </c>
    </row>
    <row r="783" customFormat="false" ht="13.8" hidden="false" customHeight="false" outlineLevel="0" collapsed="false">
      <c r="A783" s="0" t="s">
        <v>1851</v>
      </c>
      <c r="B783" s="0" t="s">
        <v>1852</v>
      </c>
      <c r="C783" s="0" t="s">
        <v>31</v>
      </c>
      <c r="D783" s="0" t="s">
        <v>1540</v>
      </c>
    </row>
    <row r="784" customFormat="false" ht="13.8" hidden="false" customHeight="false" outlineLevel="0" collapsed="false">
      <c r="A784" s="0" t="s">
        <v>1853</v>
      </c>
      <c r="B784" s="0" t="s">
        <v>1854</v>
      </c>
      <c r="C784" s="0" t="s">
        <v>31</v>
      </c>
      <c r="D784" s="0" t="s">
        <v>1855</v>
      </c>
    </row>
    <row r="785" customFormat="false" ht="13.8" hidden="false" customHeight="false" outlineLevel="0" collapsed="false">
      <c r="A785" s="0" t="s">
        <v>1856</v>
      </c>
      <c r="B785" s="0" t="s">
        <v>443</v>
      </c>
      <c r="C785" s="0" t="s">
        <v>31</v>
      </c>
      <c r="D785" s="0" t="s">
        <v>1651</v>
      </c>
    </row>
    <row r="786" customFormat="false" ht="13.8" hidden="false" customHeight="false" outlineLevel="0" collapsed="false">
      <c r="A786" s="0" t="s">
        <v>1857</v>
      </c>
      <c r="B786" s="0" t="s">
        <v>1858</v>
      </c>
      <c r="C786" s="0" t="s">
        <v>31</v>
      </c>
      <c r="D786" s="0" t="s">
        <v>413</v>
      </c>
    </row>
    <row r="787" customFormat="false" ht="13.8" hidden="false" customHeight="false" outlineLevel="0" collapsed="false">
      <c r="A787" s="0" t="s">
        <v>1860</v>
      </c>
      <c r="B787" s="0" t="s">
        <v>1861</v>
      </c>
      <c r="C787" s="0" t="s">
        <v>31</v>
      </c>
      <c r="D787" s="0" t="s">
        <v>1862</v>
      </c>
    </row>
    <row r="788" customFormat="false" ht="13.8" hidden="false" customHeight="false" outlineLevel="0" collapsed="false">
      <c r="A788" s="0" t="s">
        <v>1863</v>
      </c>
      <c r="B788" s="0" t="s">
        <v>1864</v>
      </c>
      <c r="C788" s="0" t="s">
        <v>31</v>
      </c>
      <c r="D788" s="0" t="s">
        <v>1865</v>
      </c>
    </row>
    <row r="789" customFormat="false" ht="13.8" hidden="false" customHeight="false" outlineLevel="0" collapsed="false">
      <c r="A789" s="0" t="s">
        <v>1866</v>
      </c>
      <c r="B789" s="0" t="s">
        <v>1867</v>
      </c>
      <c r="C789" s="0" t="s">
        <v>31</v>
      </c>
      <c r="D789" s="0" t="s">
        <v>1704</v>
      </c>
    </row>
    <row r="790" customFormat="false" ht="13.8" hidden="false" customHeight="false" outlineLevel="0" collapsed="false">
      <c r="A790" s="0" t="s">
        <v>1868</v>
      </c>
      <c r="B790" s="0" t="s">
        <v>1869</v>
      </c>
      <c r="C790" s="0" t="s">
        <v>31</v>
      </c>
      <c r="D790" s="0" t="s">
        <v>1737</v>
      </c>
    </row>
    <row r="791" customFormat="false" ht="13.8" hidden="false" customHeight="false" outlineLevel="0" collapsed="false">
      <c r="A791" s="0" t="s">
        <v>1870</v>
      </c>
      <c r="B791" s="0" t="s">
        <v>1871</v>
      </c>
      <c r="C791" s="0" t="s">
        <v>31</v>
      </c>
      <c r="D791" s="0" t="s">
        <v>19</v>
      </c>
    </row>
    <row r="792" customFormat="false" ht="13.8" hidden="false" customHeight="false" outlineLevel="0" collapsed="false">
      <c r="A792" s="0" t="s">
        <v>1872</v>
      </c>
      <c r="B792" s="0" t="s">
        <v>1873</v>
      </c>
      <c r="C792" s="0" t="s">
        <v>31</v>
      </c>
      <c r="D792" s="0" t="s">
        <v>1737</v>
      </c>
    </row>
    <row r="793" customFormat="false" ht="13.8" hidden="false" customHeight="false" outlineLevel="0" collapsed="false">
      <c r="A793" s="0" t="s">
        <v>1874</v>
      </c>
      <c r="B793" s="0" t="s">
        <v>1875</v>
      </c>
      <c r="C793" s="0" t="s">
        <v>31</v>
      </c>
      <c r="D793" s="0" t="s">
        <v>1704</v>
      </c>
    </row>
    <row r="794" customFormat="false" ht="13.8" hidden="false" customHeight="false" outlineLevel="0" collapsed="false">
      <c r="A794" s="0" t="s">
        <v>1876</v>
      </c>
      <c r="B794" s="0" t="s">
        <v>1877</v>
      </c>
      <c r="C794" s="0" t="s">
        <v>31</v>
      </c>
      <c r="D794" s="0" t="s">
        <v>1592</v>
      </c>
    </row>
    <row r="795" customFormat="false" ht="13.8" hidden="false" customHeight="false" outlineLevel="0" collapsed="false">
      <c r="A795" s="0" t="s">
        <v>1878</v>
      </c>
      <c r="B795" s="0" t="s">
        <v>1879</v>
      </c>
      <c r="C795" s="0" t="s">
        <v>31</v>
      </c>
      <c r="D795" s="0" t="s">
        <v>19</v>
      </c>
    </row>
    <row r="796" customFormat="false" ht="13.8" hidden="false" customHeight="false" outlineLevel="0" collapsed="false">
      <c r="A796" s="0" t="s">
        <v>1881</v>
      </c>
      <c r="B796" s="0" t="s">
        <v>1882</v>
      </c>
      <c r="C796" s="0" t="s">
        <v>31</v>
      </c>
      <c r="D796" s="0" t="s">
        <v>1704</v>
      </c>
    </row>
    <row r="797" customFormat="false" ht="13.8" hidden="false" customHeight="false" outlineLevel="0" collapsed="false">
      <c r="A797" s="0" t="s">
        <v>1883</v>
      </c>
      <c r="B797" s="0" t="s">
        <v>1884</v>
      </c>
      <c r="C797" s="0" t="s">
        <v>31</v>
      </c>
      <c r="D797" s="0" t="s">
        <v>1508</v>
      </c>
    </row>
    <row r="798" customFormat="false" ht="13.8" hidden="false" customHeight="false" outlineLevel="0" collapsed="false">
      <c r="A798" s="0" t="s">
        <v>1885</v>
      </c>
      <c r="B798" s="0" t="s">
        <v>1886</v>
      </c>
      <c r="C798" s="0" t="s">
        <v>31</v>
      </c>
      <c r="D798" s="0" t="s">
        <v>1592</v>
      </c>
    </row>
    <row r="799" customFormat="false" ht="13.8" hidden="false" customHeight="false" outlineLevel="0" collapsed="false">
      <c r="A799" s="0" t="s">
        <v>1887</v>
      </c>
      <c r="B799" s="0" t="s">
        <v>1888</v>
      </c>
      <c r="C799" s="0" t="s">
        <v>31</v>
      </c>
      <c r="D799" s="0" t="s">
        <v>19</v>
      </c>
    </row>
    <row r="800" customFormat="false" ht="13.8" hidden="false" customHeight="false" outlineLevel="0" collapsed="false">
      <c r="A800" s="0" t="s">
        <v>1890</v>
      </c>
      <c r="B800" s="0" t="s">
        <v>1891</v>
      </c>
      <c r="C800" s="0" t="s">
        <v>31</v>
      </c>
      <c r="D800" s="0" t="s">
        <v>1704</v>
      </c>
    </row>
    <row r="801" customFormat="false" ht="13.8" hidden="false" customHeight="false" outlineLevel="0" collapsed="false">
      <c r="A801" s="0" t="s">
        <v>1892</v>
      </c>
      <c r="B801" s="0" t="s">
        <v>1893</v>
      </c>
      <c r="C801" s="0" t="s">
        <v>31</v>
      </c>
      <c r="D801" s="0" t="s">
        <v>1592</v>
      </c>
    </row>
    <row r="802" customFormat="false" ht="13.8" hidden="false" customHeight="false" outlineLevel="0" collapsed="false">
      <c r="A802" s="0" t="s">
        <v>1894</v>
      </c>
      <c r="B802" s="0" t="s">
        <v>1895</v>
      </c>
      <c r="C802" s="0" t="s">
        <v>31</v>
      </c>
      <c r="D802" s="0" t="s">
        <v>1704</v>
      </c>
    </row>
    <row r="803" customFormat="false" ht="13.8" hidden="false" customHeight="false" outlineLevel="0" collapsed="false">
      <c r="A803" s="0" t="s">
        <v>1896</v>
      </c>
      <c r="B803" s="0" t="s">
        <v>1897</v>
      </c>
      <c r="C803" s="0" t="s">
        <v>31</v>
      </c>
      <c r="D803" s="0" t="s">
        <v>1898</v>
      </c>
    </row>
    <row r="804" customFormat="false" ht="13.8" hidden="false" customHeight="false" outlineLevel="0" collapsed="false">
      <c r="A804" s="0" t="s">
        <v>1899</v>
      </c>
      <c r="B804" s="0" t="s">
        <v>1900</v>
      </c>
      <c r="C804" s="0" t="s">
        <v>31</v>
      </c>
      <c r="D804" s="0" t="s">
        <v>19</v>
      </c>
    </row>
    <row r="805" customFormat="false" ht="13.8" hidden="false" customHeight="false" outlineLevel="0" collapsed="false">
      <c r="A805" s="0" t="s">
        <v>1902</v>
      </c>
      <c r="B805" s="0" t="s">
        <v>1903</v>
      </c>
      <c r="C805" s="0" t="s">
        <v>31</v>
      </c>
      <c r="D805" s="0" t="s">
        <v>413</v>
      </c>
    </row>
    <row r="806" customFormat="false" ht="13.8" hidden="false" customHeight="false" outlineLevel="0" collapsed="false">
      <c r="A806" s="0" t="s">
        <v>1904</v>
      </c>
      <c r="B806" s="0" t="s">
        <v>1905</v>
      </c>
      <c r="C806" s="0" t="s">
        <v>31</v>
      </c>
      <c r="D806" s="0" t="s">
        <v>1699</v>
      </c>
    </row>
    <row r="807" customFormat="false" ht="13.8" hidden="false" customHeight="false" outlineLevel="0" collapsed="false">
      <c r="A807" s="0" t="s">
        <v>1906</v>
      </c>
      <c r="B807" s="0" t="s">
        <v>1907</v>
      </c>
      <c r="C807" s="0" t="s">
        <v>31</v>
      </c>
      <c r="D807" s="0" t="s">
        <v>1737</v>
      </c>
    </row>
    <row r="808" customFormat="false" ht="13.8" hidden="false" customHeight="false" outlineLevel="0" collapsed="false">
      <c r="A808" s="0" t="s">
        <v>1908</v>
      </c>
      <c r="B808" s="0" t="s">
        <v>1909</v>
      </c>
      <c r="C808" s="0" t="s">
        <v>31</v>
      </c>
      <c r="D808" s="0" t="s">
        <v>413</v>
      </c>
    </row>
    <row r="809" customFormat="false" ht="13.8" hidden="false" customHeight="false" outlineLevel="0" collapsed="false">
      <c r="A809" s="0" t="s">
        <v>1910</v>
      </c>
      <c r="B809" s="0" t="s">
        <v>1911</v>
      </c>
      <c r="C809" s="0" t="s">
        <v>31</v>
      </c>
      <c r="D809" s="0" t="s">
        <v>1508</v>
      </c>
    </row>
    <row r="810" customFormat="false" ht="13.8" hidden="false" customHeight="false" outlineLevel="0" collapsed="false">
      <c r="A810" s="0" t="s">
        <v>1912</v>
      </c>
      <c r="B810" s="0" t="s">
        <v>1913</v>
      </c>
      <c r="C810" s="0" t="s">
        <v>31</v>
      </c>
      <c r="D810" s="0" t="s">
        <v>19</v>
      </c>
    </row>
    <row r="811" customFormat="false" ht="13.8" hidden="false" customHeight="false" outlineLevel="0" collapsed="false">
      <c r="A811" s="0" t="s">
        <v>1915</v>
      </c>
      <c r="B811" s="0" t="s">
        <v>1916</v>
      </c>
      <c r="C811" s="0" t="s">
        <v>31</v>
      </c>
      <c r="D811" s="0" t="s">
        <v>69</v>
      </c>
    </row>
    <row r="812" customFormat="false" ht="13.8" hidden="false" customHeight="false" outlineLevel="0" collapsed="false">
      <c r="A812" s="0" t="s">
        <v>1917</v>
      </c>
      <c r="B812" s="0" t="s">
        <v>1918</v>
      </c>
      <c r="C812" s="0" t="s">
        <v>31</v>
      </c>
      <c r="D812" s="0" t="s">
        <v>19</v>
      </c>
    </row>
    <row r="813" customFormat="false" ht="13.8" hidden="false" customHeight="false" outlineLevel="0" collapsed="false">
      <c r="A813" s="0" t="s">
        <v>1920</v>
      </c>
      <c r="B813" s="0" t="s">
        <v>1921</v>
      </c>
      <c r="C813" s="0" t="s">
        <v>31</v>
      </c>
      <c r="D813" s="0" t="s">
        <v>1592</v>
      </c>
    </row>
    <row r="814" customFormat="false" ht="13.8" hidden="false" customHeight="false" outlineLevel="0" collapsed="false">
      <c r="A814" s="0" t="s">
        <v>1922</v>
      </c>
      <c r="B814" s="0" t="s">
        <v>1923</v>
      </c>
      <c r="C814" s="0" t="s">
        <v>31</v>
      </c>
      <c r="D814" s="0" t="s">
        <v>1924</v>
      </c>
    </row>
    <row r="815" customFormat="false" ht="13.8" hidden="false" customHeight="false" outlineLevel="0" collapsed="false">
      <c r="A815" s="0" t="s">
        <v>1925</v>
      </c>
      <c r="B815" s="0" t="s">
        <v>1926</v>
      </c>
      <c r="C815" s="0" t="s">
        <v>31</v>
      </c>
      <c r="D815" s="0" t="s">
        <v>19</v>
      </c>
    </row>
    <row r="816" customFormat="false" ht="13.8" hidden="false" customHeight="false" outlineLevel="0" collapsed="false">
      <c r="A816" s="0" t="s">
        <v>1928</v>
      </c>
      <c r="B816" s="0" t="s">
        <v>1929</v>
      </c>
      <c r="C816" s="0" t="s">
        <v>31</v>
      </c>
      <c r="D816" s="0" t="s">
        <v>1930</v>
      </c>
    </row>
    <row r="817" customFormat="false" ht="13.8" hidden="false" customHeight="false" outlineLevel="0" collapsed="false">
      <c r="A817" s="0" t="s">
        <v>1931</v>
      </c>
      <c r="B817" s="0" t="s">
        <v>1932</v>
      </c>
      <c r="C817" s="0" t="s">
        <v>31</v>
      </c>
      <c r="D817" s="0" t="s">
        <v>1508</v>
      </c>
    </row>
    <row r="818" customFormat="false" ht="13.8" hidden="false" customHeight="false" outlineLevel="0" collapsed="false">
      <c r="A818" s="0" t="s">
        <v>1933</v>
      </c>
      <c r="B818" s="0" t="s">
        <v>1934</v>
      </c>
      <c r="C818" s="0" t="s">
        <v>31</v>
      </c>
      <c r="D818" s="0" t="s">
        <v>1737</v>
      </c>
    </row>
    <row r="819" customFormat="false" ht="13.8" hidden="false" customHeight="false" outlineLevel="0" collapsed="false">
      <c r="A819" s="0" t="s">
        <v>1935</v>
      </c>
      <c r="B819" s="0" t="s">
        <v>1936</v>
      </c>
      <c r="C819" s="0" t="s">
        <v>31</v>
      </c>
      <c r="D819" s="0" t="s">
        <v>1737</v>
      </c>
    </row>
    <row r="820" customFormat="false" ht="13.8" hidden="false" customHeight="false" outlineLevel="0" collapsed="false">
      <c r="A820" s="0" t="s">
        <v>1937</v>
      </c>
      <c r="B820" s="0" t="s">
        <v>1938</v>
      </c>
      <c r="C820" s="0" t="s">
        <v>31</v>
      </c>
      <c r="D820" s="0" t="s">
        <v>19</v>
      </c>
    </row>
    <row r="821" customFormat="false" ht="13.8" hidden="false" customHeight="false" outlineLevel="0" collapsed="false">
      <c r="A821" s="0" t="s">
        <v>1940</v>
      </c>
      <c r="B821" s="0" t="s">
        <v>1941</v>
      </c>
      <c r="C821" s="0" t="s">
        <v>31</v>
      </c>
      <c r="D821" s="0" t="s">
        <v>1737</v>
      </c>
    </row>
    <row r="822" customFormat="false" ht="13.8" hidden="false" customHeight="false" outlineLevel="0" collapsed="false">
      <c r="A822" s="0" t="s">
        <v>1942</v>
      </c>
      <c r="B822" s="0" t="s">
        <v>1943</v>
      </c>
      <c r="C822" s="0" t="s">
        <v>31</v>
      </c>
      <c r="D822" s="0" t="s">
        <v>1704</v>
      </c>
    </row>
    <row r="823" customFormat="false" ht="13.8" hidden="false" customHeight="false" outlineLevel="0" collapsed="false">
      <c r="A823" s="0" t="s">
        <v>1944</v>
      </c>
      <c r="B823" s="0" t="s">
        <v>1945</v>
      </c>
      <c r="C823" s="0" t="s">
        <v>31</v>
      </c>
      <c r="D823" s="0" t="s">
        <v>19</v>
      </c>
    </row>
    <row r="824" customFormat="false" ht="13.8" hidden="false" customHeight="false" outlineLevel="0" collapsed="false">
      <c r="A824" s="0" t="s">
        <v>1947</v>
      </c>
      <c r="B824" s="0" t="s">
        <v>1948</v>
      </c>
      <c r="C824" s="0" t="s">
        <v>31</v>
      </c>
      <c r="D824" s="0" t="s">
        <v>1949</v>
      </c>
    </row>
    <row r="825" customFormat="false" ht="13.8" hidden="false" customHeight="false" outlineLevel="0" collapsed="false">
      <c r="A825" s="0" t="s">
        <v>1950</v>
      </c>
      <c r="B825" s="0" t="s">
        <v>1951</v>
      </c>
      <c r="C825" s="0" t="s">
        <v>31</v>
      </c>
      <c r="D825" s="0" t="s">
        <v>1737</v>
      </c>
    </row>
    <row r="826" customFormat="false" ht="13.8" hidden="false" customHeight="false" outlineLevel="0" collapsed="false">
      <c r="A826" s="0" t="s">
        <v>1952</v>
      </c>
      <c r="B826" s="0" t="s">
        <v>1953</v>
      </c>
      <c r="C826" s="0" t="s">
        <v>31</v>
      </c>
      <c r="D826" s="0" t="s">
        <v>19</v>
      </c>
    </row>
    <row r="827" customFormat="false" ht="13.8" hidden="false" customHeight="false" outlineLevel="0" collapsed="false">
      <c r="A827" s="0" t="s">
        <v>1955</v>
      </c>
      <c r="B827" s="0" t="s">
        <v>1956</v>
      </c>
      <c r="C827" s="0" t="s">
        <v>31</v>
      </c>
      <c r="D827" s="0" t="s">
        <v>1957</v>
      </c>
    </row>
    <row r="828" customFormat="false" ht="13.8" hidden="false" customHeight="false" outlineLevel="0" collapsed="false">
      <c r="A828" s="0" t="s">
        <v>1958</v>
      </c>
      <c r="B828" s="0" t="s">
        <v>1959</v>
      </c>
      <c r="C828" s="0" t="s">
        <v>31</v>
      </c>
      <c r="D828" s="0" t="s">
        <v>1924</v>
      </c>
    </row>
    <row r="829" customFormat="false" ht="13.8" hidden="false" customHeight="false" outlineLevel="0" collapsed="false">
      <c r="A829" s="0" t="s">
        <v>1961</v>
      </c>
      <c r="B829" s="0" t="s">
        <v>1962</v>
      </c>
      <c r="C829" s="0" t="s">
        <v>31</v>
      </c>
      <c r="D829" s="0" t="s">
        <v>19</v>
      </c>
    </row>
    <row r="830" customFormat="false" ht="13.8" hidden="false" customHeight="false" outlineLevel="0" collapsed="false">
      <c r="A830" s="0" t="s">
        <v>1964</v>
      </c>
      <c r="B830" s="0" t="s">
        <v>1965</v>
      </c>
      <c r="C830" s="0" t="s">
        <v>31</v>
      </c>
      <c r="D830" s="0" t="s">
        <v>1527</v>
      </c>
    </row>
    <row r="831" customFormat="false" ht="13.8" hidden="false" customHeight="false" outlineLevel="0" collapsed="false">
      <c r="A831" s="0" t="s">
        <v>1966</v>
      </c>
      <c r="B831" s="0" t="s">
        <v>1967</v>
      </c>
      <c r="C831" s="0" t="s">
        <v>31</v>
      </c>
      <c r="D831" s="0" t="s">
        <v>1968</v>
      </c>
    </row>
    <row r="832" customFormat="false" ht="13.8" hidden="false" customHeight="false" outlineLevel="0" collapsed="false">
      <c r="A832" s="0" t="s">
        <v>1969</v>
      </c>
      <c r="B832" s="0" t="s">
        <v>1970</v>
      </c>
      <c r="C832" s="0" t="s">
        <v>31</v>
      </c>
      <c r="D832" s="0" t="s">
        <v>1971</v>
      </c>
    </row>
    <row r="833" customFormat="false" ht="13.8" hidden="false" customHeight="false" outlineLevel="0" collapsed="false">
      <c r="A833" s="0" t="s">
        <v>1972</v>
      </c>
      <c r="B833" s="0" t="s">
        <v>1973</v>
      </c>
      <c r="C833" s="0" t="s">
        <v>31</v>
      </c>
      <c r="D833" s="0" t="s">
        <v>1974</v>
      </c>
    </row>
    <row r="834" customFormat="false" ht="13.8" hidden="false" customHeight="false" outlineLevel="0" collapsed="false">
      <c r="A834" s="0" t="s">
        <v>1975</v>
      </c>
      <c r="B834" s="0" t="s">
        <v>1976</v>
      </c>
      <c r="C834" s="0" t="s">
        <v>31</v>
      </c>
      <c r="D834" s="0" t="s">
        <v>69</v>
      </c>
    </row>
    <row r="835" customFormat="false" ht="13.8" hidden="false" customHeight="false" outlineLevel="0" collapsed="false">
      <c r="A835" s="0" t="s">
        <v>1977</v>
      </c>
      <c r="B835" s="0" t="s">
        <v>1978</v>
      </c>
      <c r="C835" s="0" t="s">
        <v>31</v>
      </c>
      <c r="D835" s="0" t="s">
        <v>413</v>
      </c>
    </row>
    <row r="836" customFormat="false" ht="13.8" hidden="false" customHeight="false" outlineLevel="0" collapsed="false">
      <c r="A836" s="0" t="s">
        <v>1979</v>
      </c>
      <c r="B836" s="0" t="s">
        <v>1980</v>
      </c>
      <c r="C836" s="0" t="s">
        <v>31</v>
      </c>
      <c r="D836" s="0" t="s">
        <v>1981</v>
      </c>
    </row>
    <row r="837" customFormat="false" ht="13.8" hidden="false" customHeight="false" outlineLevel="0" collapsed="false">
      <c r="A837" s="0" t="s">
        <v>1982</v>
      </c>
      <c r="B837" s="0" t="s">
        <v>1983</v>
      </c>
      <c r="C837" s="0" t="s">
        <v>31</v>
      </c>
      <c r="D837" s="0" t="s">
        <v>1984</v>
      </c>
    </row>
    <row r="838" customFormat="false" ht="13.8" hidden="false" customHeight="false" outlineLevel="0" collapsed="false">
      <c r="A838" s="0" t="s">
        <v>1985</v>
      </c>
      <c r="B838" s="0" t="s">
        <v>1986</v>
      </c>
      <c r="C838" s="0" t="s">
        <v>31</v>
      </c>
      <c r="D838" s="0" t="s">
        <v>1704</v>
      </c>
    </row>
    <row r="839" customFormat="false" ht="13.8" hidden="false" customHeight="false" outlineLevel="0" collapsed="false">
      <c r="A839" s="0" t="s">
        <v>1987</v>
      </c>
      <c r="B839" s="0" t="s">
        <v>1988</v>
      </c>
      <c r="C839" s="0" t="s">
        <v>31</v>
      </c>
      <c r="D839" s="0" t="s">
        <v>19</v>
      </c>
    </row>
    <row r="840" customFormat="false" ht="13.8" hidden="false" customHeight="false" outlineLevel="0" collapsed="false">
      <c r="A840" s="0" t="s">
        <v>1990</v>
      </c>
      <c r="B840" s="0" t="s">
        <v>1991</v>
      </c>
      <c r="C840" s="0" t="s">
        <v>31</v>
      </c>
      <c r="D840" s="0" t="s">
        <v>19</v>
      </c>
    </row>
    <row r="841" customFormat="false" ht="13.8" hidden="false" customHeight="false" outlineLevel="0" collapsed="false">
      <c r="A841" s="0" t="s">
        <v>1992</v>
      </c>
      <c r="B841" s="0" t="s">
        <v>1993</v>
      </c>
      <c r="C841" s="0" t="s">
        <v>31</v>
      </c>
      <c r="D841" s="0" t="s">
        <v>19</v>
      </c>
    </row>
    <row r="842" customFormat="false" ht="13.8" hidden="false" customHeight="false" outlineLevel="0" collapsed="false">
      <c r="A842" s="0" t="s">
        <v>1995</v>
      </c>
      <c r="B842" s="0" t="s">
        <v>1996</v>
      </c>
      <c r="C842" s="0" t="s">
        <v>31</v>
      </c>
      <c r="D842" s="0" t="s">
        <v>413</v>
      </c>
    </row>
    <row r="843" customFormat="false" ht="13.8" hidden="false" customHeight="false" outlineLevel="0" collapsed="false">
      <c r="A843" s="0" t="s">
        <v>1998</v>
      </c>
      <c r="B843" s="0" t="s">
        <v>1983</v>
      </c>
      <c r="C843" s="0" t="s">
        <v>31</v>
      </c>
      <c r="D843" s="0" t="s">
        <v>1984</v>
      </c>
    </row>
    <row r="844" customFormat="false" ht="13.8" hidden="false" customHeight="false" outlineLevel="0" collapsed="false">
      <c r="A844" s="0" t="s">
        <v>1999</v>
      </c>
      <c r="B844" s="0" t="s">
        <v>2000</v>
      </c>
      <c r="C844" s="0" t="s">
        <v>31</v>
      </c>
      <c r="D844" s="0" t="s">
        <v>1527</v>
      </c>
    </row>
    <row r="845" customFormat="false" ht="13.8" hidden="false" customHeight="false" outlineLevel="0" collapsed="false">
      <c r="A845" s="0" t="s">
        <v>2001</v>
      </c>
      <c r="B845" s="0" t="s">
        <v>2002</v>
      </c>
      <c r="C845" s="0" t="s">
        <v>31</v>
      </c>
      <c r="D845" s="0" t="s">
        <v>2003</v>
      </c>
    </row>
    <row r="846" customFormat="false" ht="13.8" hidden="false" customHeight="false" outlineLevel="0" collapsed="false">
      <c r="A846" s="0" t="s">
        <v>2004</v>
      </c>
      <c r="B846" s="0" t="s">
        <v>2005</v>
      </c>
      <c r="C846" s="0" t="s">
        <v>31</v>
      </c>
      <c r="D846" s="0" t="s">
        <v>2003</v>
      </c>
    </row>
    <row r="847" customFormat="false" ht="13.8" hidden="false" customHeight="false" outlineLevel="0" collapsed="false">
      <c r="A847" s="0" t="s">
        <v>2006</v>
      </c>
      <c r="B847" s="0" t="s">
        <v>2007</v>
      </c>
      <c r="C847" s="0" t="s">
        <v>31</v>
      </c>
      <c r="D847" s="0" t="s">
        <v>19</v>
      </c>
    </row>
    <row r="848" customFormat="false" ht="13.8" hidden="false" customHeight="false" outlineLevel="0" collapsed="false">
      <c r="A848" s="0" t="s">
        <v>2009</v>
      </c>
      <c r="B848" s="0" t="s">
        <v>2010</v>
      </c>
      <c r="C848" s="0" t="s">
        <v>31</v>
      </c>
      <c r="D848" s="0" t="s">
        <v>1704</v>
      </c>
    </row>
    <row r="849" customFormat="false" ht="13.8" hidden="false" customHeight="false" outlineLevel="0" collapsed="false">
      <c r="A849" s="0" t="s">
        <v>2011</v>
      </c>
      <c r="B849" s="0" t="s">
        <v>2012</v>
      </c>
      <c r="C849" s="0" t="s">
        <v>31</v>
      </c>
      <c r="D849" s="0" t="s">
        <v>19</v>
      </c>
    </row>
    <row r="850" customFormat="false" ht="13.8" hidden="false" customHeight="false" outlineLevel="0" collapsed="false">
      <c r="A850" s="0" t="s">
        <v>2014</v>
      </c>
      <c r="B850" s="0" t="s">
        <v>2015</v>
      </c>
      <c r="C850" s="0" t="s">
        <v>31</v>
      </c>
      <c r="D850" s="0" t="s">
        <v>2016</v>
      </c>
    </row>
    <row r="851" customFormat="false" ht="13.8" hidden="false" customHeight="false" outlineLevel="0" collapsed="false">
      <c r="A851" s="0" t="s">
        <v>2017</v>
      </c>
      <c r="B851" s="0" t="s">
        <v>2018</v>
      </c>
      <c r="C851" s="0" t="s">
        <v>31</v>
      </c>
      <c r="D851" s="0" t="s">
        <v>1527</v>
      </c>
    </row>
    <row r="852" customFormat="false" ht="13.8" hidden="false" customHeight="false" outlineLevel="0" collapsed="false">
      <c r="A852" s="0" t="s">
        <v>2019</v>
      </c>
      <c r="B852" s="0" t="s">
        <v>2020</v>
      </c>
      <c r="C852" s="0" t="s">
        <v>31</v>
      </c>
      <c r="D852" s="0" t="s">
        <v>1704</v>
      </c>
    </row>
    <row r="853" customFormat="false" ht="13.8" hidden="false" customHeight="false" outlineLevel="0" collapsed="false">
      <c r="A853" s="0" t="s">
        <v>2021</v>
      </c>
      <c r="B853" s="0" t="s">
        <v>2022</v>
      </c>
      <c r="C853" s="0" t="s">
        <v>31</v>
      </c>
      <c r="D853" s="0" t="s">
        <v>413</v>
      </c>
    </row>
    <row r="854" customFormat="false" ht="13.8" hidden="false" customHeight="false" outlineLevel="0" collapsed="false">
      <c r="A854" s="0" t="s">
        <v>2023</v>
      </c>
      <c r="B854" s="0" t="s">
        <v>2024</v>
      </c>
      <c r="C854" s="0" t="s">
        <v>31</v>
      </c>
      <c r="D854" s="0" t="s">
        <v>19</v>
      </c>
    </row>
    <row r="855" customFormat="false" ht="13.8" hidden="false" customHeight="false" outlineLevel="0" collapsed="false">
      <c r="A855" s="0" t="s">
        <v>2025</v>
      </c>
      <c r="B855" s="0" t="s">
        <v>2026</v>
      </c>
      <c r="C855" s="0" t="s">
        <v>31</v>
      </c>
      <c r="D855" s="0" t="s">
        <v>2027</v>
      </c>
    </row>
    <row r="856" customFormat="false" ht="13.8" hidden="false" customHeight="false" outlineLevel="0" collapsed="false">
      <c r="A856" s="0" t="s">
        <v>2028</v>
      </c>
      <c r="B856" s="0" t="s">
        <v>2029</v>
      </c>
      <c r="C856" s="0" t="s">
        <v>31</v>
      </c>
      <c r="D856" s="0" t="s">
        <v>1592</v>
      </c>
    </row>
    <row r="857" customFormat="false" ht="13.8" hidden="false" customHeight="false" outlineLevel="0" collapsed="false">
      <c r="A857" s="0" t="s">
        <v>2030</v>
      </c>
      <c r="B857" s="0" t="s">
        <v>2031</v>
      </c>
      <c r="C857" s="0" t="s">
        <v>31</v>
      </c>
      <c r="D857" s="0" t="s">
        <v>1984</v>
      </c>
    </row>
    <row r="858" customFormat="false" ht="13.8" hidden="false" customHeight="false" outlineLevel="0" collapsed="false">
      <c r="A858" s="0" t="s">
        <v>2032</v>
      </c>
      <c r="B858" s="0" t="s">
        <v>2033</v>
      </c>
      <c r="C858" s="0" t="s">
        <v>31</v>
      </c>
      <c r="D858" s="0" t="s">
        <v>2034</v>
      </c>
    </row>
    <row r="859" customFormat="false" ht="13.8" hidden="false" customHeight="false" outlineLevel="0" collapsed="false">
      <c r="A859" s="0" t="s">
        <v>2035</v>
      </c>
      <c r="B859" s="0" t="s">
        <v>2036</v>
      </c>
      <c r="C859" s="0" t="s">
        <v>31</v>
      </c>
      <c r="D859" s="0" t="s">
        <v>19</v>
      </c>
    </row>
    <row r="860" customFormat="false" ht="13.8" hidden="false" customHeight="false" outlineLevel="0" collapsed="false">
      <c r="A860" s="0" t="s">
        <v>2037</v>
      </c>
      <c r="B860" s="0" t="s">
        <v>2038</v>
      </c>
      <c r="C860" s="0" t="s">
        <v>31</v>
      </c>
      <c r="D860" s="0" t="s">
        <v>1699</v>
      </c>
    </row>
    <row r="861" customFormat="false" ht="13.8" hidden="false" customHeight="false" outlineLevel="0" collapsed="false">
      <c r="A861" s="0" t="s">
        <v>2039</v>
      </c>
      <c r="B861" s="0" t="s">
        <v>2040</v>
      </c>
      <c r="C861" s="0" t="s">
        <v>31</v>
      </c>
      <c r="D861" s="0" t="s">
        <v>19</v>
      </c>
    </row>
    <row r="862" customFormat="false" ht="13.8" hidden="false" customHeight="false" outlineLevel="0" collapsed="false">
      <c r="A862" s="0" t="s">
        <v>2043</v>
      </c>
      <c r="B862" s="0" t="s">
        <v>2044</v>
      </c>
      <c r="C862" s="0" t="s">
        <v>31</v>
      </c>
      <c r="D862" s="0" t="s">
        <v>1737</v>
      </c>
    </row>
    <row r="863" customFormat="false" ht="13.8" hidden="false" customHeight="false" outlineLevel="0" collapsed="false">
      <c r="A863" s="0" t="s">
        <v>2045</v>
      </c>
      <c r="B863" s="0" t="s">
        <v>2046</v>
      </c>
      <c r="C863" s="0" t="s">
        <v>31</v>
      </c>
      <c r="D863" s="0" t="s">
        <v>1651</v>
      </c>
    </row>
    <row r="864" customFormat="false" ht="13.8" hidden="false" customHeight="false" outlineLevel="0" collapsed="false">
      <c r="A864" s="0" t="s">
        <v>2047</v>
      </c>
      <c r="B864" s="0" t="s">
        <v>2048</v>
      </c>
      <c r="C864" s="0" t="s">
        <v>31</v>
      </c>
      <c r="D864" s="0" t="s">
        <v>19</v>
      </c>
    </row>
    <row r="865" customFormat="false" ht="13.8" hidden="false" customHeight="false" outlineLevel="0" collapsed="false">
      <c r="A865" s="0" t="s">
        <v>2050</v>
      </c>
      <c r="B865" s="0" t="s">
        <v>2051</v>
      </c>
      <c r="C865" s="0" t="s">
        <v>31</v>
      </c>
      <c r="D865" s="0" t="s">
        <v>19</v>
      </c>
    </row>
    <row r="866" customFormat="false" ht="13.8" hidden="false" customHeight="false" outlineLevel="0" collapsed="false">
      <c r="A866" s="0" t="s">
        <v>2052</v>
      </c>
      <c r="B866" s="0" t="s">
        <v>2053</v>
      </c>
      <c r="C866" s="0" t="s">
        <v>31</v>
      </c>
      <c r="D866" s="0" t="s">
        <v>2054</v>
      </c>
    </row>
    <row r="867" customFormat="false" ht="13.8" hidden="false" customHeight="false" outlineLevel="0" collapsed="false">
      <c r="A867" s="0" t="s">
        <v>2055</v>
      </c>
      <c r="B867" s="0" t="s">
        <v>2056</v>
      </c>
      <c r="C867" s="0" t="s">
        <v>31</v>
      </c>
      <c r="D867" s="0" t="s">
        <v>2057</v>
      </c>
    </row>
    <row r="868" customFormat="false" ht="13.8" hidden="false" customHeight="false" outlineLevel="0" collapsed="false">
      <c r="A868" s="0" t="s">
        <v>2058</v>
      </c>
      <c r="B868" s="0" t="s">
        <v>2059</v>
      </c>
      <c r="C868" s="0" t="s">
        <v>31</v>
      </c>
      <c r="D868" s="0" t="s">
        <v>1737</v>
      </c>
    </row>
    <row r="869" customFormat="false" ht="13.8" hidden="false" customHeight="false" outlineLevel="0" collapsed="false">
      <c r="A869" s="0" t="s">
        <v>2060</v>
      </c>
      <c r="B869" s="0" t="s">
        <v>2061</v>
      </c>
      <c r="C869" s="0" t="s">
        <v>31</v>
      </c>
      <c r="D869" s="0" t="s">
        <v>1592</v>
      </c>
    </row>
    <row r="870" customFormat="false" ht="13.8" hidden="false" customHeight="false" outlineLevel="0" collapsed="false">
      <c r="A870" s="0" t="s">
        <v>2062</v>
      </c>
      <c r="B870" s="0" t="s">
        <v>2063</v>
      </c>
      <c r="C870" s="0" t="s">
        <v>31</v>
      </c>
      <c r="D870" s="0" t="s">
        <v>69</v>
      </c>
    </row>
    <row r="871" customFormat="false" ht="13.8" hidden="false" customHeight="false" outlineLevel="0" collapsed="false">
      <c r="A871" s="0" t="s">
        <v>2064</v>
      </c>
      <c r="B871" s="0" t="s">
        <v>2065</v>
      </c>
      <c r="C871" s="0" t="s">
        <v>31</v>
      </c>
      <c r="D871" s="0" t="s">
        <v>413</v>
      </c>
    </row>
    <row r="872" customFormat="false" ht="13.8" hidden="false" customHeight="false" outlineLevel="0" collapsed="false">
      <c r="A872" s="0" t="s">
        <v>2066</v>
      </c>
      <c r="B872" s="0" t="s">
        <v>2067</v>
      </c>
      <c r="C872" s="0" t="s">
        <v>31</v>
      </c>
      <c r="D872" s="0" t="s">
        <v>2003</v>
      </c>
    </row>
    <row r="873" customFormat="false" ht="13.8" hidden="false" customHeight="false" outlineLevel="0" collapsed="false">
      <c r="A873" s="0" t="s">
        <v>2068</v>
      </c>
      <c r="B873" s="0" t="s">
        <v>2069</v>
      </c>
      <c r="C873" s="0" t="s">
        <v>31</v>
      </c>
      <c r="D873" s="0" t="s">
        <v>1592</v>
      </c>
    </row>
    <row r="874" customFormat="false" ht="13.8" hidden="false" customHeight="false" outlineLevel="0" collapsed="false">
      <c r="A874" s="0" t="s">
        <v>2070</v>
      </c>
      <c r="B874" s="0" t="s">
        <v>2071</v>
      </c>
      <c r="C874" s="0" t="s">
        <v>31</v>
      </c>
      <c r="D874" s="0" t="s">
        <v>2072</v>
      </c>
    </row>
    <row r="875" customFormat="false" ht="13.8" hidden="false" customHeight="false" outlineLevel="0" collapsed="false">
      <c r="A875" s="0" t="s">
        <v>2073</v>
      </c>
      <c r="B875" s="0" t="s">
        <v>2074</v>
      </c>
      <c r="C875" s="0" t="s">
        <v>31</v>
      </c>
      <c r="D875" s="0" t="s">
        <v>2075</v>
      </c>
    </row>
    <row r="876" customFormat="false" ht="13.8" hidden="false" customHeight="false" outlineLevel="0" collapsed="false">
      <c r="A876" s="0" t="s">
        <v>2076</v>
      </c>
      <c r="B876" s="0" t="s">
        <v>2077</v>
      </c>
      <c r="C876" s="0" t="s">
        <v>31</v>
      </c>
      <c r="D876" s="0" t="s">
        <v>2072</v>
      </c>
    </row>
    <row r="877" customFormat="false" ht="13.8" hidden="false" customHeight="false" outlineLevel="0" collapsed="false">
      <c r="A877" s="0" t="s">
        <v>2078</v>
      </c>
      <c r="B877" s="0" t="s">
        <v>2079</v>
      </c>
      <c r="C877" s="0" t="s">
        <v>31</v>
      </c>
      <c r="D877" s="0" t="s">
        <v>1704</v>
      </c>
    </row>
    <row r="878" customFormat="false" ht="13.8" hidden="false" customHeight="false" outlineLevel="0" collapsed="false">
      <c r="A878" s="0" t="s">
        <v>2080</v>
      </c>
      <c r="B878" s="0" t="s">
        <v>2081</v>
      </c>
      <c r="C878" s="0" t="s">
        <v>31</v>
      </c>
      <c r="D878" s="0" t="s">
        <v>2054</v>
      </c>
    </row>
    <row r="879" customFormat="false" ht="13.8" hidden="false" customHeight="false" outlineLevel="0" collapsed="false">
      <c r="A879" s="0" t="s">
        <v>2082</v>
      </c>
      <c r="B879" s="0" t="s">
        <v>2083</v>
      </c>
      <c r="C879" s="0" t="s">
        <v>31</v>
      </c>
      <c r="D879" s="0" t="s">
        <v>2003</v>
      </c>
    </row>
    <row r="880" customFormat="false" ht="13.8" hidden="false" customHeight="false" outlineLevel="0" collapsed="false">
      <c r="A880" s="0" t="s">
        <v>2084</v>
      </c>
      <c r="B880" s="0" t="s">
        <v>2085</v>
      </c>
      <c r="C880" s="0" t="s">
        <v>31</v>
      </c>
      <c r="D880" s="0" t="s">
        <v>2086</v>
      </c>
    </row>
    <row r="881" customFormat="false" ht="13.8" hidden="false" customHeight="false" outlineLevel="0" collapsed="false">
      <c r="A881" s="0" t="s">
        <v>2087</v>
      </c>
      <c r="B881" s="0" t="s">
        <v>2088</v>
      </c>
      <c r="C881" s="0" t="s">
        <v>31</v>
      </c>
      <c r="D881" s="0" t="s">
        <v>2089</v>
      </c>
    </row>
    <row r="882" customFormat="false" ht="13.8" hidden="false" customHeight="false" outlineLevel="0" collapsed="false">
      <c r="A882" s="0" t="s">
        <v>2090</v>
      </c>
      <c r="B882" s="0" t="s">
        <v>2091</v>
      </c>
      <c r="C882" s="0" t="s">
        <v>31</v>
      </c>
      <c r="D882" s="0" t="s">
        <v>2003</v>
      </c>
    </row>
    <row r="883" customFormat="false" ht="13.8" hidden="false" customHeight="false" outlineLevel="0" collapsed="false">
      <c r="A883" s="0" t="s">
        <v>2092</v>
      </c>
      <c r="B883" s="0" t="s">
        <v>2093</v>
      </c>
      <c r="C883" s="0" t="s">
        <v>31</v>
      </c>
      <c r="D883" s="0" t="s">
        <v>2094</v>
      </c>
    </row>
    <row r="884" customFormat="false" ht="13.8" hidden="false" customHeight="false" outlineLevel="0" collapsed="false">
      <c r="A884" s="0" t="s">
        <v>2095</v>
      </c>
      <c r="B884" s="0" t="s">
        <v>2096</v>
      </c>
      <c r="C884" s="0" t="s">
        <v>31</v>
      </c>
      <c r="D884" s="0" t="s">
        <v>2003</v>
      </c>
    </row>
    <row r="885" customFormat="false" ht="13.8" hidden="false" customHeight="false" outlineLevel="0" collapsed="false">
      <c r="A885" s="0" t="s">
        <v>2097</v>
      </c>
      <c r="B885" s="0" t="s">
        <v>2098</v>
      </c>
      <c r="C885" s="0" t="s">
        <v>31</v>
      </c>
      <c r="D885" s="0" t="s">
        <v>2003</v>
      </c>
    </row>
    <row r="886" customFormat="false" ht="13.8" hidden="false" customHeight="false" outlineLevel="0" collapsed="false">
      <c r="A886" s="0" t="s">
        <v>2099</v>
      </c>
      <c r="B886" s="0" t="s">
        <v>2100</v>
      </c>
      <c r="C886" s="0" t="s">
        <v>31</v>
      </c>
      <c r="D886" s="0" t="s">
        <v>2101</v>
      </c>
    </row>
    <row r="887" customFormat="false" ht="13.8" hidden="false" customHeight="false" outlineLevel="0" collapsed="false">
      <c r="A887" s="0" t="s">
        <v>2102</v>
      </c>
      <c r="B887" s="0" t="s">
        <v>2103</v>
      </c>
      <c r="C887" s="0" t="s">
        <v>31</v>
      </c>
      <c r="D887" s="0" t="s">
        <v>1704</v>
      </c>
    </row>
    <row r="888" customFormat="false" ht="13.8" hidden="false" customHeight="false" outlineLevel="0" collapsed="false">
      <c r="A888" s="0" t="s">
        <v>2104</v>
      </c>
      <c r="B888" s="0" t="s">
        <v>2105</v>
      </c>
      <c r="C888" s="0" t="s">
        <v>31</v>
      </c>
      <c r="D888" s="0" t="s">
        <v>19</v>
      </c>
    </row>
    <row r="889" customFormat="false" ht="13.8" hidden="false" customHeight="false" outlineLevel="0" collapsed="false">
      <c r="A889" s="0" t="s">
        <v>2107</v>
      </c>
      <c r="B889" s="0" t="s">
        <v>2108</v>
      </c>
      <c r="C889" s="0" t="s">
        <v>31</v>
      </c>
      <c r="D889" s="0" t="s">
        <v>16</v>
      </c>
    </row>
    <row r="890" customFormat="false" ht="13.8" hidden="false" customHeight="false" outlineLevel="0" collapsed="false">
      <c r="A890" s="0" t="s">
        <v>2109</v>
      </c>
      <c r="B890" s="0" t="s">
        <v>2110</v>
      </c>
      <c r="C890" s="0" t="s">
        <v>31</v>
      </c>
      <c r="D890" s="0" t="s">
        <v>2111</v>
      </c>
    </row>
    <row r="891" customFormat="false" ht="13.8" hidden="false" customHeight="false" outlineLevel="0" collapsed="false">
      <c r="A891" s="0" t="s">
        <v>2112</v>
      </c>
      <c r="B891" s="0" t="s">
        <v>2113</v>
      </c>
      <c r="C891" s="0" t="s">
        <v>31</v>
      </c>
      <c r="D891" s="0" t="s">
        <v>413</v>
      </c>
    </row>
    <row r="892" customFormat="false" ht="13.8" hidden="false" customHeight="false" outlineLevel="0" collapsed="false">
      <c r="A892" s="0" t="s">
        <v>2114</v>
      </c>
      <c r="B892" s="0" t="s">
        <v>2115</v>
      </c>
      <c r="C892" s="0" t="s">
        <v>31</v>
      </c>
      <c r="D892" s="0" t="s">
        <v>1592</v>
      </c>
    </row>
    <row r="893" customFormat="false" ht="13.8" hidden="false" customHeight="false" outlineLevel="0" collapsed="false">
      <c r="A893" s="0" t="s">
        <v>2116</v>
      </c>
      <c r="B893" s="0" t="s">
        <v>2117</v>
      </c>
      <c r="C893" s="0" t="s">
        <v>31</v>
      </c>
      <c r="D893" s="0" t="s">
        <v>2072</v>
      </c>
    </row>
    <row r="894" customFormat="false" ht="13.8" hidden="false" customHeight="false" outlineLevel="0" collapsed="false">
      <c r="A894" s="0" t="s">
        <v>2118</v>
      </c>
      <c r="B894" s="0" t="s">
        <v>2119</v>
      </c>
      <c r="C894" s="0" t="s">
        <v>31</v>
      </c>
      <c r="D894" s="0" t="s">
        <v>16</v>
      </c>
    </row>
    <row r="895" customFormat="false" ht="13.8" hidden="false" customHeight="false" outlineLevel="0" collapsed="false">
      <c r="A895" s="0" t="s">
        <v>2120</v>
      </c>
      <c r="B895" s="0" t="s">
        <v>2121</v>
      </c>
      <c r="C895" s="0" t="s">
        <v>31</v>
      </c>
      <c r="D895" s="0" t="s">
        <v>2003</v>
      </c>
    </row>
    <row r="896" customFormat="false" ht="13.8" hidden="false" customHeight="false" outlineLevel="0" collapsed="false">
      <c r="A896" s="0" t="s">
        <v>2122</v>
      </c>
      <c r="B896" s="0" t="s">
        <v>2123</v>
      </c>
      <c r="C896" s="0" t="s">
        <v>31</v>
      </c>
      <c r="D896" s="0" t="s">
        <v>1592</v>
      </c>
    </row>
    <row r="897" customFormat="false" ht="13.8" hidden="false" customHeight="false" outlineLevel="0" collapsed="false">
      <c r="A897" s="0" t="s">
        <v>2124</v>
      </c>
      <c r="B897" s="0" t="s">
        <v>2125</v>
      </c>
      <c r="C897" s="0" t="s">
        <v>31</v>
      </c>
      <c r="D897" s="0" t="s">
        <v>69</v>
      </c>
    </row>
    <row r="898" customFormat="false" ht="13.8" hidden="false" customHeight="false" outlineLevel="0" collapsed="false">
      <c r="A898" s="0" t="s">
        <v>2126</v>
      </c>
      <c r="B898" s="0" t="s">
        <v>2127</v>
      </c>
      <c r="C898" s="0" t="s">
        <v>31</v>
      </c>
      <c r="D898" s="0" t="s">
        <v>69</v>
      </c>
    </row>
    <row r="899" customFormat="false" ht="13.8" hidden="false" customHeight="false" outlineLevel="0" collapsed="false">
      <c r="A899" s="0" t="s">
        <v>2128</v>
      </c>
      <c r="B899" s="0" t="s">
        <v>2129</v>
      </c>
      <c r="C899" s="0" t="s">
        <v>31</v>
      </c>
      <c r="D899" s="0" t="s">
        <v>19</v>
      </c>
    </row>
    <row r="900" customFormat="false" ht="13.8" hidden="false" customHeight="false" outlineLevel="0" collapsed="false">
      <c r="A900" s="0" t="s">
        <v>2130</v>
      </c>
      <c r="B900" s="0" t="s">
        <v>2131</v>
      </c>
      <c r="C900" s="0" t="s">
        <v>31</v>
      </c>
      <c r="D900" s="0" t="s">
        <v>19</v>
      </c>
    </row>
    <row r="901" customFormat="false" ht="13.8" hidden="false" customHeight="false" outlineLevel="0" collapsed="false">
      <c r="A901" s="0" t="s">
        <v>2132</v>
      </c>
      <c r="B901" s="0" t="s">
        <v>2133</v>
      </c>
      <c r="C901" s="0" t="s">
        <v>31</v>
      </c>
      <c r="D901" s="0" t="s">
        <v>413</v>
      </c>
    </row>
    <row r="902" customFormat="false" ht="13.8" hidden="false" customHeight="false" outlineLevel="0" collapsed="false">
      <c r="A902" s="0" t="s">
        <v>2135</v>
      </c>
      <c r="B902" s="0" t="s">
        <v>2136</v>
      </c>
      <c r="C902" s="0" t="s">
        <v>31</v>
      </c>
      <c r="D902" s="0" t="s">
        <v>2003</v>
      </c>
    </row>
    <row r="903" customFormat="false" ht="13.8" hidden="false" customHeight="false" outlineLevel="0" collapsed="false">
      <c r="A903" s="0" t="s">
        <v>2137</v>
      </c>
      <c r="B903" s="0" t="s">
        <v>2138</v>
      </c>
      <c r="C903" s="0" t="s">
        <v>31</v>
      </c>
      <c r="D903" s="0" t="s">
        <v>413</v>
      </c>
    </row>
    <row r="904" customFormat="false" ht="13.8" hidden="false" customHeight="false" outlineLevel="0" collapsed="false">
      <c r="A904" s="0" t="s">
        <v>2139</v>
      </c>
      <c r="B904" s="0" t="s">
        <v>2140</v>
      </c>
      <c r="C904" s="0" t="s">
        <v>31</v>
      </c>
      <c r="D904" s="0" t="s">
        <v>19</v>
      </c>
    </row>
    <row r="905" customFormat="false" ht="13.8" hidden="false" customHeight="false" outlineLevel="0" collapsed="false">
      <c r="A905" s="0" t="s">
        <v>2141</v>
      </c>
      <c r="B905" s="0" t="s">
        <v>2142</v>
      </c>
      <c r="C905" s="0" t="s">
        <v>31</v>
      </c>
      <c r="D905" s="0" t="s">
        <v>413</v>
      </c>
    </row>
    <row r="906" customFormat="false" ht="13.8" hidden="false" customHeight="false" outlineLevel="0" collapsed="false">
      <c r="A906" s="0" t="s">
        <v>2143</v>
      </c>
      <c r="B906" s="0" t="s">
        <v>2144</v>
      </c>
      <c r="C906" s="0" t="s">
        <v>31</v>
      </c>
      <c r="D906" s="0" t="s">
        <v>19</v>
      </c>
    </row>
    <row r="907" customFormat="false" ht="13.8" hidden="false" customHeight="false" outlineLevel="0" collapsed="false">
      <c r="A907" s="0" t="s">
        <v>2145</v>
      </c>
      <c r="B907" s="0" t="s">
        <v>2146</v>
      </c>
      <c r="C907" s="0" t="s">
        <v>31</v>
      </c>
      <c r="D907" s="0" t="s">
        <v>16</v>
      </c>
    </row>
    <row r="908" customFormat="false" ht="13.8" hidden="false" customHeight="false" outlineLevel="0" collapsed="false">
      <c r="A908" s="0" t="s">
        <v>2147</v>
      </c>
      <c r="B908" s="0" t="s">
        <v>2148</v>
      </c>
      <c r="C908" s="0" t="s">
        <v>31</v>
      </c>
      <c r="D908" s="0" t="s">
        <v>2149</v>
      </c>
    </row>
    <row r="909" customFormat="false" ht="13.8" hidden="false" customHeight="false" outlineLevel="0" collapsed="false">
      <c r="A909" s="0" t="s">
        <v>2150</v>
      </c>
      <c r="B909" s="0" t="s">
        <v>2151</v>
      </c>
      <c r="C909" s="0" t="s">
        <v>31</v>
      </c>
      <c r="D909" s="0" t="s">
        <v>413</v>
      </c>
    </row>
    <row r="910" customFormat="false" ht="13.8" hidden="false" customHeight="false" outlineLevel="0" collapsed="false">
      <c r="A910" s="0" t="s">
        <v>2153</v>
      </c>
      <c r="B910" s="0" t="s">
        <v>2154</v>
      </c>
      <c r="C910" s="0" t="s">
        <v>31</v>
      </c>
      <c r="D910" s="0" t="s">
        <v>413</v>
      </c>
    </row>
    <row r="911" customFormat="false" ht="13.8" hidden="false" customHeight="false" outlineLevel="0" collapsed="false">
      <c r="A911" s="0" t="s">
        <v>2155</v>
      </c>
      <c r="B911" s="0" t="s">
        <v>2156</v>
      </c>
      <c r="C911" s="0" t="s">
        <v>31</v>
      </c>
      <c r="D911" s="0" t="s">
        <v>19</v>
      </c>
    </row>
    <row r="912" customFormat="false" ht="13.8" hidden="false" customHeight="false" outlineLevel="0" collapsed="false">
      <c r="A912" s="0" t="s">
        <v>2157</v>
      </c>
      <c r="B912" s="0" t="s">
        <v>2158</v>
      </c>
      <c r="C912" s="0" t="s">
        <v>31</v>
      </c>
      <c r="D912" s="0" t="s">
        <v>2159</v>
      </c>
    </row>
    <row r="913" customFormat="false" ht="13.8" hidden="false" customHeight="false" outlineLevel="0" collapsed="false">
      <c r="A913" s="0" t="s">
        <v>2160</v>
      </c>
      <c r="B913" s="0" t="s">
        <v>2161</v>
      </c>
      <c r="C913" s="0" t="s">
        <v>31</v>
      </c>
      <c r="D913" s="0" t="s">
        <v>2149</v>
      </c>
    </row>
    <row r="914" customFormat="false" ht="13.8" hidden="false" customHeight="false" outlineLevel="0" collapsed="false">
      <c r="A914" s="0" t="s">
        <v>2162</v>
      </c>
      <c r="B914" s="0" t="s">
        <v>2163</v>
      </c>
      <c r="C914" s="0" t="s">
        <v>31</v>
      </c>
      <c r="D914" s="0" t="s">
        <v>413</v>
      </c>
    </row>
    <row r="915" customFormat="false" ht="13.8" hidden="false" customHeight="false" outlineLevel="0" collapsed="false">
      <c r="A915" s="0" t="s">
        <v>2165</v>
      </c>
      <c r="B915" s="0" t="s">
        <v>2166</v>
      </c>
      <c r="C915" s="0" t="s">
        <v>31</v>
      </c>
      <c r="D915" s="0" t="s">
        <v>1651</v>
      </c>
    </row>
    <row r="916" customFormat="false" ht="13.8" hidden="false" customHeight="false" outlineLevel="0" collapsed="false">
      <c r="A916" s="0" t="s">
        <v>2167</v>
      </c>
      <c r="B916" s="0" t="s">
        <v>2168</v>
      </c>
      <c r="C916" s="0" t="s">
        <v>31</v>
      </c>
      <c r="D916" s="0" t="s">
        <v>1508</v>
      </c>
    </row>
    <row r="917" customFormat="false" ht="13.8" hidden="false" customHeight="false" outlineLevel="0" collapsed="false">
      <c r="A917" s="0" t="s">
        <v>2169</v>
      </c>
      <c r="B917" s="0" t="s">
        <v>1632</v>
      </c>
      <c r="C917" s="0" t="s">
        <v>31</v>
      </c>
      <c r="D917" s="0" t="s">
        <v>1527</v>
      </c>
    </row>
    <row r="918" customFormat="false" ht="13.8" hidden="false" customHeight="false" outlineLevel="0" collapsed="false">
      <c r="A918" s="0" t="s">
        <v>2170</v>
      </c>
      <c r="B918" s="0" t="s">
        <v>2171</v>
      </c>
      <c r="C918" s="0" t="s">
        <v>31</v>
      </c>
      <c r="D918" s="0" t="s">
        <v>19</v>
      </c>
    </row>
    <row r="919" customFormat="false" ht="13.8" hidden="false" customHeight="false" outlineLevel="0" collapsed="false">
      <c r="A919" s="0" t="s">
        <v>2172</v>
      </c>
      <c r="B919" s="0" t="s">
        <v>2173</v>
      </c>
      <c r="C919" s="0" t="s">
        <v>31</v>
      </c>
      <c r="D919" s="0" t="s">
        <v>413</v>
      </c>
    </row>
    <row r="920" customFormat="false" ht="13.8" hidden="false" customHeight="false" outlineLevel="0" collapsed="false">
      <c r="A920" s="0" t="s">
        <v>2174</v>
      </c>
      <c r="B920" s="0" t="s">
        <v>2175</v>
      </c>
      <c r="C920" s="0" t="s">
        <v>31</v>
      </c>
      <c r="D920" s="0" t="s">
        <v>1704</v>
      </c>
    </row>
    <row r="921" customFormat="false" ht="13.8" hidden="false" customHeight="false" outlineLevel="0" collapsed="false">
      <c r="A921" s="0" t="s">
        <v>2176</v>
      </c>
      <c r="B921" s="0" t="s">
        <v>2177</v>
      </c>
      <c r="C921" s="0" t="s">
        <v>31</v>
      </c>
      <c r="D921" s="0" t="s">
        <v>1527</v>
      </c>
    </row>
    <row r="922" customFormat="false" ht="13.8" hidden="false" customHeight="false" outlineLevel="0" collapsed="false">
      <c r="A922" s="0" t="s">
        <v>2178</v>
      </c>
      <c r="B922" s="0" t="s">
        <v>2179</v>
      </c>
      <c r="C922" s="0" t="s">
        <v>31</v>
      </c>
      <c r="D922" s="0" t="s">
        <v>1508</v>
      </c>
    </row>
    <row r="923" customFormat="false" ht="13.8" hidden="false" customHeight="false" outlineLevel="0" collapsed="false">
      <c r="A923" s="0" t="s">
        <v>2180</v>
      </c>
      <c r="B923" s="0" t="s">
        <v>2181</v>
      </c>
      <c r="C923" s="0" t="s">
        <v>31</v>
      </c>
      <c r="D923" s="0" t="s">
        <v>1527</v>
      </c>
    </row>
    <row r="924" customFormat="false" ht="13.8" hidden="false" customHeight="false" outlineLevel="0" collapsed="false">
      <c r="A924" s="0" t="s">
        <v>2182</v>
      </c>
      <c r="B924" s="0" t="s">
        <v>2183</v>
      </c>
      <c r="C924" s="0" t="s">
        <v>31</v>
      </c>
      <c r="D924" s="0" t="s">
        <v>2184</v>
      </c>
    </row>
    <row r="925" customFormat="false" ht="13.8" hidden="false" customHeight="false" outlineLevel="0" collapsed="false">
      <c r="A925" s="0" t="s">
        <v>2185</v>
      </c>
      <c r="B925" s="0" t="s">
        <v>2186</v>
      </c>
      <c r="C925" s="0" t="s">
        <v>31</v>
      </c>
      <c r="D925" s="0" t="s">
        <v>19</v>
      </c>
    </row>
    <row r="926" customFormat="false" ht="13.8" hidden="false" customHeight="false" outlineLevel="0" collapsed="false">
      <c r="A926" s="0" t="s">
        <v>2187</v>
      </c>
      <c r="B926" s="0" t="s">
        <v>1934</v>
      </c>
      <c r="C926" s="0" t="s">
        <v>31</v>
      </c>
      <c r="D926" s="0" t="s">
        <v>1737</v>
      </c>
    </row>
    <row r="927" customFormat="false" ht="13.8" hidden="false" customHeight="false" outlineLevel="0" collapsed="false">
      <c r="A927" s="0" t="s">
        <v>2188</v>
      </c>
      <c r="B927" s="0" t="s">
        <v>2189</v>
      </c>
      <c r="C927" s="0" t="s">
        <v>31</v>
      </c>
      <c r="D927" s="0" t="s">
        <v>1592</v>
      </c>
    </row>
    <row r="928" customFormat="false" ht="13.8" hidden="false" customHeight="false" outlineLevel="0" collapsed="false">
      <c r="A928" s="0" t="s">
        <v>2190</v>
      </c>
      <c r="B928" s="0" t="s">
        <v>2191</v>
      </c>
      <c r="C928" s="0" t="s">
        <v>31</v>
      </c>
      <c r="D928" s="0" t="s">
        <v>2003</v>
      </c>
    </row>
    <row r="929" customFormat="false" ht="13.8" hidden="false" customHeight="false" outlineLevel="0" collapsed="false">
      <c r="A929" s="0" t="s">
        <v>2192</v>
      </c>
      <c r="B929" s="0" t="s">
        <v>2193</v>
      </c>
      <c r="C929" s="0" t="s">
        <v>31</v>
      </c>
      <c r="D929" s="0" t="s">
        <v>1651</v>
      </c>
    </row>
    <row r="930" customFormat="false" ht="13.8" hidden="false" customHeight="false" outlineLevel="0" collapsed="false">
      <c r="A930" s="0" t="s">
        <v>2194</v>
      </c>
      <c r="B930" s="0" t="s">
        <v>2195</v>
      </c>
      <c r="C930" s="0" t="s">
        <v>31</v>
      </c>
      <c r="D930" s="0" t="s">
        <v>2149</v>
      </c>
    </row>
    <row r="931" customFormat="false" ht="13.8" hidden="false" customHeight="false" outlineLevel="0" collapsed="false">
      <c r="A931" s="0" t="s">
        <v>2196</v>
      </c>
      <c r="B931" s="0" t="s">
        <v>2197</v>
      </c>
      <c r="C931" s="3" t="s">
        <v>31</v>
      </c>
      <c r="D931" s="0" t="s">
        <v>1508</v>
      </c>
    </row>
    <row r="932" customFormat="false" ht="13.8" hidden="false" customHeight="false" outlineLevel="0" collapsed="false">
      <c r="A932" s="0" t="s">
        <v>2198</v>
      </c>
      <c r="B932" s="0" t="s">
        <v>2199</v>
      </c>
      <c r="C932" s="0" t="s">
        <v>31</v>
      </c>
      <c r="D932" s="0" t="s">
        <v>2054</v>
      </c>
    </row>
    <row r="933" customFormat="false" ht="13.8" hidden="false" customHeight="false" outlineLevel="0" collapsed="false">
      <c r="A933" s="0" t="s">
        <v>2200</v>
      </c>
      <c r="B933" s="0" t="s">
        <v>2201</v>
      </c>
      <c r="C933" s="0" t="s">
        <v>31</v>
      </c>
      <c r="D933" s="0" t="s">
        <v>1651</v>
      </c>
    </row>
    <row r="934" customFormat="false" ht="13.8" hidden="false" customHeight="false" outlineLevel="0" collapsed="false">
      <c r="A934" s="0" t="s">
        <v>2202</v>
      </c>
      <c r="B934" s="0" t="s">
        <v>2203</v>
      </c>
      <c r="C934" s="0" t="s">
        <v>31</v>
      </c>
      <c r="D934" s="0" t="s">
        <v>1924</v>
      </c>
    </row>
    <row r="935" customFormat="false" ht="13.8" hidden="false" customHeight="false" outlineLevel="0" collapsed="false">
      <c r="A935" s="0" t="s">
        <v>2204</v>
      </c>
      <c r="B935" s="0" t="s">
        <v>2205</v>
      </c>
      <c r="C935" s="0" t="s">
        <v>31</v>
      </c>
      <c r="D935" s="0" t="s">
        <v>2149</v>
      </c>
    </row>
    <row r="936" customFormat="false" ht="13.8" hidden="false" customHeight="false" outlineLevel="0" collapsed="false">
      <c r="A936" s="0" t="s">
        <v>2206</v>
      </c>
      <c r="B936" s="0" t="s">
        <v>2207</v>
      </c>
      <c r="C936" s="0" t="s">
        <v>31</v>
      </c>
      <c r="D936" s="0" t="s">
        <v>19</v>
      </c>
    </row>
    <row r="937" customFormat="false" ht="13.8" hidden="false" customHeight="false" outlineLevel="0" collapsed="false">
      <c r="A937" s="0" t="s">
        <v>2208</v>
      </c>
      <c r="B937" s="0" t="s">
        <v>2209</v>
      </c>
      <c r="C937" s="0" t="s">
        <v>31</v>
      </c>
      <c r="D937" s="0" t="s">
        <v>1592</v>
      </c>
    </row>
    <row r="938" customFormat="false" ht="13.8" hidden="false" customHeight="false" outlineLevel="0" collapsed="false">
      <c r="A938" s="0" t="s">
        <v>2210</v>
      </c>
      <c r="B938" s="0" t="s">
        <v>2211</v>
      </c>
      <c r="C938" s="0" t="s">
        <v>31</v>
      </c>
      <c r="D938" s="0" t="s">
        <v>2094</v>
      </c>
    </row>
    <row r="939" customFormat="false" ht="13.8" hidden="false" customHeight="false" outlineLevel="0" collapsed="false">
      <c r="A939" s="0" t="s">
        <v>2212</v>
      </c>
      <c r="B939" s="0" t="s">
        <v>2213</v>
      </c>
      <c r="C939" s="0" t="s">
        <v>31</v>
      </c>
      <c r="D939" s="0" t="s">
        <v>2003</v>
      </c>
    </row>
    <row r="940" customFormat="false" ht="13.8" hidden="false" customHeight="false" outlineLevel="0" collapsed="false">
      <c r="A940" s="0" t="s">
        <v>2214</v>
      </c>
      <c r="B940" s="0" t="s">
        <v>2215</v>
      </c>
      <c r="C940" s="0" t="s">
        <v>31</v>
      </c>
      <c r="D940" s="0" t="s">
        <v>2216</v>
      </c>
    </row>
    <row r="941" customFormat="false" ht="13.8" hidden="false" customHeight="false" outlineLevel="0" collapsed="false">
      <c r="A941" s="0" t="s">
        <v>2217</v>
      </c>
      <c r="B941" s="0" t="s">
        <v>2218</v>
      </c>
      <c r="C941" s="0" t="s">
        <v>31</v>
      </c>
      <c r="D941" s="0" t="s">
        <v>1924</v>
      </c>
    </row>
    <row r="942" customFormat="false" ht="13.8" hidden="false" customHeight="false" outlineLevel="0" collapsed="false">
      <c r="A942" s="0" t="s">
        <v>2219</v>
      </c>
      <c r="B942" s="0" t="s">
        <v>2220</v>
      </c>
      <c r="C942" s="0" t="s">
        <v>31</v>
      </c>
      <c r="D942" s="0" t="s">
        <v>19</v>
      </c>
    </row>
    <row r="943" customFormat="false" ht="13.8" hidden="false" customHeight="false" outlineLevel="0" collapsed="false">
      <c r="A943" s="0" t="s">
        <v>2222</v>
      </c>
      <c r="B943" s="0" t="s">
        <v>2223</v>
      </c>
      <c r="C943" s="0" t="s">
        <v>31</v>
      </c>
      <c r="D943" s="0" t="s">
        <v>19</v>
      </c>
    </row>
    <row r="944" customFormat="false" ht="13.8" hidden="false" customHeight="false" outlineLevel="0" collapsed="false">
      <c r="A944" s="0" t="s">
        <v>2225</v>
      </c>
      <c r="B944" s="0" t="s">
        <v>2226</v>
      </c>
      <c r="C944" s="0" t="s">
        <v>31</v>
      </c>
      <c r="D944" s="0" t="s">
        <v>413</v>
      </c>
    </row>
    <row r="945" customFormat="false" ht="13.8" hidden="false" customHeight="false" outlineLevel="0" collapsed="false">
      <c r="A945" s="0" t="s">
        <v>2227</v>
      </c>
      <c r="B945" s="0" t="s">
        <v>2228</v>
      </c>
      <c r="C945" s="0" t="s">
        <v>31</v>
      </c>
      <c r="D945" s="0" t="s">
        <v>1508</v>
      </c>
    </row>
    <row r="946" customFormat="false" ht="13.8" hidden="false" customHeight="false" outlineLevel="0" collapsed="false">
      <c r="A946" s="0" t="s">
        <v>2229</v>
      </c>
      <c r="B946" s="0" t="s">
        <v>2230</v>
      </c>
      <c r="C946" s="0" t="s">
        <v>31</v>
      </c>
      <c r="D946" s="0" t="s">
        <v>2231</v>
      </c>
    </row>
    <row r="947" customFormat="false" ht="13.8" hidden="false" customHeight="false" outlineLevel="0" collapsed="false">
      <c r="A947" s="0" t="s">
        <v>2232</v>
      </c>
      <c r="B947" s="0" t="s">
        <v>2233</v>
      </c>
      <c r="C947" s="0" t="s">
        <v>31</v>
      </c>
      <c r="D947" s="0" t="s">
        <v>19</v>
      </c>
    </row>
    <row r="948" customFormat="false" ht="13.8" hidden="false" customHeight="false" outlineLevel="0" collapsed="false">
      <c r="A948" s="0" t="s">
        <v>2235</v>
      </c>
      <c r="B948" s="0" t="s">
        <v>2236</v>
      </c>
      <c r="C948" s="0" t="s">
        <v>31</v>
      </c>
      <c r="D948" s="0" t="s">
        <v>413</v>
      </c>
    </row>
    <row r="949" customFormat="false" ht="13.8" hidden="false" customHeight="false" outlineLevel="0" collapsed="false">
      <c r="A949" s="0" t="s">
        <v>2237</v>
      </c>
      <c r="B949" s="0" t="s">
        <v>2238</v>
      </c>
      <c r="C949" s="0" t="s">
        <v>31</v>
      </c>
      <c r="D949" s="0" t="s">
        <v>1651</v>
      </c>
    </row>
    <row r="950" customFormat="false" ht="13.8" hidden="false" customHeight="false" outlineLevel="0" collapsed="false">
      <c r="A950" s="0" t="s">
        <v>2239</v>
      </c>
      <c r="B950" s="0" t="s">
        <v>2240</v>
      </c>
      <c r="C950" s="0" t="s">
        <v>31</v>
      </c>
      <c r="D950" s="0" t="s">
        <v>413</v>
      </c>
    </row>
    <row r="951" customFormat="false" ht="13.8" hidden="false" customHeight="false" outlineLevel="0" collapsed="false">
      <c r="A951" s="0" t="s">
        <v>2242</v>
      </c>
      <c r="B951" s="0" t="s">
        <v>2243</v>
      </c>
      <c r="C951" s="0" t="s">
        <v>31</v>
      </c>
      <c r="D951" s="0" t="s">
        <v>2244</v>
      </c>
    </row>
    <row r="952" customFormat="false" ht="13.8" hidden="false" customHeight="false" outlineLevel="0" collapsed="false">
      <c r="A952" s="0" t="s">
        <v>2245</v>
      </c>
      <c r="B952" s="0" t="s">
        <v>2246</v>
      </c>
      <c r="C952" s="0" t="s">
        <v>31</v>
      </c>
      <c r="D952" s="0" t="s">
        <v>1592</v>
      </c>
    </row>
    <row r="953" customFormat="false" ht="13.8" hidden="false" customHeight="false" outlineLevel="0" collapsed="false">
      <c r="A953" s="0" t="s">
        <v>2247</v>
      </c>
      <c r="B953" s="0" t="s">
        <v>2248</v>
      </c>
      <c r="C953" s="0" t="s">
        <v>31</v>
      </c>
      <c r="D953" s="0" t="s">
        <v>1592</v>
      </c>
    </row>
    <row r="954" customFormat="false" ht="13.8" hidden="false" customHeight="false" outlineLevel="0" collapsed="false">
      <c r="A954" s="0" t="s">
        <v>2249</v>
      </c>
      <c r="B954" s="0" t="s">
        <v>2250</v>
      </c>
      <c r="C954" s="0" t="s">
        <v>31</v>
      </c>
      <c r="D954" s="0" t="s">
        <v>2149</v>
      </c>
    </row>
    <row r="955" customFormat="false" ht="13.8" hidden="false" customHeight="false" outlineLevel="0" collapsed="false">
      <c r="A955" s="0" t="s">
        <v>2251</v>
      </c>
      <c r="B955" s="0" t="s">
        <v>2252</v>
      </c>
      <c r="C955" s="0" t="s">
        <v>31</v>
      </c>
      <c r="D955" s="0" t="s">
        <v>19</v>
      </c>
    </row>
    <row r="956" customFormat="false" ht="13.8" hidden="false" customHeight="false" outlineLevel="0" collapsed="false">
      <c r="A956" s="0" t="s">
        <v>2253</v>
      </c>
      <c r="B956" s="0" t="s">
        <v>2254</v>
      </c>
      <c r="C956" s="0" t="s">
        <v>31</v>
      </c>
      <c r="D956" s="0" t="s">
        <v>413</v>
      </c>
    </row>
    <row r="957" customFormat="false" ht="13.8" hidden="false" customHeight="false" outlineLevel="0" collapsed="false">
      <c r="A957" s="0" t="s">
        <v>2255</v>
      </c>
      <c r="B957" s="0" t="s">
        <v>2256</v>
      </c>
      <c r="C957" s="0" t="s">
        <v>31</v>
      </c>
      <c r="D957" s="0" t="s">
        <v>2257</v>
      </c>
    </row>
    <row r="958" customFormat="false" ht="13.8" hidden="false" customHeight="false" outlineLevel="0" collapsed="false">
      <c r="A958" s="0" t="s">
        <v>2258</v>
      </c>
      <c r="B958" s="0" t="s">
        <v>2259</v>
      </c>
      <c r="C958" s="0" t="s">
        <v>31</v>
      </c>
      <c r="D958" s="0" t="s">
        <v>1924</v>
      </c>
    </row>
    <row r="959" customFormat="false" ht="13.8" hidden="false" customHeight="false" outlineLevel="0" collapsed="false">
      <c r="A959" s="0" t="s">
        <v>2260</v>
      </c>
      <c r="B959" s="0" t="s">
        <v>2261</v>
      </c>
      <c r="C959" s="0" t="s">
        <v>31</v>
      </c>
      <c r="D959" s="0" t="s">
        <v>1924</v>
      </c>
    </row>
    <row r="960" customFormat="false" ht="13.8" hidden="false" customHeight="false" outlineLevel="0" collapsed="false">
      <c r="A960" s="0" t="s">
        <v>2262</v>
      </c>
      <c r="B960" s="0" t="s">
        <v>2263</v>
      </c>
      <c r="C960" s="0" t="s">
        <v>31</v>
      </c>
      <c r="D960" s="0" t="s">
        <v>2264</v>
      </c>
    </row>
    <row r="961" customFormat="false" ht="13.8" hidden="false" customHeight="false" outlineLevel="0" collapsed="false">
      <c r="A961" s="0" t="s">
        <v>2265</v>
      </c>
      <c r="B961" s="0" t="s">
        <v>2266</v>
      </c>
      <c r="C961" s="0" t="s">
        <v>31</v>
      </c>
      <c r="D961" s="0" t="s">
        <v>1924</v>
      </c>
    </row>
    <row r="962" customFormat="false" ht="13.8" hidden="false" customHeight="false" outlineLevel="0" collapsed="false">
      <c r="A962" s="0" t="s">
        <v>2267</v>
      </c>
      <c r="B962" s="0" t="s">
        <v>2268</v>
      </c>
      <c r="C962" s="0" t="s">
        <v>31</v>
      </c>
      <c r="D962" s="0" t="s">
        <v>1651</v>
      </c>
    </row>
    <row r="963" customFormat="false" ht="13.8" hidden="false" customHeight="false" outlineLevel="0" collapsed="false">
      <c r="A963" s="0" t="s">
        <v>2269</v>
      </c>
      <c r="B963" s="0" t="s">
        <v>2270</v>
      </c>
      <c r="C963" s="0" t="s">
        <v>31</v>
      </c>
      <c r="D963" s="0" t="s">
        <v>279</v>
      </c>
    </row>
    <row r="964" customFormat="false" ht="13.8" hidden="false" customHeight="false" outlineLevel="0" collapsed="false">
      <c r="A964" s="0" t="s">
        <v>2271</v>
      </c>
      <c r="B964" s="0" t="s">
        <v>2272</v>
      </c>
      <c r="C964" s="0" t="s">
        <v>31</v>
      </c>
      <c r="D964" s="0" t="s">
        <v>19</v>
      </c>
    </row>
    <row r="965" customFormat="false" ht="13.8" hidden="false" customHeight="false" outlineLevel="0" collapsed="false">
      <c r="A965" s="0" t="s">
        <v>2273</v>
      </c>
      <c r="B965" s="0" t="s">
        <v>2274</v>
      </c>
      <c r="C965" s="0" t="s">
        <v>31</v>
      </c>
      <c r="D965" s="0" t="s">
        <v>19</v>
      </c>
    </row>
    <row r="966" customFormat="false" ht="13.8" hidden="false" customHeight="false" outlineLevel="0" collapsed="false">
      <c r="A966" s="0" t="s">
        <v>2277</v>
      </c>
      <c r="B966" s="0" t="s">
        <v>2278</v>
      </c>
      <c r="C966" s="0" t="s">
        <v>31</v>
      </c>
      <c r="D966" s="0" t="s">
        <v>19</v>
      </c>
    </row>
    <row r="967" customFormat="false" ht="13.8" hidden="false" customHeight="false" outlineLevel="0" collapsed="false">
      <c r="A967" s="0" t="s">
        <v>2279</v>
      </c>
      <c r="B967" s="0" t="s">
        <v>2280</v>
      </c>
      <c r="C967" s="0" t="s">
        <v>31</v>
      </c>
      <c r="D967" s="0" t="s">
        <v>1508</v>
      </c>
    </row>
    <row r="968" customFormat="false" ht="13.8" hidden="false" customHeight="false" outlineLevel="0" collapsed="false">
      <c r="A968" s="0" t="s">
        <v>2281</v>
      </c>
      <c r="B968" s="0" t="s">
        <v>2282</v>
      </c>
      <c r="C968" s="0" t="s">
        <v>31</v>
      </c>
      <c r="D968" s="0" t="s">
        <v>2072</v>
      </c>
    </row>
    <row r="969" customFormat="false" ht="13.8" hidden="false" customHeight="false" outlineLevel="0" collapsed="false">
      <c r="A969" s="0" t="s">
        <v>2283</v>
      </c>
      <c r="B969" s="0" t="s">
        <v>2284</v>
      </c>
      <c r="C969" s="0" t="s">
        <v>31</v>
      </c>
      <c r="D969" s="0" t="s">
        <v>413</v>
      </c>
    </row>
    <row r="970" customFormat="false" ht="13.8" hidden="false" customHeight="false" outlineLevel="0" collapsed="false">
      <c r="A970" s="0" t="s">
        <v>2285</v>
      </c>
      <c r="B970" s="0" t="s">
        <v>2286</v>
      </c>
      <c r="C970" s="0" t="s">
        <v>31</v>
      </c>
      <c r="D970" s="0" t="s">
        <v>19</v>
      </c>
    </row>
    <row r="971" customFormat="false" ht="13.8" hidden="false" customHeight="false" outlineLevel="0" collapsed="false">
      <c r="A971" s="0" t="s">
        <v>2287</v>
      </c>
      <c r="B971" s="0" t="s">
        <v>2288</v>
      </c>
      <c r="C971" s="0" t="s">
        <v>31</v>
      </c>
      <c r="D971" s="0" t="s">
        <v>19</v>
      </c>
    </row>
    <row r="972" customFormat="false" ht="13.8" hidden="false" customHeight="false" outlineLevel="0" collapsed="false">
      <c r="A972" s="0" t="s">
        <v>2290</v>
      </c>
      <c r="B972" s="0" t="s">
        <v>2291</v>
      </c>
      <c r="C972" s="0" t="s">
        <v>31</v>
      </c>
      <c r="D972" s="0" t="s">
        <v>413</v>
      </c>
    </row>
    <row r="973" customFormat="false" ht="13.8" hidden="false" customHeight="false" outlineLevel="0" collapsed="false">
      <c r="A973" s="0" t="s">
        <v>2292</v>
      </c>
      <c r="B973" s="0" t="s">
        <v>2293</v>
      </c>
      <c r="C973" s="0" t="s">
        <v>31</v>
      </c>
      <c r="D973" s="0" t="s">
        <v>1699</v>
      </c>
    </row>
    <row r="974" customFormat="false" ht="13.8" hidden="false" customHeight="false" outlineLevel="0" collapsed="false">
      <c r="A974" s="0" t="s">
        <v>2294</v>
      </c>
      <c r="B974" s="0" t="s">
        <v>2295</v>
      </c>
      <c r="C974" s="0" t="s">
        <v>31</v>
      </c>
      <c r="D974" s="0" t="s">
        <v>1957</v>
      </c>
    </row>
    <row r="975" customFormat="false" ht="13.8" hidden="false" customHeight="false" outlineLevel="0" collapsed="false">
      <c r="A975" s="0" t="s">
        <v>2296</v>
      </c>
      <c r="B975" s="0" t="s">
        <v>2297</v>
      </c>
      <c r="C975" s="0" t="s">
        <v>31</v>
      </c>
      <c r="D975" s="0" t="s">
        <v>413</v>
      </c>
    </row>
    <row r="976" customFormat="false" ht="13.8" hidden="false" customHeight="false" outlineLevel="0" collapsed="false">
      <c r="A976" s="0" t="s">
        <v>2298</v>
      </c>
      <c r="B976" s="0" t="s">
        <v>2299</v>
      </c>
      <c r="C976" s="0" t="s">
        <v>31</v>
      </c>
      <c r="D976" s="0" t="s">
        <v>1848</v>
      </c>
    </row>
    <row r="977" customFormat="false" ht="13.8" hidden="false" customHeight="false" outlineLevel="0" collapsed="false">
      <c r="A977" s="0" t="s">
        <v>2300</v>
      </c>
      <c r="B977" s="0" t="s">
        <v>2301</v>
      </c>
      <c r="C977" s="0" t="s">
        <v>31</v>
      </c>
      <c r="D977" s="0" t="s">
        <v>1924</v>
      </c>
    </row>
    <row r="978" customFormat="false" ht="13.8" hidden="false" customHeight="false" outlineLevel="0" collapsed="false">
      <c r="A978" s="0" t="s">
        <v>2302</v>
      </c>
      <c r="B978" s="0" t="s">
        <v>2303</v>
      </c>
      <c r="C978" s="0" t="s">
        <v>31</v>
      </c>
      <c r="D978" s="0" t="s">
        <v>19</v>
      </c>
    </row>
    <row r="979" customFormat="false" ht="13.8" hidden="false" customHeight="false" outlineLevel="0" collapsed="false">
      <c r="A979" s="0" t="s">
        <v>2304</v>
      </c>
      <c r="B979" s="0" t="s">
        <v>2305</v>
      </c>
      <c r="C979" s="0" t="s">
        <v>31</v>
      </c>
      <c r="D979" s="0" t="s">
        <v>1737</v>
      </c>
    </row>
    <row r="980" customFormat="false" ht="13.8" hidden="false" customHeight="false" outlineLevel="0" collapsed="false">
      <c r="A980" s="0" t="s">
        <v>2306</v>
      </c>
      <c r="B980" s="0" t="s">
        <v>2307</v>
      </c>
      <c r="C980" s="0" t="s">
        <v>31</v>
      </c>
      <c r="D980" s="0" t="s">
        <v>1737</v>
      </c>
    </row>
    <row r="981" customFormat="false" ht="13.8" hidden="false" customHeight="false" outlineLevel="0" collapsed="false">
      <c r="A981" s="0" t="s">
        <v>2308</v>
      </c>
      <c r="B981" s="0" t="s">
        <v>2309</v>
      </c>
      <c r="C981" s="0" t="s">
        <v>31</v>
      </c>
      <c r="D981" s="0" t="s">
        <v>19</v>
      </c>
    </row>
    <row r="982" customFormat="false" ht="13.8" hidden="false" customHeight="false" outlineLevel="0" collapsed="false">
      <c r="A982" s="0" t="s">
        <v>2310</v>
      </c>
      <c r="B982" s="0" t="s">
        <v>2311</v>
      </c>
      <c r="C982" s="0" t="s">
        <v>31</v>
      </c>
      <c r="D982" s="0" t="s">
        <v>19</v>
      </c>
    </row>
    <row r="983" customFormat="false" ht="13.8" hidden="false" customHeight="false" outlineLevel="0" collapsed="false">
      <c r="A983" s="0" t="s">
        <v>2312</v>
      </c>
      <c r="B983" s="0" t="s">
        <v>2313</v>
      </c>
      <c r="C983" s="0" t="s">
        <v>31</v>
      </c>
      <c r="D983" s="0" t="s">
        <v>1722</v>
      </c>
    </row>
    <row r="984" customFormat="false" ht="13.8" hidden="false" customHeight="false" outlineLevel="0" collapsed="false">
      <c r="A984" s="0" t="s">
        <v>2314</v>
      </c>
      <c r="B984" s="0" t="s">
        <v>2315</v>
      </c>
      <c r="C984" s="0" t="s">
        <v>31</v>
      </c>
      <c r="D984" s="0" t="s">
        <v>19</v>
      </c>
    </row>
    <row r="985" customFormat="false" ht="13.8" hidden="false" customHeight="false" outlineLevel="0" collapsed="false">
      <c r="A985" s="0" t="s">
        <v>2317</v>
      </c>
      <c r="B985" s="0" t="s">
        <v>2318</v>
      </c>
      <c r="C985" s="0" t="s">
        <v>31</v>
      </c>
      <c r="D985" s="0" t="s">
        <v>19</v>
      </c>
    </row>
    <row r="986" customFormat="false" ht="13.8" hidden="false" customHeight="false" outlineLevel="0" collapsed="false">
      <c r="A986" s="0" t="s">
        <v>2319</v>
      </c>
      <c r="B986" s="0" t="s">
        <v>2320</v>
      </c>
      <c r="C986" s="0" t="s">
        <v>31</v>
      </c>
      <c r="D986" s="0" t="s">
        <v>1699</v>
      </c>
    </row>
    <row r="987" customFormat="false" ht="13.8" hidden="false" customHeight="false" outlineLevel="0" collapsed="false">
      <c r="A987" s="0" t="s">
        <v>2321</v>
      </c>
      <c r="B987" s="0" t="s">
        <v>2322</v>
      </c>
      <c r="C987" s="0" t="s">
        <v>31</v>
      </c>
      <c r="D987" s="0" t="s">
        <v>2323</v>
      </c>
    </row>
    <row r="988" customFormat="false" ht="13.8" hidden="false" customHeight="false" outlineLevel="0" collapsed="false">
      <c r="A988" s="0" t="s">
        <v>2324</v>
      </c>
      <c r="B988" s="0" t="s">
        <v>2325</v>
      </c>
      <c r="C988" s="0" t="s">
        <v>31</v>
      </c>
      <c r="D988" s="0" t="s">
        <v>19</v>
      </c>
    </row>
    <row r="989" customFormat="false" ht="13.8" hidden="false" customHeight="false" outlineLevel="0" collapsed="false">
      <c r="A989" s="0" t="s">
        <v>2326</v>
      </c>
      <c r="B989" s="0" t="s">
        <v>2327</v>
      </c>
      <c r="C989" s="0" t="s">
        <v>31</v>
      </c>
      <c r="D989" s="0" t="s">
        <v>2003</v>
      </c>
    </row>
    <row r="990" customFormat="false" ht="13.8" hidden="false" customHeight="false" outlineLevel="0" collapsed="false">
      <c r="A990" s="0" t="s">
        <v>2328</v>
      </c>
      <c r="B990" s="0" t="s">
        <v>2329</v>
      </c>
      <c r="C990" s="0" t="s">
        <v>31</v>
      </c>
      <c r="D990" s="0" t="s">
        <v>1924</v>
      </c>
    </row>
    <row r="991" customFormat="false" ht="13.8" hidden="false" customHeight="false" outlineLevel="0" collapsed="false">
      <c r="A991" s="0" t="s">
        <v>2330</v>
      </c>
      <c r="B991" s="0" t="s">
        <v>2331</v>
      </c>
      <c r="C991" s="0" t="s">
        <v>31</v>
      </c>
      <c r="D991" s="0" t="s">
        <v>19</v>
      </c>
    </row>
    <row r="992" customFormat="false" ht="13.8" hidden="false" customHeight="false" outlineLevel="0" collapsed="false">
      <c r="A992" s="0" t="s">
        <v>2333</v>
      </c>
      <c r="B992" s="0" t="s">
        <v>2334</v>
      </c>
      <c r="C992" s="0" t="s">
        <v>31</v>
      </c>
      <c r="D992" s="0" t="s">
        <v>1592</v>
      </c>
    </row>
    <row r="993" customFormat="false" ht="13.8" hidden="false" customHeight="false" outlineLevel="0" collapsed="false">
      <c r="A993" s="0" t="s">
        <v>2335</v>
      </c>
      <c r="B993" s="0" t="s">
        <v>2336</v>
      </c>
      <c r="C993" s="0" t="s">
        <v>31</v>
      </c>
      <c r="D993" s="0" t="s">
        <v>16</v>
      </c>
    </row>
    <row r="994" customFormat="false" ht="13.8" hidden="false" customHeight="false" outlineLevel="0" collapsed="false">
      <c r="A994" s="0" t="s">
        <v>2338</v>
      </c>
      <c r="B994" s="0" t="s">
        <v>2339</v>
      </c>
      <c r="C994" s="0" t="s">
        <v>31</v>
      </c>
      <c r="D994" s="0" t="s">
        <v>413</v>
      </c>
    </row>
    <row r="995" customFormat="false" ht="13.8" hidden="false" customHeight="false" outlineLevel="0" collapsed="false">
      <c r="A995" s="0" t="s">
        <v>2340</v>
      </c>
      <c r="B995" s="0" t="s">
        <v>2341</v>
      </c>
      <c r="C995" s="0" t="s">
        <v>31</v>
      </c>
      <c r="D995" s="0" t="s">
        <v>1651</v>
      </c>
    </row>
    <row r="996" customFormat="false" ht="13.8" hidden="false" customHeight="false" outlineLevel="0" collapsed="false">
      <c r="A996" s="0" t="s">
        <v>2342</v>
      </c>
      <c r="B996" s="0" t="s">
        <v>2343</v>
      </c>
      <c r="C996" s="0" t="s">
        <v>31</v>
      </c>
      <c r="D996" s="0" t="s">
        <v>413</v>
      </c>
    </row>
    <row r="997" customFormat="false" ht="13.8" hidden="false" customHeight="false" outlineLevel="0" collapsed="false">
      <c r="A997" s="0" t="s">
        <v>2344</v>
      </c>
      <c r="B997" s="0" t="s">
        <v>2345</v>
      </c>
      <c r="C997" s="0" t="s">
        <v>31</v>
      </c>
      <c r="D997" s="0" t="s">
        <v>1699</v>
      </c>
    </row>
    <row r="998" customFormat="false" ht="13.8" hidden="false" customHeight="false" outlineLevel="0" collapsed="false">
      <c r="A998" s="0" t="s">
        <v>2346</v>
      </c>
      <c r="B998" s="0" t="s">
        <v>2347</v>
      </c>
      <c r="C998" s="0" t="s">
        <v>31</v>
      </c>
      <c r="D998" s="0" t="s">
        <v>1924</v>
      </c>
    </row>
    <row r="999" customFormat="false" ht="13.8" hidden="false" customHeight="false" outlineLevel="0" collapsed="false">
      <c r="A999" s="0" t="s">
        <v>2348</v>
      </c>
      <c r="B999" s="0" t="s">
        <v>2349</v>
      </c>
      <c r="C999" s="0" t="s">
        <v>31</v>
      </c>
      <c r="D999" s="0" t="s">
        <v>24</v>
      </c>
    </row>
    <row r="1000" customFormat="false" ht="13.8" hidden="false" customHeight="false" outlineLevel="0" collapsed="false">
      <c r="A1000" s="0" t="s">
        <v>2352</v>
      </c>
      <c r="B1000" s="0" t="s">
        <v>2353</v>
      </c>
      <c r="C1000" s="0" t="s">
        <v>31</v>
      </c>
      <c r="D1000" s="0" t="s">
        <v>413</v>
      </c>
    </row>
    <row r="1001" customFormat="false" ht="13.8" hidden="false" customHeight="false" outlineLevel="0" collapsed="false">
      <c r="A1001" s="0" t="s">
        <v>2354</v>
      </c>
      <c r="B1001" s="0" t="s">
        <v>2355</v>
      </c>
      <c r="C1001" s="0" t="s">
        <v>31</v>
      </c>
      <c r="D1001" s="0" t="s">
        <v>2356</v>
      </c>
    </row>
    <row r="1002" customFormat="false" ht="13.8" hidden="false" customHeight="false" outlineLevel="0" collapsed="false">
      <c r="A1002" s="0" t="s">
        <v>2357</v>
      </c>
      <c r="B1002" s="0" t="s">
        <v>2358</v>
      </c>
      <c r="C1002" s="0" t="s">
        <v>31</v>
      </c>
      <c r="D1002" s="0" t="s">
        <v>16</v>
      </c>
    </row>
    <row r="1003" customFormat="false" ht="13.8" hidden="false" customHeight="false" outlineLevel="0" collapsed="false">
      <c r="A1003" s="0" t="s">
        <v>2360</v>
      </c>
      <c r="B1003" s="0" t="s">
        <v>2361</v>
      </c>
      <c r="C1003" s="0" t="s">
        <v>31</v>
      </c>
      <c r="D1003" s="0" t="s">
        <v>2054</v>
      </c>
    </row>
    <row r="1004" customFormat="false" ht="13.8" hidden="false" customHeight="false" outlineLevel="0" collapsed="false">
      <c r="A1004" s="0" t="s">
        <v>2362</v>
      </c>
      <c r="B1004" s="0" t="s">
        <v>2363</v>
      </c>
      <c r="C1004" s="0" t="s">
        <v>31</v>
      </c>
      <c r="D1004" s="0" t="s">
        <v>2364</v>
      </c>
    </row>
    <row r="1005" customFormat="false" ht="13.8" hidden="false" customHeight="false" outlineLevel="0" collapsed="false">
      <c r="A1005" s="0" t="s">
        <v>2365</v>
      </c>
      <c r="B1005" s="0" t="s">
        <v>2366</v>
      </c>
      <c r="C1005" s="0" t="s">
        <v>31</v>
      </c>
      <c r="D1005" s="0" t="s">
        <v>413</v>
      </c>
    </row>
    <row r="1006" customFormat="false" ht="13.8" hidden="false" customHeight="false" outlineLevel="0" collapsed="false">
      <c r="A1006" s="0" t="s">
        <v>2367</v>
      </c>
      <c r="B1006" s="0" t="s">
        <v>2368</v>
      </c>
      <c r="C1006" s="0" t="s">
        <v>31</v>
      </c>
      <c r="D1006" s="0" t="s">
        <v>2003</v>
      </c>
    </row>
    <row r="1007" customFormat="false" ht="13.8" hidden="false" customHeight="false" outlineLevel="0" collapsed="false">
      <c r="A1007" s="0" t="s">
        <v>2369</v>
      </c>
      <c r="B1007" s="0" t="s">
        <v>2370</v>
      </c>
      <c r="C1007" s="0" t="s">
        <v>31</v>
      </c>
      <c r="D1007" s="0" t="s">
        <v>16</v>
      </c>
    </row>
    <row r="1008" customFormat="false" ht="13.8" hidden="false" customHeight="false" outlineLevel="0" collapsed="false">
      <c r="A1008" s="0" t="s">
        <v>2371</v>
      </c>
      <c r="B1008" s="0" t="s">
        <v>2372</v>
      </c>
      <c r="C1008" s="0" t="s">
        <v>31</v>
      </c>
      <c r="D1008" s="0" t="s">
        <v>1699</v>
      </c>
    </row>
    <row r="1009" customFormat="false" ht="13.8" hidden="false" customHeight="false" outlineLevel="0" collapsed="false">
      <c r="A1009" s="0" t="s">
        <v>2373</v>
      </c>
      <c r="B1009" s="0" t="s">
        <v>2374</v>
      </c>
      <c r="C1009" s="0" t="s">
        <v>31</v>
      </c>
      <c r="D1009" s="0" t="s">
        <v>413</v>
      </c>
    </row>
    <row r="1010" customFormat="false" ht="13.8" hidden="false" customHeight="false" outlineLevel="0" collapsed="false">
      <c r="A1010" s="0" t="s">
        <v>2375</v>
      </c>
      <c r="B1010" s="0" t="s">
        <v>2376</v>
      </c>
      <c r="C1010" s="0" t="s">
        <v>31</v>
      </c>
      <c r="D1010" s="0" t="s">
        <v>16</v>
      </c>
    </row>
    <row r="1011" customFormat="false" ht="13.8" hidden="false" customHeight="false" outlineLevel="0" collapsed="false">
      <c r="A1011" s="0" t="s">
        <v>2377</v>
      </c>
      <c r="B1011" s="0" t="s">
        <v>2378</v>
      </c>
      <c r="C1011" s="0" t="s">
        <v>31</v>
      </c>
      <c r="D1011" s="0" t="s">
        <v>413</v>
      </c>
    </row>
    <row r="1012" customFormat="false" ht="13.8" hidden="false" customHeight="false" outlineLevel="0" collapsed="false">
      <c r="A1012" s="0" t="s">
        <v>2380</v>
      </c>
      <c r="B1012" s="0" t="s">
        <v>2381</v>
      </c>
      <c r="C1012" s="0" t="s">
        <v>31</v>
      </c>
      <c r="D1012" s="0" t="s">
        <v>19</v>
      </c>
    </row>
    <row r="1013" customFormat="false" ht="13.8" hidden="false" customHeight="false" outlineLevel="0" collapsed="false">
      <c r="A1013" s="0" t="s">
        <v>2382</v>
      </c>
      <c r="B1013" s="0" t="s">
        <v>2383</v>
      </c>
      <c r="C1013" s="0" t="s">
        <v>31</v>
      </c>
      <c r="D1013" s="0" t="s">
        <v>413</v>
      </c>
    </row>
    <row r="1014" customFormat="false" ht="13.8" hidden="false" customHeight="false" outlineLevel="0" collapsed="false">
      <c r="A1014" s="0" t="s">
        <v>2384</v>
      </c>
      <c r="B1014" s="0" t="s">
        <v>2385</v>
      </c>
      <c r="C1014" s="0" t="s">
        <v>31</v>
      </c>
      <c r="D1014" s="0" t="s">
        <v>2386</v>
      </c>
    </row>
    <row r="1015" customFormat="false" ht="13.8" hidden="false" customHeight="false" outlineLevel="0" collapsed="false">
      <c r="A1015" s="0" t="s">
        <v>2387</v>
      </c>
      <c r="B1015" s="0" t="s">
        <v>2388</v>
      </c>
      <c r="C1015" s="0" t="s">
        <v>31</v>
      </c>
      <c r="D1015" s="0" t="s">
        <v>1527</v>
      </c>
    </row>
    <row r="1016" customFormat="false" ht="13.8" hidden="false" customHeight="false" outlineLevel="0" collapsed="false">
      <c r="A1016" s="0" t="s">
        <v>2389</v>
      </c>
      <c r="B1016" s="0" t="s">
        <v>2390</v>
      </c>
      <c r="C1016" s="0" t="s">
        <v>31</v>
      </c>
      <c r="D1016" s="0" t="s">
        <v>413</v>
      </c>
    </row>
    <row r="1017" customFormat="false" ht="13.8" hidden="false" customHeight="false" outlineLevel="0" collapsed="false">
      <c r="A1017" s="0" t="s">
        <v>2391</v>
      </c>
      <c r="B1017" s="0" t="s">
        <v>2392</v>
      </c>
      <c r="C1017" s="0" t="s">
        <v>31</v>
      </c>
      <c r="D1017" s="0" t="s">
        <v>1508</v>
      </c>
    </row>
    <row r="1018" customFormat="false" ht="13.8" hidden="false" customHeight="false" outlineLevel="0" collapsed="false">
      <c r="A1018" s="0" t="s">
        <v>2393</v>
      </c>
      <c r="B1018" s="0" t="s">
        <v>2394</v>
      </c>
      <c r="C1018" s="0" t="s">
        <v>31</v>
      </c>
      <c r="D1018" s="0" t="s">
        <v>19</v>
      </c>
    </row>
    <row r="1019" customFormat="false" ht="13.8" hidden="false" customHeight="false" outlineLevel="0" collapsed="false">
      <c r="A1019" s="0" t="s">
        <v>2395</v>
      </c>
      <c r="B1019" s="0" t="s">
        <v>2396</v>
      </c>
      <c r="C1019" s="0" t="s">
        <v>31</v>
      </c>
      <c r="D1019" s="0" t="s">
        <v>2356</v>
      </c>
    </row>
    <row r="1020" customFormat="false" ht="13.8" hidden="false" customHeight="false" outlineLevel="0" collapsed="false">
      <c r="A1020" s="0" t="s">
        <v>2397</v>
      </c>
      <c r="B1020" s="0" t="s">
        <v>2398</v>
      </c>
      <c r="C1020" s="0" t="s">
        <v>31</v>
      </c>
      <c r="D1020" s="0" t="s">
        <v>1508</v>
      </c>
    </row>
    <row r="1021" customFormat="false" ht="13.8" hidden="false" customHeight="false" outlineLevel="0" collapsed="false">
      <c r="A1021" s="0" t="s">
        <v>2399</v>
      </c>
      <c r="B1021" s="0" t="s">
        <v>2400</v>
      </c>
      <c r="C1021" s="0" t="s">
        <v>31</v>
      </c>
      <c r="D1021" s="0" t="s">
        <v>1957</v>
      </c>
    </row>
    <row r="1022" customFormat="false" ht="13.8" hidden="false" customHeight="false" outlineLevel="0" collapsed="false">
      <c r="A1022" s="0" t="s">
        <v>2401</v>
      </c>
      <c r="B1022" s="0" t="s">
        <v>2402</v>
      </c>
      <c r="C1022" s="0" t="s">
        <v>31</v>
      </c>
      <c r="D1022" s="0" t="s">
        <v>413</v>
      </c>
    </row>
    <row r="1023" customFormat="false" ht="13.8" hidden="false" customHeight="false" outlineLevel="0" collapsed="false">
      <c r="A1023" s="0" t="s">
        <v>2403</v>
      </c>
      <c r="B1023" s="0" t="s">
        <v>2404</v>
      </c>
      <c r="C1023" s="0" t="s">
        <v>31</v>
      </c>
      <c r="D1023" s="0" t="s">
        <v>2386</v>
      </c>
    </row>
    <row r="1024" customFormat="false" ht="13.8" hidden="false" customHeight="false" outlineLevel="0" collapsed="false">
      <c r="A1024" s="0" t="s">
        <v>2405</v>
      </c>
      <c r="B1024" s="0" t="s">
        <v>2156</v>
      </c>
      <c r="C1024" s="0" t="s">
        <v>31</v>
      </c>
      <c r="D1024" s="0" t="s">
        <v>19</v>
      </c>
    </row>
    <row r="1025" customFormat="false" ht="13.8" hidden="false" customHeight="false" outlineLevel="0" collapsed="false">
      <c r="A1025" s="0" t="s">
        <v>2406</v>
      </c>
      <c r="B1025" s="0" t="s">
        <v>2407</v>
      </c>
      <c r="C1025" s="0" t="s">
        <v>31</v>
      </c>
      <c r="D1025" s="0" t="s">
        <v>19</v>
      </c>
    </row>
    <row r="1026" customFormat="false" ht="13.8" hidden="false" customHeight="false" outlineLevel="0" collapsed="false">
      <c r="A1026" s="0" t="s">
        <v>2408</v>
      </c>
      <c r="B1026" s="0" t="s">
        <v>2409</v>
      </c>
      <c r="C1026" s="0" t="s">
        <v>31</v>
      </c>
      <c r="D1026" s="0" t="s">
        <v>413</v>
      </c>
    </row>
    <row r="1027" customFormat="false" ht="13.8" hidden="false" customHeight="false" outlineLevel="0" collapsed="false">
      <c r="A1027" s="0" t="s">
        <v>2410</v>
      </c>
      <c r="B1027" s="0" t="s">
        <v>2411</v>
      </c>
      <c r="C1027" s="0" t="s">
        <v>31</v>
      </c>
      <c r="D1027" s="0" t="s">
        <v>413</v>
      </c>
    </row>
    <row r="1028" customFormat="false" ht="13.8" hidden="false" customHeight="false" outlineLevel="0" collapsed="false">
      <c r="A1028" s="0" t="s">
        <v>2412</v>
      </c>
      <c r="B1028" s="0" t="s">
        <v>2413</v>
      </c>
      <c r="C1028" s="0" t="s">
        <v>31</v>
      </c>
      <c r="D1028" s="0" t="s">
        <v>1651</v>
      </c>
    </row>
    <row r="1029" customFormat="false" ht="13.8" hidden="false" customHeight="false" outlineLevel="0" collapsed="false">
      <c r="A1029" s="0" t="s">
        <v>2414</v>
      </c>
      <c r="B1029" s="0" t="s">
        <v>2415</v>
      </c>
      <c r="C1029" s="0" t="s">
        <v>31</v>
      </c>
      <c r="D1029" s="0" t="s">
        <v>69</v>
      </c>
    </row>
    <row r="1030" customFormat="false" ht="13.8" hidden="false" customHeight="false" outlineLevel="0" collapsed="false">
      <c r="A1030" s="0" t="s">
        <v>2416</v>
      </c>
      <c r="B1030" s="0" t="s">
        <v>2417</v>
      </c>
      <c r="C1030" s="0" t="s">
        <v>31</v>
      </c>
      <c r="D1030" s="0" t="s">
        <v>413</v>
      </c>
    </row>
    <row r="1031" customFormat="false" ht="13.8" hidden="false" customHeight="false" outlineLevel="0" collapsed="false">
      <c r="A1031" s="0" t="s">
        <v>2418</v>
      </c>
      <c r="B1031" s="0" t="s">
        <v>2419</v>
      </c>
      <c r="C1031" s="0" t="s">
        <v>31</v>
      </c>
      <c r="D1031" s="0" t="s">
        <v>1704</v>
      </c>
    </row>
    <row r="1032" customFormat="false" ht="13.8" hidden="false" customHeight="false" outlineLevel="0" collapsed="false">
      <c r="A1032" s="0" t="s">
        <v>2420</v>
      </c>
      <c r="B1032" s="0" t="s">
        <v>2421</v>
      </c>
      <c r="C1032" s="0" t="s">
        <v>31</v>
      </c>
      <c r="D1032" s="0" t="s">
        <v>413</v>
      </c>
    </row>
    <row r="1033" customFormat="false" ht="13.8" hidden="false" customHeight="false" outlineLevel="0" collapsed="false">
      <c r="A1033" s="0" t="s">
        <v>2422</v>
      </c>
      <c r="B1033" s="0" t="s">
        <v>2423</v>
      </c>
      <c r="C1033" s="0" t="s">
        <v>31</v>
      </c>
      <c r="D1033" s="0" t="s">
        <v>19</v>
      </c>
    </row>
    <row r="1034" customFormat="false" ht="13.8" hidden="false" customHeight="false" outlineLevel="0" collapsed="false">
      <c r="A1034" s="0" t="s">
        <v>2424</v>
      </c>
      <c r="B1034" s="0" t="s">
        <v>2425</v>
      </c>
      <c r="C1034" s="0" t="s">
        <v>31</v>
      </c>
      <c r="D1034" s="0" t="s">
        <v>19</v>
      </c>
    </row>
    <row r="1035" customFormat="false" ht="13.8" hidden="false" customHeight="false" outlineLevel="0" collapsed="false">
      <c r="A1035" s="0" t="s">
        <v>2426</v>
      </c>
      <c r="B1035" s="0" t="s">
        <v>2427</v>
      </c>
      <c r="C1035" s="0" t="s">
        <v>31</v>
      </c>
      <c r="D1035" s="0" t="s">
        <v>413</v>
      </c>
    </row>
    <row r="1036" customFormat="false" ht="13.8" hidden="false" customHeight="false" outlineLevel="0" collapsed="false">
      <c r="A1036" s="0" t="s">
        <v>2428</v>
      </c>
      <c r="B1036" s="0" t="s">
        <v>2429</v>
      </c>
      <c r="C1036" s="0" t="s">
        <v>31</v>
      </c>
      <c r="D1036" s="0" t="s">
        <v>413</v>
      </c>
    </row>
    <row r="1037" customFormat="false" ht="13.8" hidden="false" customHeight="false" outlineLevel="0" collapsed="false">
      <c r="A1037" s="0" t="s">
        <v>2430</v>
      </c>
      <c r="B1037" s="0" t="s">
        <v>2431</v>
      </c>
      <c r="C1037" s="0" t="s">
        <v>31</v>
      </c>
      <c r="D1037" s="0" t="s">
        <v>24</v>
      </c>
    </row>
    <row r="1038" customFormat="false" ht="13.8" hidden="false" customHeight="false" outlineLevel="0" collapsed="false">
      <c r="A1038" s="0" t="s">
        <v>2433</v>
      </c>
      <c r="B1038" s="0" t="s">
        <v>2434</v>
      </c>
      <c r="C1038" s="0" t="s">
        <v>31</v>
      </c>
      <c r="D1038" s="0" t="s">
        <v>2435</v>
      </c>
    </row>
    <row r="1039" customFormat="false" ht="13.8" hidden="false" customHeight="false" outlineLevel="0" collapsed="false">
      <c r="A1039" s="0" t="s">
        <v>2436</v>
      </c>
      <c r="B1039" s="0" t="s">
        <v>2437</v>
      </c>
      <c r="C1039" s="0" t="s">
        <v>31</v>
      </c>
      <c r="D1039" s="0" t="s">
        <v>1540</v>
      </c>
    </row>
    <row r="1040" customFormat="false" ht="13.8" hidden="false" customHeight="false" outlineLevel="0" collapsed="false">
      <c r="A1040" s="0" t="s">
        <v>2438</v>
      </c>
      <c r="B1040" s="0" t="s">
        <v>2439</v>
      </c>
      <c r="C1040" s="0" t="s">
        <v>31</v>
      </c>
      <c r="D1040" s="0" t="s">
        <v>19</v>
      </c>
    </row>
    <row r="1041" customFormat="false" ht="13.8" hidden="false" customHeight="false" outlineLevel="0" collapsed="false">
      <c r="A1041" s="0" t="s">
        <v>2440</v>
      </c>
      <c r="B1041" s="0" t="s">
        <v>2441</v>
      </c>
      <c r="C1041" s="0" t="s">
        <v>31</v>
      </c>
      <c r="D1041" s="0" t="s">
        <v>413</v>
      </c>
    </row>
    <row r="1042" customFormat="false" ht="13.8" hidden="false" customHeight="false" outlineLevel="0" collapsed="false">
      <c r="A1042" s="0" t="s">
        <v>2443</v>
      </c>
      <c r="B1042" s="0" t="s">
        <v>1603</v>
      </c>
      <c r="C1042" s="0" t="s">
        <v>31</v>
      </c>
      <c r="D1042" s="0" t="s">
        <v>2444</v>
      </c>
    </row>
    <row r="1043" customFormat="false" ht="13.8" hidden="false" customHeight="false" outlineLevel="0" collapsed="false">
      <c r="A1043" s="0" t="s">
        <v>2445</v>
      </c>
      <c r="B1043" s="0" t="s">
        <v>2446</v>
      </c>
      <c r="C1043" s="0" t="s">
        <v>31</v>
      </c>
      <c r="D1043" s="0" t="s">
        <v>413</v>
      </c>
    </row>
    <row r="1044" customFormat="false" ht="13.8" hidden="false" customHeight="false" outlineLevel="0" collapsed="false">
      <c r="A1044" s="0" t="s">
        <v>2447</v>
      </c>
      <c r="B1044" s="0" t="s">
        <v>2448</v>
      </c>
      <c r="C1044" s="0" t="s">
        <v>31</v>
      </c>
      <c r="D1044" s="0" t="s">
        <v>413</v>
      </c>
    </row>
    <row r="1045" customFormat="false" ht="13.8" hidden="false" customHeight="false" outlineLevel="0" collapsed="false">
      <c r="A1045" s="0" t="s">
        <v>2449</v>
      </c>
      <c r="B1045" s="0" t="s">
        <v>2450</v>
      </c>
      <c r="C1045" s="0" t="s">
        <v>31</v>
      </c>
      <c r="D1045" s="0" t="s">
        <v>2451</v>
      </c>
    </row>
    <row r="1046" customFormat="false" ht="13.8" hidden="false" customHeight="false" outlineLevel="0" collapsed="false">
      <c r="A1046" s="0" t="s">
        <v>2452</v>
      </c>
      <c r="B1046" s="0" t="s">
        <v>2453</v>
      </c>
      <c r="C1046" s="0" t="s">
        <v>31</v>
      </c>
      <c r="D1046" s="0" t="s">
        <v>413</v>
      </c>
    </row>
    <row r="1047" customFormat="false" ht="13.8" hidden="false" customHeight="false" outlineLevel="0" collapsed="false">
      <c r="A1047" s="0" t="s">
        <v>2454</v>
      </c>
      <c r="B1047" s="0" t="s">
        <v>2455</v>
      </c>
      <c r="C1047" s="0" t="s">
        <v>31</v>
      </c>
      <c r="D1047" s="0" t="s">
        <v>413</v>
      </c>
    </row>
    <row r="1048" customFormat="false" ht="13.8" hidden="false" customHeight="false" outlineLevel="0" collapsed="false">
      <c r="A1048" s="0" t="s">
        <v>2456</v>
      </c>
      <c r="B1048" s="0" t="s">
        <v>2457</v>
      </c>
      <c r="C1048" s="0" t="s">
        <v>31</v>
      </c>
      <c r="D1048" s="0" t="s">
        <v>1924</v>
      </c>
    </row>
    <row r="1049" customFormat="false" ht="13.8" hidden="false" customHeight="false" outlineLevel="0" collapsed="false">
      <c r="A1049" s="0" t="s">
        <v>2458</v>
      </c>
      <c r="B1049" s="0" t="s">
        <v>2459</v>
      </c>
      <c r="C1049" s="0" t="s">
        <v>31</v>
      </c>
      <c r="D1049" s="0" t="s">
        <v>1508</v>
      </c>
    </row>
    <row r="1050" customFormat="false" ht="13.8" hidden="false" customHeight="false" outlineLevel="0" collapsed="false">
      <c r="A1050" s="0" t="s">
        <v>2461</v>
      </c>
      <c r="B1050" s="0" t="s">
        <v>2462</v>
      </c>
      <c r="C1050" s="0" t="s">
        <v>31</v>
      </c>
      <c r="D1050" s="0" t="s">
        <v>413</v>
      </c>
    </row>
    <row r="1051" customFormat="false" ht="13.8" hidden="false" customHeight="false" outlineLevel="0" collapsed="false">
      <c r="A1051" s="0" t="s">
        <v>2464</v>
      </c>
      <c r="B1051" s="0" t="s">
        <v>2465</v>
      </c>
      <c r="C1051" s="0" t="s">
        <v>31</v>
      </c>
      <c r="D1051" s="0" t="s">
        <v>413</v>
      </c>
    </row>
    <row r="1052" customFormat="false" ht="13.8" hidden="false" customHeight="false" outlineLevel="0" collapsed="false">
      <c r="A1052" s="0" t="s">
        <v>2466</v>
      </c>
      <c r="B1052" s="0" t="s">
        <v>2467</v>
      </c>
      <c r="C1052" s="0" t="s">
        <v>31</v>
      </c>
      <c r="D1052" s="0" t="s">
        <v>16</v>
      </c>
    </row>
    <row r="1053" customFormat="false" ht="13.8" hidden="false" customHeight="false" outlineLevel="0" collapsed="false">
      <c r="A1053" s="0" t="s">
        <v>2469</v>
      </c>
      <c r="B1053" s="0" t="s">
        <v>2470</v>
      </c>
      <c r="C1053" s="0" t="s">
        <v>31</v>
      </c>
      <c r="D1053" s="0" t="s">
        <v>16</v>
      </c>
    </row>
    <row r="1054" customFormat="false" ht="13.8" hidden="false" customHeight="false" outlineLevel="0" collapsed="false">
      <c r="A1054" s="0" t="s">
        <v>2471</v>
      </c>
      <c r="B1054" s="0" t="s">
        <v>2472</v>
      </c>
      <c r="C1054" s="0" t="s">
        <v>31</v>
      </c>
      <c r="D1054" s="0" t="s">
        <v>2386</v>
      </c>
    </row>
    <row r="1055" customFormat="false" ht="13.8" hidden="false" customHeight="false" outlineLevel="0" collapsed="false">
      <c r="A1055" s="0" t="s">
        <v>2473</v>
      </c>
      <c r="B1055" s="0" t="s">
        <v>2474</v>
      </c>
      <c r="C1055" s="0" t="s">
        <v>31</v>
      </c>
      <c r="D1055" s="0" t="s">
        <v>16</v>
      </c>
    </row>
    <row r="1056" customFormat="false" ht="13.8" hidden="false" customHeight="false" outlineLevel="0" collapsed="false">
      <c r="A1056" s="0" t="s">
        <v>2475</v>
      </c>
      <c r="B1056" s="0" t="s">
        <v>2476</v>
      </c>
      <c r="C1056" s="0" t="s">
        <v>31</v>
      </c>
      <c r="D1056" s="0" t="s">
        <v>1704</v>
      </c>
    </row>
    <row r="1057" customFormat="false" ht="13.8" hidden="false" customHeight="false" outlineLevel="0" collapsed="false">
      <c r="A1057" s="0" t="s">
        <v>2477</v>
      </c>
      <c r="B1057" s="0" t="s">
        <v>2478</v>
      </c>
      <c r="C1057" s="0" t="s">
        <v>31</v>
      </c>
      <c r="D1057" s="0" t="s">
        <v>1704</v>
      </c>
    </row>
    <row r="1058" customFormat="false" ht="13.8" hidden="false" customHeight="false" outlineLevel="0" collapsed="false">
      <c r="A1058" s="0" t="s">
        <v>2479</v>
      </c>
      <c r="B1058" s="0" t="s">
        <v>2480</v>
      </c>
      <c r="C1058" s="0" t="s">
        <v>31</v>
      </c>
      <c r="D1058" s="0" t="s">
        <v>1957</v>
      </c>
    </row>
    <row r="1059" customFormat="false" ht="13.8" hidden="false" customHeight="false" outlineLevel="0" collapsed="false">
      <c r="A1059" s="0" t="s">
        <v>2481</v>
      </c>
      <c r="B1059" s="0" t="s">
        <v>2482</v>
      </c>
      <c r="C1059" s="0" t="s">
        <v>31</v>
      </c>
      <c r="D1059" s="0" t="s">
        <v>2435</v>
      </c>
    </row>
    <row r="1060" customFormat="false" ht="13.8" hidden="false" customHeight="false" outlineLevel="0" collapsed="false">
      <c r="A1060" s="0" t="s">
        <v>2483</v>
      </c>
      <c r="B1060" s="0" t="s">
        <v>712</v>
      </c>
      <c r="C1060" s="0" t="s">
        <v>31</v>
      </c>
      <c r="D1060" s="0" t="s">
        <v>24</v>
      </c>
    </row>
    <row r="1061" customFormat="false" ht="13.8" hidden="false" customHeight="false" outlineLevel="0" collapsed="false">
      <c r="A1061" s="0" t="s">
        <v>2485</v>
      </c>
      <c r="B1061" s="0" t="s">
        <v>2315</v>
      </c>
      <c r="C1061" s="0" t="s">
        <v>31</v>
      </c>
      <c r="D1061" s="0" t="s">
        <v>1592</v>
      </c>
    </row>
    <row r="1062" customFormat="false" ht="13.8" hidden="false" customHeight="false" outlineLevel="0" collapsed="false">
      <c r="A1062" s="0" t="s">
        <v>2486</v>
      </c>
      <c r="B1062" s="0" t="s">
        <v>2487</v>
      </c>
      <c r="C1062" s="0" t="s">
        <v>31</v>
      </c>
      <c r="D1062" s="0" t="s">
        <v>413</v>
      </c>
    </row>
    <row r="1063" customFormat="false" ht="13.8" hidden="false" customHeight="false" outlineLevel="0" collapsed="false">
      <c r="A1063" s="0" t="s">
        <v>2488</v>
      </c>
      <c r="B1063" s="0" t="s">
        <v>2489</v>
      </c>
      <c r="C1063" s="0" t="s">
        <v>31</v>
      </c>
      <c r="D1063" s="0" t="s">
        <v>413</v>
      </c>
    </row>
    <row r="1064" customFormat="false" ht="13.8" hidden="false" customHeight="false" outlineLevel="0" collapsed="false">
      <c r="A1064" s="0" t="s">
        <v>2490</v>
      </c>
      <c r="B1064" s="0" t="s">
        <v>2491</v>
      </c>
      <c r="C1064" s="0" t="s">
        <v>31</v>
      </c>
      <c r="D1064" s="0" t="s">
        <v>2492</v>
      </c>
    </row>
    <row r="1065" customFormat="false" ht="13.8" hidden="false" customHeight="false" outlineLevel="0" collapsed="false">
      <c r="A1065" s="0" t="s">
        <v>2493</v>
      </c>
      <c r="B1065" s="0" t="s">
        <v>2494</v>
      </c>
      <c r="C1065" s="0" t="s">
        <v>31</v>
      </c>
      <c r="D1065" s="0" t="s">
        <v>1924</v>
      </c>
    </row>
    <row r="1066" customFormat="false" ht="13.8" hidden="false" customHeight="false" outlineLevel="0" collapsed="false">
      <c r="A1066" s="0" t="s">
        <v>2495</v>
      </c>
      <c r="B1066" s="0" t="s">
        <v>2496</v>
      </c>
      <c r="C1066" s="0" t="s">
        <v>31</v>
      </c>
      <c r="D1066" s="0" t="s">
        <v>2072</v>
      </c>
    </row>
    <row r="1067" customFormat="false" ht="13.8" hidden="false" customHeight="false" outlineLevel="0" collapsed="false">
      <c r="A1067" s="0" t="s">
        <v>2497</v>
      </c>
      <c r="B1067" s="0" t="s">
        <v>2494</v>
      </c>
      <c r="C1067" s="0" t="s">
        <v>31</v>
      </c>
      <c r="D1067" s="0" t="s">
        <v>1592</v>
      </c>
    </row>
    <row r="1068" customFormat="false" ht="13.8" hidden="false" customHeight="false" outlineLevel="0" collapsed="false">
      <c r="A1068" s="0" t="s">
        <v>2498</v>
      </c>
      <c r="B1068" s="0" t="s">
        <v>1586</v>
      </c>
      <c r="C1068" s="0" t="s">
        <v>31</v>
      </c>
      <c r="D1068" s="0" t="s">
        <v>413</v>
      </c>
    </row>
    <row r="1069" customFormat="false" ht="13.8" hidden="false" customHeight="false" outlineLevel="0" collapsed="false">
      <c r="A1069" s="0" t="s">
        <v>2499</v>
      </c>
      <c r="B1069" s="0" t="s">
        <v>2500</v>
      </c>
      <c r="C1069" s="0" t="s">
        <v>31</v>
      </c>
      <c r="D1069" s="0" t="s">
        <v>413</v>
      </c>
    </row>
    <row r="1070" customFormat="false" ht="13.8" hidden="false" customHeight="false" outlineLevel="0" collapsed="false">
      <c r="A1070" s="0" t="s">
        <v>2501</v>
      </c>
      <c r="B1070" s="0" t="s">
        <v>2502</v>
      </c>
      <c r="C1070" s="0" t="s">
        <v>31</v>
      </c>
      <c r="D1070" s="0" t="s">
        <v>413</v>
      </c>
    </row>
    <row r="1071" customFormat="false" ht="13.8" hidden="false" customHeight="false" outlineLevel="0" collapsed="false">
      <c r="A1071" s="0" t="s">
        <v>2503</v>
      </c>
      <c r="B1071" s="0" t="s">
        <v>2007</v>
      </c>
      <c r="C1071" s="0" t="s">
        <v>31</v>
      </c>
      <c r="D1071" s="0" t="s">
        <v>19</v>
      </c>
    </row>
    <row r="1072" customFormat="false" ht="13.8" hidden="false" customHeight="false" outlineLevel="0" collapsed="false">
      <c r="A1072" s="0" t="s">
        <v>2506</v>
      </c>
      <c r="B1072" s="0" t="s">
        <v>2507</v>
      </c>
      <c r="C1072" s="0" t="s">
        <v>31</v>
      </c>
      <c r="D1072" s="0" t="s">
        <v>2492</v>
      </c>
    </row>
    <row r="1073" customFormat="false" ht="13.8" hidden="false" customHeight="false" outlineLevel="0" collapsed="false">
      <c r="A1073" s="0" t="s">
        <v>2508</v>
      </c>
      <c r="B1073" s="0" t="s">
        <v>2509</v>
      </c>
      <c r="C1073" s="0" t="s">
        <v>31</v>
      </c>
      <c r="D1073" s="0" t="s">
        <v>413</v>
      </c>
    </row>
    <row r="1074" customFormat="false" ht="13.8" hidden="false" customHeight="false" outlineLevel="0" collapsed="false">
      <c r="A1074" s="0" t="s">
        <v>2510</v>
      </c>
      <c r="B1074" s="0" t="s">
        <v>2511</v>
      </c>
      <c r="C1074" s="0" t="s">
        <v>31</v>
      </c>
      <c r="D1074" s="0" t="s">
        <v>2435</v>
      </c>
    </row>
    <row r="1075" customFormat="false" ht="13.8" hidden="false" customHeight="false" outlineLevel="0" collapsed="false">
      <c r="A1075" s="0" t="s">
        <v>2512</v>
      </c>
      <c r="B1075" s="0" t="s">
        <v>2513</v>
      </c>
      <c r="C1075" s="0" t="s">
        <v>31</v>
      </c>
      <c r="D1075" s="0" t="s">
        <v>413</v>
      </c>
    </row>
    <row r="1076" customFormat="false" ht="13.8" hidden="false" customHeight="false" outlineLevel="0" collapsed="false">
      <c r="A1076" s="0" t="s">
        <v>2514</v>
      </c>
      <c r="B1076" s="0" t="s">
        <v>2177</v>
      </c>
      <c r="C1076" s="0" t="s">
        <v>31</v>
      </c>
      <c r="D1076" s="0" t="s">
        <v>2515</v>
      </c>
    </row>
    <row r="1077" customFormat="false" ht="13.8" hidden="false" customHeight="false" outlineLevel="0" collapsed="false">
      <c r="A1077" s="0" t="s">
        <v>2516</v>
      </c>
      <c r="B1077" s="0" t="s">
        <v>2517</v>
      </c>
      <c r="C1077" s="0" t="s">
        <v>31</v>
      </c>
      <c r="D1077" s="0" t="s">
        <v>2072</v>
      </c>
    </row>
    <row r="1078" customFormat="false" ht="13.8" hidden="false" customHeight="false" outlineLevel="0" collapsed="false">
      <c r="A1078" s="0" t="s">
        <v>2519</v>
      </c>
      <c r="B1078" s="0" t="s">
        <v>2520</v>
      </c>
      <c r="C1078" s="0" t="s">
        <v>31</v>
      </c>
      <c r="D1078" s="0" t="s">
        <v>1592</v>
      </c>
    </row>
    <row r="1079" customFormat="false" ht="13.8" hidden="false" customHeight="false" outlineLevel="0" collapsed="false">
      <c r="A1079" s="0" t="s">
        <v>2521</v>
      </c>
      <c r="B1079" s="0" t="s">
        <v>2522</v>
      </c>
      <c r="C1079" s="0" t="s">
        <v>31</v>
      </c>
      <c r="D1079" s="0" t="s">
        <v>413</v>
      </c>
    </row>
    <row r="1080" customFormat="false" ht="13.8" hidden="false" customHeight="false" outlineLevel="0" collapsed="false">
      <c r="A1080" s="0" t="s">
        <v>2523</v>
      </c>
      <c r="B1080" s="0" t="s">
        <v>2524</v>
      </c>
      <c r="C1080" s="0" t="s">
        <v>31</v>
      </c>
      <c r="D1080" s="0" t="s">
        <v>2492</v>
      </c>
    </row>
    <row r="1081" customFormat="false" ht="13.8" hidden="false" customHeight="false" outlineLevel="0" collapsed="false">
      <c r="A1081" s="0" t="s">
        <v>2525</v>
      </c>
      <c r="B1081" s="0" t="s">
        <v>2526</v>
      </c>
      <c r="C1081" s="0" t="s">
        <v>31</v>
      </c>
      <c r="D1081" s="0" t="s">
        <v>1592</v>
      </c>
    </row>
    <row r="1082" customFormat="false" ht="13.8" hidden="false" customHeight="false" outlineLevel="0" collapsed="false">
      <c r="A1082" s="0" t="s">
        <v>2527</v>
      </c>
      <c r="B1082" s="0" t="s">
        <v>2528</v>
      </c>
      <c r="C1082" s="0" t="s">
        <v>31</v>
      </c>
      <c r="D1082" s="0" t="s">
        <v>413</v>
      </c>
    </row>
    <row r="1083" customFormat="false" ht="13.8" hidden="false" customHeight="false" outlineLevel="0" collapsed="false">
      <c r="A1083" s="0" t="s">
        <v>2529</v>
      </c>
      <c r="B1083" s="0" t="s">
        <v>2530</v>
      </c>
      <c r="C1083" s="0" t="s">
        <v>31</v>
      </c>
      <c r="D1083" s="0" t="s">
        <v>1924</v>
      </c>
    </row>
    <row r="1084" customFormat="false" ht="13.8" hidden="false" customHeight="false" outlineLevel="0" collapsed="false">
      <c r="A1084" s="0" t="s">
        <v>2531</v>
      </c>
      <c r="B1084" s="0" t="s">
        <v>2532</v>
      </c>
      <c r="C1084" s="0" t="s">
        <v>31</v>
      </c>
      <c r="D1084" s="0" t="s">
        <v>2323</v>
      </c>
    </row>
    <row r="1085" customFormat="false" ht="13.8" hidden="false" customHeight="false" outlineLevel="0" collapsed="false">
      <c r="A1085" s="0" t="s">
        <v>2533</v>
      </c>
      <c r="B1085" s="0" t="s">
        <v>2534</v>
      </c>
      <c r="C1085" s="0" t="s">
        <v>31</v>
      </c>
      <c r="D1085" s="0" t="s">
        <v>413</v>
      </c>
    </row>
    <row r="1086" customFormat="false" ht="13.8" hidden="false" customHeight="false" outlineLevel="0" collapsed="false">
      <c r="A1086" s="0" t="s">
        <v>2536</v>
      </c>
      <c r="B1086" s="0" t="s">
        <v>2537</v>
      </c>
      <c r="C1086" s="0" t="s">
        <v>31</v>
      </c>
      <c r="D1086" s="0" t="s">
        <v>1508</v>
      </c>
    </row>
    <row r="1087" customFormat="false" ht="13.8" hidden="false" customHeight="false" outlineLevel="0" collapsed="false">
      <c r="A1087" s="0" t="s">
        <v>2538</v>
      </c>
      <c r="B1087" s="0" t="s">
        <v>2539</v>
      </c>
      <c r="C1087" s="0" t="s">
        <v>31</v>
      </c>
      <c r="D1087" s="0" t="s">
        <v>2540</v>
      </c>
    </row>
    <row r="1088" customFormat="false" ht="13.8" hidden="false" customHeight="false" outlineLevel="0" collapsed="false">
      <c r="A1088" s="0" t="s">
        <v>2541</v>
      </c>
      <c r="B1088" s="0" t="s">
        <v>2542</v>
      </c>
      <c r="C1088" s="0" t="s">
        <v>31</v>
      </c>
      <c r="D1088" s="0" t="s">
        <v>1699</v>
      </c>
    </row>
    <row r="1089" customFormat="false" ht="13.8" hidden="false" customHeight="false" outlineLevel="0" collapsed="false">
      <c r="A1089" s="0" t="s">
        <v>2543</v>
      </c>
      <c r="B1089" s="0" t="s">
        <v>2544</v>
      </c>
      <c r="C1089" s="0" t="s">
        <v>31</v>
      </c>
      <c r="D1089" s="0" t="s">
        <v>2545</v>
      </c>
    </row>
    <row r="1090" customFormat="false" ht="13.8" hidden="false" customHeight="false" outlineLevel="0" collapsed="false">
      <c r="A1090" s="0" t="s">
        <v>2546</v>
      </c>
      <c r="B1090" s="0" t="s">
        <v>2547</v>
      </c>
      <c r="C1090" s="0" t="s">
        <v>31</v>
      </c>
      <c r="D1090" s="0" t="s">
        <v>413</v>
      </c>
    </row>
    <row r="1091" customFormat="false" ht="13.8" hidden="false" customHeight="false" outlineLevel="0" collapsed="false">
      <c r="A1091" s="0" t="s">
        <v>2548</v>
      </c>
      <c r="B1091" s="0" t="s">
        <v>2549</v>
      </c>
      <c r="C1091" s="0" t="s">
        <v>31</v>
      </c>
      <c r="D1091" s="0" t="s">
        <v>1957</v>
      </c>
    </row>
    <row r="1092" customFormat="false" ht="13.8" hidden="false" customHeight="false" outlineLevel="0" collapsed="false">
      <c r="A1092" s="0" t="s">
        <v>2550</v>
      </c>
      <c r="B1092" s="0" t="s">
        <v>2551</v>
      </c>
      <c r="C1092" s="0" t="s">
        <v>31</v>
      </c>
      <c r="D1092" s="0" t="s">
        <v>2552</v>
      </c>
    </row>
    <row r="1093" customFormat="false" ht="13.8" hidden="false" customHeight="false" outlineLevel="0" collapsed="false">
      <c r="A1093" s="0" t="s">
        <v>2553</v>
      </c>
      <c r="B1093" s="0" t="s">
        <v>2554</v>
      </c>
      <c r="C1093" s="0" t="s">
        <v>31</v>
      </c>
      <c r="D1093" s="0" t="s">
        <v>1561</v>
      </c>
    </row>
    <row r="1094" customFormat="false" ht="13.8" hidden="false" customHeight="false" outlineLevel="0" collapsed="false">
      <c r="A1094" s="0" t="s">
        <v>2555</v>
      </c>
      <c r="B1094" s="0" t="s">
        <v>2556</v>
      </c>
      <c r="C1094" s="0" t="s">
        <v>31</v>
      </c>
      <c r="D1094" s="0" t="s">
        <v>2072</v>
      </c>
    </row>
    <row r="1095" customFormat="false" ht="13.8" hidden="false" customHeight="false" outlineLevel="0" collapsed="false">
      <c r="A1095" s="0" t="s">
        <v>2557</v>
      </c>
      <c r="B1095" s="0" t="s">
        <v>2558</v>
      </c>
      <c r="C1095" s="0" t="s">
        <v>31</v>
      </c>
      <c r="D1095" s="0" t="s">
        <v>1704</v>
      </c>
    </row>
    <row r="1096" customFormat="false" ht="13.8" hidden="false" customHeight="false" outlineLevel="0" collapsed="false">
      <c r="A1096" s="0" t="s">
        <v>2559</v>
      </c>
      <c r="B1096" s="0" t="s">
        <v>2560</v>
      </c>
      <c r="C1096" s="0" t="s">
        <v>31</v>
      </c>
      <c r="D1096" s="0" t="s">
        <v>19</v>
      </c>
    </row>
    <row r="1097" customFormat="false" ht="13.8" hidden="false" customHeight="false" outlineLevel="0" collapsed="false">
      <c r="A1097" s="0" t="s">
        <v>2562</v>
      </c>
      <c r="B1097" s="0" t="s">
        <v>2563</v>
      </c>
      <c r="C1097" s="0" t="s">
        <v>31</v>
      </c>
      <c r="D1097" s="0" t="s">
        <v>16</v>
      </c>
    </row>
    <row r="1098" customFormat="false" ht="13.8" hidden="false" customHeight="false" outlineLevel="0" collapsed="false">
      <c r="A1098" s="0" t="s">
        <v>2564</v>
      </c>
      <c r="B1098" s="0" t="s">
        <v>2565</v>
      </c>
      <c r="C1098" s="0" t="s">
        <v>31</v>
      </c>
      <c r="D1098" s="0" t="s">
        <v>1508</v>
      </c>
    </row>
    <row r="1099" customFormat="false" ht="13.8" hidden="false" customHeight="false" outlineLevel="0" collapsed="false">
      <c r="A1099" s="0" t="s">
        <v>2566</v>
      </c>
      <c r="B1099" s="0" t="s">
        <v>2567</v>
      </c>
      <c r="C1099" s="0" t="s">
        <v>31</v>
      </c>
      <c r="D1099" s="0" t="s">
        <v>2568</v>
      </c>
    </row>
    <row r="1100" customFormat="false" ht="13.8" hidden="false" customHeight="false" outlineLevel="0" collapsed="false">
      <c r="A1100" s="0" t="s">
        <v>2569</v>
      </c>
      <c r="B1100" s="0" t="s">
        <v>2570</v>
      </c>
      <c r="C1100" s="0" t="s">
        <v>31</v>
      </c>
      <c r="D1100" s="0" t="s">
        <v>2072</v>
      </c>
    </row>
    <row r="1101" customFormat="false" ht="13.8" hidden="false" customHeight="false" outlineLevel="0" collapsed="false">
      <c r="A1101" s="0" t="s">
        <v>2571</v>
      </c>
      <c r="B1101" s="0" t="s">
        <v>2572</v>
      </c>
      <c r="C1101" s="0" t="s">
        <v>31</v>
      </c>
      <c r="D1101" s="0" t="s">
        <v>1540</v>
      </c>
    </row>
    <row r="1102" customFormat="false" ht="13.8" hidden="false" customHeight="false" outlineLevel="0" collapsed="false">
      <c r="A1102" s="0" t="s">
        <v>2573</v>
      </c>
      <c r="B1102" s="0" t="s">
        <v>2574</v>
      </c>
      <c r="C1102" s="0" t="s">
        <v>31</v>
      </c>
      <c r="D1102" s="0" t="s">
        <v>1569</v>
      </c>
    </row>
    <row r="1103" customFormat="false" ht="13.8" hidden="false" customHeight="false" outlineLevel="0" collapsed="false">
      <c r="A1103" s="0" t="s">
        <v>2575</v>
      </c>
      <c r="B1103" s="0" t="s">
        <v>2576</v>
      </c>
      <c r="C1103" s="0" t="s">
        <v>31</v>
      </c>
      <c r="D1103" s="0" t="s">
        <v>2221</v>
      </c>
    </row>
    <row r="1104" customFormat="false" ht="13.8" hidden="false" customHeight="false" outlineLevel="0" collapsed="false">
      <c r="A1104" s="0" t="s">
        <v>2577</v>
      </c>
      <c r="B1104" s="0" t="s">
        <v>2578</v>
      </c>
      <c r="C1104" s="0" t="s">
        <v>31</v>
      </c>
      <c r="D1104" s="0" t="s">
        <v>2552</v>
      </c>
    </row>
    <row r="1105" customFormat="false" ht="13.8" hidden="false" customHeight="false" outlineLevel="0" collapsed="false">
      <c r="A1105" s="0" t="s">
        <v>2579</v>
      </c>
      <c r="B1105" s="0" t="s">
        <v>2580</v>
      </c>
      <c r="C1105" s="0" t="s">
        <v>31</v>
      </c>
      <c r="D1105" s="0" t="s">
        <v>1761</v>
      </c>
    </row>
    <row r="1106" customFormat="false" ht="13.8" hidden="false" customHeight="false" outlineLevel="0" collapsed="false">
      <c r="A1106" s="0" t="s">
        <v>2581</v>
      </c>
      <c r="B1106" s="0" t="s">
        <v>2582</v>
      </c>
      <c r="C1106" s="0" t="s">
        <v>31</v>
      </c>
      <c r="D1106" s="0" t="s">
        <v>19</v>
      </c>
    </row>
    <row r="1107" customFormat="false" ht="13.8" hidden="false" customHeight="false" outlineLevel="0" collapsed="false">
      <c r="A1107" s="0" t="s">
        <v>2583</v>
      </c>
      <c r="B1107" s="0" t="s">
        <v>2584</v>
      </c>
      <c r="C1107" s="0" t="s">
        <v>31</v>
      </c>
      <c r="D1107" s="0" t="s">
        <v>1814</v>
      </c>
    </row>
    <row r="1108" customFormat="false" ht="13.8" hidden="false" customHeight="false" outlineLevel="0" collapsed="false">
      <c r="A1108" s="0" t="s">
        <v>2585</v>
      </c>
      <c r="B1108" s="0" t="s">
        <v>2586</v>
      </c>
      <c r="C1108" s="0" t="s">
        <v>31</v>
      </c>
      <c r="D1108" s="0" t="s">
        <v>1814</v>
      </c>
    </row>
    <row r="1109" customFormat="false" ht="13.8" hidden="false" customHeight="false" outlineLevel="0" collapsed="false">
      <c r="A1109" s="0" t="s">
        <v>2587</v>
      </c>
      <c r="B1109" s="0" t="s">
        <v>2588</v>
      </c>
      <c r="C1109" s="0" t="s">
        <v>31</v>
      </c>
      <c r="D1109" s="0" t="s">
        <v>413</v>
      </c>
    </row>
    <row r="1110" customFormat="false" ht="13.8" hidden="false" customHeight="false" outlineLevel="0" collapsed="false">
      <c r="A1110" s="0" t="s">
        <v>2589</v>
      </c>
      <c r="B1110" s="0" t="s">
        <v>2590</v>
      </c>
      <c r="C1110" s="0" t="s">
        <v>31</v>
      </c>
      <c r="D1110" s="0" t="s">
        <v>2591</v>
      </c>
    </row>
    <row r="1111" customFormat="false" ht="13.8" hidden="false" customHeight="false" outlineLevel="0" collapsed="false">
      <c r="A1111" s="0" t="s">
        <v>2592</v>
      </c>
      <c r="B1111" s="0" t="s">
        <v>2593</v>
      </c>
      <c r="C1111" s="0" t="s">
        <v>31</v>
      </c>
      <c r="D1111" s="0" t="s">
        <v>413</v>
      </c>
    </row>
    <row r="1112" customFormat="false" ht="13.8" hidden="false" customHeight="false" outlineLevel="0" collapsed="false">
      <c r="A1112" s="0" t="s">
        <v>2594</v>
      </c>
      <c r="B1112" s="0" t="s">
        <v>2595</v>
      </c>
      <c r="C1112" s="0" t="s">
        <v>31</v>
      </c>
      <c r="D1112" s="0" t="s">
        <v>1924</v>
      </c>
    </row>
    <row r="1113" customFormat="false" ht="13.8" hidden="false" customHeight="false" outlineLevel="0" collapsed="false">
      <c r="A1113" s="0" t="s">
        <v>2596</v>
      </c>
      <c r="B1113" s="0" t="s">
        <v>2597</v>
      </c>
      <c r="C1113" s="0" t="s">
        <v>31</v>
      </c>
      <c r="D1113" s="0" t="s">
        <v>2598</v>
      </c>
    </row>
    <row r="1114" customFormat="false" ht="13.8" hidden="false" customHeight="false" outlineLevel="0" collapsed="false">
      <c r="A1114" s="0" t="s">
        <v>2599</v>
      </c>
      <c r="B1114" s="0" t="s">
        <v>2600</v>
      </c>
      <c r="C1114" s="0" t="s">
        <v>31</v>
      </c>
      <c r="D1114" s="0" t="s">
        <v>413</v>
      </c>
    </row>
    <row r="1115" customFormat="false" ht="13.8" hidden="false" customHeight="false" outlineLevel="0" collapsed="false">
      <c r="A1115" s="0" t="s">
        <v>2601</v>
      </c>
      <c r="B1115" s="0" t="s">
        <v>2602</v>
      </c>
      <c r="C1115" s="0" t="s">
        <v>31</v>
      </c>
      <c r="D1115" s="0" t="s">
        <v>1699</v>
      </c>
    </row>
    <row r="1116" customFormat="false" ht="13.8" hidden="false" customHeight="false" outlineLevel="0" collapsed="false">
      <c r="A1116" s="0" t="s">
        <v>2603</v>
      </c>
      <c r="B1116" s="0" t="s">
        <v>2604</v>
      </c>
      <c r="C1116" s="0" t="s">
        <v>31</v>
      </c>
      <c r="D1116" s="0" t="s">
        <v>2072</v>
      </c>
    </row>
    <row r="1117" customFormat="false" ht="13.8" hidden="false" customHeight="false" outlineLevel="0" collapsed="false">
      <c r="A1117" s="0" t="s">
        <v>2605</v>
      </c>
      <c r="B1117" s="0" t="s">
        <v>2606</v>
      </c>
      <c r="C1117" s="0" t="s">
        <v>31</v>
      </c>
      <c r="D1117" s="0" t="s">
        <v>2072</v>
      </c>
    </row>
    <row r="1118" customFormat="false" ht="13.8" hidden="false" customHeight="false" outlineLevel="0" collapsed="false">
      <c r="A1118" s="0" t="s">
        <v>2607</v>
      </c>
      <c r="B1118" s="0" t="s">
        <v>2608</v>
      </c>
      <c r="C1118" s="0" t="s">
        <v>31</v>
      </c>
      <c r="D1118" s="0" t="s">
        <v>19</v>
      </c>
    </row>
    <row r="1119" customFormat="false" ht="13.8" hidden="false" customHeight="false" outlineLevel="0" collapsed="false">
      <c r="A1119" s="0" t="s">
        <v>2609</v>
      </c>
      <c r="B1119" s="0" t="s">
        <v>2363</v>
      </c>
      <c r="C1119" s="0" t="s">
        <v>31</v>
      </c>
      <c r="D1119" s="0" t="s">
        <v>2364</v>
      </c>
    </row>
    <row r="1120" customFormat="false" ht="13.8" hidden="false" customHeight="false" outlineLevel="0" collapsed="false">
      <c r="A1120" s="0" t="s">
        <v>2610</v>
      </c>
      <c r="B1120" s="0" t="s">
        <v>2611</v>
      </c>
      <c r="C1120" s="0" t="s">
        <v>31</v>
      </c>
      <c r="D1120" s="0" t="s">
        <v>413</v>
      </c>
    </row>
    <row r="1121" customFormat="false" ht="13.8" hidden="false" customHeight="false" outlineLevel="0" collapsed="false">
      <c r="A1121" s="0" t="s">
        <v>2613</v>
      </c>
      <c r="B1121" s="0" t="s">
        <v>2614</v>
      </c>
      <c r="C1121" s="0" t="s">
        <v>31</v>
      </c>
      <c r="D1121" s="0" t="s">
        <v>19</v>
      </c>
    </row>
    <row r="1122" customFormat="false" ht="13.8" hidden="false" customHeight="false" outlineLevel="0" collapsed="false">
      <c r="A1122" s="0" t="s">
        <v>2615</v>
      </c>
      <c r="B1122" s="0" t="s">
        <v>2616</v>
      </c>
      <c r="C1122" s="0" t="s">
        <v>31</v>
      </c>
      <c r="D1122" s="0" t="s">
        <v>2617</v>
      </c>
    </row>
    <row r="1123" customFormat="false" ht="13.8" hidden="false" customHeight="false" outlineLevel="0" collapsed="false">
      <c r="A1123" s="0" t="s">
        <v>2619</v>
      </c>
      <c r="B1123" s="0" t="s">
        <v>2620</v>
      </c>
      <c r="C1123" s="0" t="s">
        <v>31</v>
      </c>
      <c r="D1123" s="0" t="s">
        <v>1508</v>
      </c>
    </row>
    <row r="1124" customFormat="false" ht="13.8" hidden="false" customHeight="false" outlineLevel="0" collapsed="false">
      <c r="A1124" s="0" t="s">
        <v>2621</v>
      </c>
      <c r="B1124" s="0" t="s">
        <v>2622</v>
      </c>
      <c r="C1124" s="0" t="s">
        <v>31</v>
      </c>
      <c r="D1124" s="0" t="s">
        <v>2072</v>
      </c>
    </row>
    <row r="1125" customFormat="false" ht="13.8" hidden="false" customHeight="false" outlineLevel="0" collapsed="false">
      <c r="A1125" s="0" t="s">
        <v>2623</v>
      </c>
      <c r="B1125" s="0" t="s">
        <v>2624</v>
      </c>
      <c r="C1125" s="3" t="s">
        <v>31</v>
      </c>
      <c r="D1125" s="0" t="s">
        <v>1814</v>
      </c>
    </row>
    <row r="1126" customFormat="false" ht="13.8" hidden="false" customHeight="false" outlineLevel="0" collapsed="false">
      <c r="A1126" s="0" t="s">
        <v>2625</v>
      </c>
      <c r="B1126" s="0" t="s">
        <v>2626</v>
      </c>
      <c r="C1126" s="0" t="s">
        <v>31</v>
      </c>
      <c r="D1126" s="0" t="s">
        <v>413</v>
      </c>
    </row>
    <row r="1127" customFormat="false" ht="13.8" hidden="false" customHeight="false" outlineLevel="0" collapsed="false">
      <c r="A1127" s="0" t="s">
        <v>2627</v>
      </c>
      <c r="B1127" s="0" t="s">
        <v>2628</v>
      </c>
      <c r="C1127" s="0" t="s">
        <v>31</v>
      </c>
      <c r="D1127" s="0" t="s">
        <v>2629</v>
      </c>
    </row>
    <row r="1128" customFormat="false" ht="13.8" hidden="false" customHeight="false" outlineLevel="0" collapsed="false">
      <c r="A1128" s="0" t="s">
        <v>2630</v>
      </c>
      <c r="B1128" s="0" t="s">
        <v>2631</v>
      </c>
      <c r="C1128" s="0" t="s">
        <v>31</v>
      </c>
      <c r="D1128" s="0" t="s">
        <v>413</v>
      </c>
    </row>
    <row r="1129" customFormat="false" ht="13.8" hidden="false" customHeight="false" outlineLevel="0" collapsed="false">
      <c r="A1129" s="0" t="s">
        <v>2632</v>
      </c>
      <c r="B1129" s="0" t="s">
        <v>2633</v>
      </c>
      <c r="C1129" s="0" t="s">
        <v>31</v>
      </c>
      <c r="D1129" s="0" t="s">
        <v>413</v>
      </c>
    </row>
    <row r="1130" customFormat="false" ht="13.8" hidden="false" customHeight="false" outlineLevel="0" collapsed="false">
      <c r="A1130" s="0" t="s">
        <v>2635</v>
      </c>
      <c r="B1130" s="0" t="s">
        <v>2636</v>
      </c>
      <c r="C1130" s="0" t="s">
        <v>31</v>
      </c>
      <c r="D1130" s="0" t="s">
        <v>1699</v>
      </c>
    </row>
    <row r="1131" customFormat="false" ht="13.8" hidden="false" customHeight="false" outlineLevel="0" collapsed="false">
      <c r="A1131" s="0" t="s">
        <v>2637</v>
      </c>
      <c r="B1131" s="0" t="s">
        <v>2638</v>
      </c>
      <c r="C1131" s="0" t="s">
        <v>31</v>
      </c>
      <c r="D1131" s="0" t="s">
        <v>413</v>
      </c>
    </row>
    <row r="1132" customFormat="false" ht="13.8" hidden="false" customHeight="false" outlineLevel="0" collapsed="false">
      <c r="A1132" s="0" t="s">
        <v>2639</v>
      </c>
      <c r="B1132" s="0" t="s">
        <v>2640</v>
      </c>
      <c r="C1132" s="0" t="s">
        <v>31</v>
      </c>
      <c r="D1132" s="0" t="s">
        <v>69</v>
      </c>
    </row>
    <row r="1133" customFormat="false" ht="13.8" hidden="false" customHeight="false" outlineLevel="0" collapsed="false">
      <c r="A1133" s="0" t="s">
        <v>2641</v>
      </c>
      <c r="B1133" s="0" t="s">
        <v>2642</v>
      </c>
      <c r="C1133" s="0" t="s">
        <v>31</v>
      </c>
      <c r="D1133" s="0" t="s">
        <v>1540</v>
      </c>
    </row>
    <row r="1134" customFormat="false" ht="13.8" hidden="false" customHeight="false" outlineLevel="0" collapsed="false">
      <c r="A1134" s="0" t="s">
        <v>2643</v>
      </c>
      <c r="B1134" s="0" t="s">
        <v>2644</v>
      </c>
      <c r="C1134" s="0" t="s">
        <v>31</v>
      </c>
      <c r="D1134" s="0" t="s">
        <v>413</v>
      </c>
    </row>
    <row r="1135" customFormat="false" ht="13.8" hidden="false" customHeight="false" outlineLevel="0" collapsed="false">
      <c r="A1135" s="0" t="s">
        <v>2645</v>
      </c>
      <c r="B1135" s="0" t="s">
        <v>2646</v>
      </c>
      <c r="C1135" s="0" t="s">
        <v>31</v>
      </c>
      <c r="D1135" s="0" t="s">
        <v>413</v>
      </c>
    </row>
    <row r="1136" customFormat="false" ht="13.8" hidden="false" customHeight="false" outlineLevel="0" collapsed="false">
      <c r="A1136" s="0" t="s">
        <v>2647</v>
      </c>
      <c r="B1136" s="0" t="s">
        <v>2648</v>
      </c>
      <c r="C1136" s="0" t="s">
        <v>31</v>
      </c>
      <c r="D1136" s="0" t="s">
        <v>1699</v>
      </c>
    </row>
    <row r="1137" customFormat="false" ht="13.8" hidden="false" customHeight="false" outlineLevel="0" collapsed="false">
      <c r="A1137" s="0" t="s">
        <v>2649</v>
      </c>
      <c r="B1137" s="0" t="s">
        <v>2650</v>
      </c>
      <c r="C1137" s="0" t="s">
        <v>31</v>
      </c>
      <c r="D1137" s="0" t="s">
        <v>1957</v>
      </c>
    </row>
    <row r="1138" customFormat="false" ht="13.8" hidden="false" customHeight="false" outlineLevel="0" collapsed="false">
      <c r="A1138" s="0" t="s">
        <v>2651</v>
      </c>
      <c r="B1138" s="0" t="s">
        <v>2652</v>
      </c>
      <c r="C1138" s="0" t="s">
        <v>31</v>
      </c>
      <c r="D1138" s="0" t="s">
        <v>413</v>
      </c>
    </row>
    <row r="1139" customFormat="false" ht="13.8" hidden="false" customHeight="false" outlineLevel="0" collapsed="false">
      <c r="A1139" s="0" t="s">
        <v>2653</v>
      </c>
      <c r="B1139" s="0" t="s">
        <v>2654</v>
      </c>
      <c r="C1139" s="0" t="s">
        <v>31</v>
      </c>
      <c r="D1139" s="0" t="s">
        <v>413</v>
      </c>
    </row>
    <row r="1140" customFormat="false" ht="13.8" hidden="false" customHeight="false" outlineLevel="0" collapsed="false">
      <c r="A1140" s="0" t="s">
        <v>2655</v>
      </c>
      <c r="B1140" s="0" t="s">
        <v>2656</v>
      </c>
      <c r="C1140" s="0" t="s">
        <v>31</v>
      </c>
      <c r="D1140" s="0" t="s">
        <v>413</v>
      </c>
    </row>
    <row r="1141" customFormat="false" ht="13.8" hidden="false" customHeight="false" outlineLevel="0" collapsed="false">
      <c r="A1141" s="0" t="s">
        <v>2657</v>
      </c>
      <c r="B1141" s="0" t="s">
        <v>2570</v>
      </c>
      <c r="C1141" s="0" t="s">
        <v>31</v>
      </c>
      <c r="D1141" s="0" t="s">
        <v>2072</v>
      </c>
    </row>
    <row r="1142" customFormat="false" ht="13.8" hidden="false" customHeight="false" outlineLevel="0" collapsed="false">
      <c r="A1142" s="0" t="s">
        <v>2658</v>
      </c>
      <c r="B1142" s="0" t="s">
        <v>2659</v>
      </c>
      <c r="C1142" s="0" t="s">
        <v>31</v>
      </c>
      <c r="D1142" s="0" t="s">
        <v>2660</v>
      </c>
    </row>
    <row r="1143" customFormat="false" ht="13.8" hidden="false" customHeight="false" outlineLevel="0" collapsed="false">
      <c r="A1143" s="0" t="s">
        <v>2661</v>
      </c>
      <c r="B1143" s="0" t="s">
        <v>2662</v>
      </c>
      <c r="C1143" s="0" t="s">
        <v>31</v>
      </c>
      <c r="D1143" s="0" t="s">
        <v>1737</v>
      </c>
    </row>
    <row r="1144" customFormat="false" ht="13.8" hidden="false" customHeight="false" outlineLevel="0" collapsed="false">
      <c r="A1144" s="0" t="s">
        <v>2663</v>
      </c>
      <c r="B1144" s="0" t="s">
        <v>324</v>
      </c>
      <c r="C1144" s="0" t="s">
        <v>31</v>
      </c>
      <c r="D1144" s="0" t="s">
        <v>413</v>
      </c>
    </row>
    <row r="1145" customFormat="false" ht="13.8" hidden="false" customHeight="false" outlineLevel="0" collapsed="false">
      <c r="A1145" s="0" t="s">
        <v>2664</v>
      </c>
      <c r="B1145" s="0" t="s">
        <v>2665</v>
      </c>
      <c r="C1145" s="0" t="s">
        <v>31</v>
      </c>
      <c r="D1145" s="0" t="s">
        <v>2221</v>
      </c>
    </row>
    <row r="1146" customFormat="false" ht="13.8" hidden="false" customHeight="false" outlineLevel="0" collapsed="false">
      <c r="A1146" s="0" t="s">
        <v>2666</v>
      </c>
      <c r="B1146" s="0" t="s">
        <v>2667</v>
      </c>
      <c r="C1146" s="0" t="s">
        <v>31</v>
      </c>
      <c r="D1146" s="0" t="s">
        <v>2668</v>
      </c>
    </row>
    <row r="1147" customFormat="false" ht="13.8" hidden="false" customHeight="false" outlineLevel="0" collapsed="false">
      <c r="A1147" s="0" t="s">
        <v>2669</v>
      </c>
      <c r="B1147" s="0" t="s">
        <v>2670</v>
      </c>
      <c r="C1147" s="0" t="s">
        <v>31</v>
      </c>
      <c r="D1147" s="0" t="s">
        <v>2671</v>
      </c>
    </row>
    <row r="1148" customFormat="false" ht="13.8" hidden="false" customHeight="false" outlineLevel="0" collapsed="false">
      <c r="A1148" s="0" t="s">
        <v>2672</v>
      </c>
      <c r="B1148" s="0" t="s">
        <v>2673</v>
      </c>
      <c r="C1148" s="0" t="s">
        <v>31</v>
      </c>
      <c r="D1148" s="0" t="s">
        <v>413</v>
      </c>
    </row>
    <row r="1149" customFormat="false" ht="13.8" hidden="false" customHeight="false" outlineLevel="0" collapsed="false">
      <c r="A1149" s="0" t="s">
        <v>2674</v>
      </c>
      <c r="B1149" s="0" t="s">
        <v>2675</v>
      </c>
      <c r="C1149" s="0" t="s">
        <v>31</v>
      </c>
      <c r="D1149" s="0" t="s">
        <v>1540</v>
      </c>
    </row>
    <row r="1150" customFormat="false" ht="13.8" hidden="false" customHeight="false" outlineLevel="0" collapsed="false">
      <c r="A1150" s="0" t="s">
        <v>2676</v>
      </c>
      <c r="B1150" s="0" t="s">
        <v>2677</v>
      </c>
      <c r="C1150" s="0" t="s">
        <v>31</v>
      </c>
      <c r="D1150" s="0" t="s">
        <v>2678</v>
      </c>
    </row>
    <row r="1151" customFormat="false" ht="13.8" hidden="false" customHeight="false" outlineLevel="0" collapsed="false">
      <c r="A1151" s="0" t="s">
        <v>2679</v>
      </c>
      <c r="B1151" s="0" t="s">
        <v>2680</v>
      </c>
      <c r="C1151" s="0" t="s">
        <v>31</v>
      </c>
      <c r="D1151" s="0" t="s">
        <v>2221</v>
      </c>
    </row>
    <row r="1152" customFormat="false" ht="13.8" hidden="false" customHeight="false" outlineLevel="0" collapsed="false">
      <c r="A1152" s="0" t="s">
        <v>2681</v>
      </c>
      <c r="B1152" s="0" t="s">
        <v>2682</v>
      </c>
      <c r="C1152" s="0" t="s">
        <v>31</v>
      </c>
      <c r="D1152" s="0" t="s">
        <v>19</v>
      </c>
    </row>
    <row r="1153" customFormat="false" ht="13.8" hidden="false" customHeight="false" outlineLevel="0" collapsed="false">
      <c r="A1153" s="0" t="s">
        <v>2683</v>
      </c>
      <c r="B1153" s="0" t="s">
        <v>2684</v>
      </c>
      <c r="C1153" s="0" t="s">
        <v>31</v>
      </c>
      <c r="D1153" s="0" t="s">
        <v>1651</v>
      </c>
    </row>
    <row r="1154" customFormat="false" ht="13.8" hidden="false" customHeight="false" outlineLevel="0" collapsed="false">
      <c r="A1154" s="0" t="s">
        <v>2685</v>
      </c>
      <c r="B1154" s="0" t="s">
        <v>2686</v>
      </c>
      <c r="C1154" s="0" t="s">
        <v>31</v>
      </c>
      <c r="D1154" s="0" t="s">
        <v>2687</v>
      </c>
    </row>
    <row r="1155" customFormat="false" ht="13.8" hidden="false" customHeight="false" outlineLevel="0" collapsed="false">
      <c r="A1155" s="0" t="s">
        <v>2688</v>
      </c>
      <c r="B1155" s="0" t="s">
        <v>2689</v>
      </c>
      <c r="C1155" s="0" t="s">
        <v>31</v>
      </c>
      <c r="D1155" s="0" t="s">
        <v>1527</v>
      </c>
    </row>
    <row r="1156" customFormat="false" ht="13.8" hidden="false" customHeight="false" outlineLevel="0" collapsed="false">
      <c r="A1156" s="0" t="s">
        <v>2690</v>
      </c>
      <c r="B1156" s="0" t="s">
        <v>2691</v>
      </c>
      <c r="C1156" s="0" t="s">
        <v>31</v>
      </c>
      <c r="D1156" s="0" t="s">
        <v>1651</v>
      </c>
    </row>
    <row r="1157" customFormat="false" ht="13.8" hidden="false" customHeight="false" outlineLevel="0" collapsed="false">
      <c r="A1157" s="0" t="s">
        <v>2692</v>
      </c>
      <c r="B1157" s="0" t="s">
        <v>2693</v>
      </c>
      <c r="C1157" s="0" t="s">
        <v>31</v>
      </c>
      <c r="D1157" s="0" t="s">
        <v>1527</v>
      </c>
    </row>
    <row r="1158" customFormat="false" ht="13.8" hidden="false" customHeight="false" outlineLevel="0" collapsed="false">
      <c r="A1158" s="0" t="s">
        <v>2694</v>
      </c>
      <c r="B1158" s="0" t="s">
        <v>2695</v>
      </c>
      <c r="C1158" s="0" t="s">
        <v>31</v>
      </c>
      <c r="D1158" s="0" t="s">
        <v>1699</v>
      </c>
    </row>
    <row r="1159" customFormat="false" ht="13.8" hidden="false" customHeight="false" outlineLevel="0" collapsed="false">
      <c r="A1159" s="0" t="s">
        <v>2696</v>
      </c>
      <c r="B1159" s="0" t="s">
        <v>2697</v>
      </c>
      <c r="C1159" s="0" t="s">
        <v>31</v>
      </c>
      <c r="D1159" s="0" t="s">
        <v>1540</v>
      </c>
    </row>
    <row r="1160" customFormat="false" ht="13.8" hidden="false" customHeight="false" outlineLevel="0" collapsed="false">
      <c r="A1160" s="0" t="s">
        <v>2698</v>
      </c>
      <c r="B1160" s="0" t="s">
        <v>2699</v>
      </c>
      <c r="C1160" s="0" t="s">
        <v>31</v>
      </c>
      <c r="D1160" s="0" t="s">
        <v>1704</v>
      </c>
    </row>
    <row r="1161" customFormat="false" ht="13.8" hidden="false" customHeight="false" outlineLevel="0" collapsed="false">
      <c r="A1161" s="0" t="s">
        <v>2700</v>
      </c>
      <c r="B1161" s="0" t="s">
        <v>2110</v>
      </c>
      <c r="C1161" s="0" t="s">
        <v>31</v>
      </c>
      <c r="D1161" s="0" t="s">
        <v>2701</v>
      </c>
    </row>
    <row r="1162" customFormat="false" ht="13.8" hidden="false" customHeight="false" outlineLevel="0" collapsed="false">
      <c r="A1162" s="0" t="s">
        <v>2702</v>
      </c>
      <c r="B1162" s="0" t="s">
        <v>2703</v>
      </c>
      <c r="C1162" s="0" t="s">
        <v>31</v>
      </c>
      <c r="D1162" s="0" t="s">
        <v>413</v>
      </c>
    </row>
    <row r="1163" customFormat="false" ht="13.8" hidden="false" customHeight="false" outlineLevel="0" collapsed="false">
      <c r="A1163" s="0" t="s">
        <v>2704</v>
      </c>
      <c r="B1163" s="0" t="s">
        <v>2705</v>
      </c>
      <c r="C1163" s="0" t="s">
        <v>31</v>
      </c>
      <c r="D1163" s="0" t="s">
        <v>1814</v>
      </c>
    </row>
    <row r="1164" customFormat="false" ht="13.8" hidden="false" customHeight="false" outlineLevel="0" collapsed="false">
      <c r="A1164" s="0" t="s">
        <v>2706</v>
      </c>
      <c r="B1164" s="0" t="s">
        <v>2707</v>
      </c>
      <c r="C1164" s="0" t="s">
        <v>31</v>
      </c>
      <c r="D1164" s="0" t="s">
        <v>1814</v>
      </c>
    </row>
    <row r="1165" customFormat="false" ht="13.8" hidden="false" customHeight="false" outlineLevel="0" collapsed="false">
      <c r="A1165" s="0" t="s">
        <v>2708</v>
      </c>
      <c r="B1165" s="0" t="s">
        <v>2709</v>
      </c>
      <c r="C1165" s="0" t="s">
        <v>31</v>
      </c>
      <c r="D1165" s="0" t="s">
        <v>2072</v>
      </c>
    </row>
    <row r="1166" customFormat="false" ht="13.8" hidden="false" customHeight="false" outlineLevel="0" collapsed="false">
      <c r="A1166" s="0" t="s">
        <v>2710</v>
      </c>
      <c r="B1166" s="0" t="s">
        <v>2711</v>
      </c>
      <c r="C1166" s="0" t="s">
        <v>31</v>
      </c>
      <c r="D1166" s="0" t="s">
        <v>1957</v>
      </c>
    </row>
    <row r="1167" customFormat="false" ht="13.8" hidden="false" customHeight="false" outlineLevel="0" collapsed="false">
      <c r="A1167" s="0" t="s">
        <v>2712</v>
      </c>
      <c r="B1167" s="0" t="s">
        <v>2713</v>
      </c>
      <c r="C1167" s="0" t="s">
        <v>31</v>
      </c>
      <c r="D1167" s="0" t="s">
        <v>1704</v>
      </c>
    </row>
    <row r="1168" customFormat="false" ht="13.8" hidden="false" customHeight="false" outlineLevel="0" collapsed="false">
      <c r="A1168" s="0" t="s">
        <v>2714</v>
      </c>
      <c r="B1168" s="0" t="s">
        <v>2715</v>
      </c>
      <c r="C1168" s="0" t="s">
        <v>31</v>
      </c>
      <c r="D1168" s="0" t="s">
        <v>413</v>
      </c>
    </row>
    <row r="1169" customFormat="false" ht="13.8" hidden="false" customHeight="false" outlineLevel="0" collapsed="false">
      <c r="A1169" s="0" t="s">
        <v>2717</v>
      </c>
      <c r="B1169" s="0" t="s">
        <v>2718</v>
      </c>
      <c r="C1169" s="0" t="s">
        <v>31</v>
      </c>
      <c r="D1169" s="0" t="s">
        <v>1704</v>
      </c>
    </row>
    <row r="1170" customFormat="false" ht="13.8" hidden="false" customHeight="false" outlineLevel="0" collapsed="false">
      <c r="A1170" s="0" t="s">
        <v>2719</v>
      </c>
      <c r="B1170" s="0" t="s">
        <v>2720</v>
      </c>
      <c r="C1170" s="0" t="s">
        <v>31</v>
      </c>
      <c r="D1170" s="0" t="s">
        <v>1704</v>
      </c>
    </row>
    <row r="1171" customFormat="false" ht="13.8" hidden="false" customHeight="false" outlineLevel="0" collapsed="false">
      <c r="A1171" s="0" t="s">
        <v>2721</v>
      </c>
      <c r="B1171" s="0" t="s">
        <v>2722</v>
      </c>
      <c r="C1171" s="0" t="s">
        <v>31</v>
      </c>
      <c r="D1171" s="0" t="s">
        <v>2072</v>
      </c>
    </row>
    <row r="1172" customFormat="false" ht="13.8" hidden="false" customHeight="false" outlineLevel="0" collapsed="false">
      <c r="A1172" s="0" t="s">
        <v>2723</v>
      </c>
      <c r="B1172" s="0" t="s">
        <v>2724</v>
      </c>
      <c r="C1172" s="0" t="s">
        <v>31</v>
      </c>
      <c r="D1172" s="0" t="s">
        <v>413</v>
      </c>
    </row>
    <row r="1173" customFormat="false" ht="13.8" hidden="false" customHeight="false" outlineLevel="0" collapsed="false">
      <c r="A1173" s="0" t="s">
        <v>2726</v>
      </c>
      <c r="B1173" s="0" t="s">
        <v>2727</v>
      </c>
      <c r="C1173" s="0" t="s">
        <v>31</v>
      </c>
      <c r="D1173" s="0" t="s">
        <v>2072</v>
      </c>
    </row>
    <row r="1174" customFormat="false" ht="13.8" hidden="false" customHeight="false" outlineLevel="0" collapsed="false">
      <c r="A1174" s="0" t="s">
        <v>2728</v>
      </c>
      <c r="B1174" s="0" t="s">
        <v>2729</v>
      </c>
      <c r="C1174" s="0" t="s">
        <v>31</v>
      </c>
      <c r="D1174" s="0" t="s">
        <v>19</v>
      </c>
    </row>
    <row r="1175" customFormat="false" ht="13.8" hidden="false" customHeight="false" outlineLevel="0" collapsed="false">
      <c r="A1175" s="0" t="s">
        <v>2731</v>
      </c>
      <c r="B1175" s="0" t="s">
        <v>2732</v>
      </c>
      <c r="C1175" s="0" t="s">
        <v>31</v>
      </c>
      <c r="D1175" s="0" t="s">
        <v>19</v>
      </c>
    </row>
    <row r="1176" customFormat="false" ht="13.8" hidden="false" customHeight="false" outlineLevel="0" collapsed="false">
      <c r="A1176" s="0" t="s">
        <v>2733</v>
      </c>
      <c r="B1176" s="0" t="s">
        <v>2734</v>
      </c>
      <c r="C1176" s="0" t="s">
        <v>31</v>
      </c>
      <c r="D1176" s="0" t="s">
        <v>1949</v>
      </c>
    </row>
    <row r="1177" customFormat="false" ht="13.8" hidden="false" customHeight="false" outlineLevel="0" collapsed="false">
      <c r="A1177" s="0" t="s">
        <v>2735</v>
      </c>
      <c r="B1177" s="0" t="s">
        <v>2736</v>
      </c>
      <c r="C1177" s="0" t="s">
        <v>31</v>
      </c>
      <c r="D1177" s="0" t="s">
        <v>2444</v>
      </c>
    </row>
    <row r="1178" customFormat="false" ht="13.8" hidden="false" customHeight="false" outlineLevel="0" collapsed="false">
      <c r="A1178" s="0" t="s">
        <v>2737</v>
      </c>
      <c r="B1178" s="0" t="s">
        <v>2738</v>
      </c>
      <c r="C1178" s="0" t="s">
        <v>31</v>
      </c>
      <c r="D1178" s="0" t="s">
        <v>2739</v>
      </c>
    </row>
    <row r="1179" customFormat="false" ht="13.8" hidden="false" customHeight="false" outlineLevel="0" collapsed="false">
      <c r="A1179" s="0" t="s">
        <v>2740</v>
      </c>
      <c r="B1179" s="0" t="s">
        <v>2741</v>
      </c>
      <c r="C1179" s="0" t="s">
        <v>31</v>
      </c>
      <c r="D1179" s="0" t="s">
        <v>1592</v>
      </c>
    </row>
    <row r="1180" customFormat="false" ht="13.8" hidden="false" customHeight="false" outlineLevel="0" collapsed="false">
      <c r="A1180" s="0" t="s">
        <v>2742</v>
      </c>
      <c r="B1180" s="0" t="s">
        <v>2743</v>
      </c>
      <c r="C1180" s="0" t="s">
        <v>31</v>
      </c>
      <c r="D1180" s="0" t="s">
        <v>2364</v>
      </c>
    </row>
    <row r="1181" customFormat="false" ht="13.8" hidden="false" customHeight="false" outlineLevel="0" collapsed="false">
      <c r="A1181" s="0" t="s">
        <v>2744</v>
      </c>
      <c r="B1181" s="0" t="s">
        <v>2745</v>
      </c>
      <c r="C1181" s="0" t="s">
        <v>31</v>
      </c>
      <c r="D1181" s="0" t="s">
        <v>1505</v>
      </c>
    </row>
    <row r="1182" customFormat="false" ht="13.8" hidden="false" customHeight="false" outlineLevel="0" collapsed="false">
      <c r="A1182" s="0" t="s">
        <v>2746</v>
      </c>
      <c r="B1182" s="0" t="s">
        <v>2747</v>
      </c>
      <c r="C1182" s="0" t="s">
        <v>31</v>
      </c>
      <c r="D1182" s="0" t="s">
        <v>2748</v>
      </c>
    </row>
    <row r="1183" customFormat="false" ht="13.8" hidden="false" customHeight="false" outlineLevel="0" collapsed="false">
      <c r="A1183" s="0" t="s">
        <v>2749</v>
      </c>
      <c r="B1183" s="0" t="s">
        <v>2750</v>
      </c>
      <c r="C1183" s="0" t="s">
        <v>31</v>
      </c>
      <c r="D1183" s="0" t="s">
        <v>1704</v>
      </c>
    </row>
    <row r="1184" customFormat="false" ht="13.8" hidden="false" customHeight="false" outlineLevel="0" collapsed="false">
      <c r="A1184" s="0" t="s">
        <v>2751</v>
      </c>
      <c r="B1184" s="0" t="s">
        <v>2752</v>
      </c>
      <c r="C1184" s="0" t="s">
        <v>31</v>
      </c>
      <c r="D1184" s="0" t="s">
        <v>413</v>
      </c>
    </row>
    <row r="1185" customFormat="false" ht="13.8" hidden="false" customHeight="false" outlineLevel="0" collapsed="false">
      <c r="A1185" s="0" t="s">
        <v>2753</v>
      </c>
      <c r="B1185" s="0" t="s">
        <v>2754</v>
      </c>
      <c r="C1185" s="0" t="s">
        <v>31</v>
      </c>
      <c r="D1185" s="0" t="s">
        <v>2755</v>
      </c>
    </row>
    <row r="1186" customFormat="false" ht="13.8" hidden="false" customHeight="false" outlineLevel="0" collapsed="false">
      <c r="A1186" s="0" t="s">
        <v>2756</v>
      </c>
      <c r="B1186" s="0" t="s">
        <v>2757</v>
      </c>
      <c r="C1186" s="0" t="s">
        <v>31</v>
      </c>
      <c r="D1186" s="0" t="s">
        <v>2758</v>
      </c>
    </row>
    <row r="1187" customFormat="false" ht="13.8" hidden="false" customHeight="false" outlineLevel="0" collapsed="false">
      <c r="A1187" s="0" t="s">
        <v>2759</v>
      </c>
      <c r="B1187" s="0" t="s">
        <v>2760</v>
      </c>
      <c r="C1187" s="0" t="s">
        <v>31</v>
      </c>
      <c r="D1187" s="0" t="s">
        <v>1957</v>
      </c>
    </row>
    <row r="1188" customFormat="false" ht="13.8" hidden="false" customHeight="false" outlineLevel="0" collapsed="false">
      <c r="A1188" s="0" t="s">
        <v>2761</v>
      </c>
      <c r="B1188" s="0" t="s">
        <v>2762</v>
      </c>
      <c r="C1188" s="0" t="s">
        <v>31</v>
      </c>
      <c r="D1188" s="0" t="s">
        <v>19</v>
      </c>
    </row>
    <row r="1189" customFormat="false" ht="13.8" hidden="false" customHeight="false" outlineLevel="0" collapsed="false">
      <c r="A1189" s="0" t="s">
        <v>2764</v>
      </c>
      <c r="B1189" s="0" t="s">
        <v>2765</v>
      </c>
      <c r="C1189" s="0" t="s">
        <v>31</v>
      </c>
      <c r="D1189" s="0" t="s">
        <v>1540</v>
      </c>
    </row>
    <row r="1190" customFormat="false" ht="13.8" hidden="false" customHeight="false" outlineLevel="0" collapsed="false">
      <c r="A1190" s="0" t="s">
        <v>2766</v>
      </c>
      <c r="B1190" s="0" t="s">
        <v>2767</v>
      </c>
      <c r="C1190" s="0" t="s">
        <v>31</v>
      </c>
      <c r="D1190" s="0" t="s">
        <v>413</v>
      </c>
    </row>
    <row r="1191" customFormat="false" ht="13.8" hidden="false" customHeight="false" outlineLevel="0" collapsed="false">
      <c r="A1191" s="0" t="s">
        <v>2768</v>
      </c>
      <c r="B1191" s="0" t="s">
        <v>2769</v>
      </c>
      <c r="C1191" s="0" t="s">
        <v>31</v>
      </c>
      <c r="D1191" s="0" t="s">
        <v>19</v>
      </c>
    </row>
    <row r="1192" customFormat="false" ht="13.8" hidden="false" customHeight="false" outlineLevel="0" collapsed="false">
      <c r="A1192" s="0" t="s">
        <v>2771</v>
      </c>
      <c r="B1192" s="0" t="s">
        <v>2772</v>
      </c>
      <c r="C1192" s="0" t="s">
        <v>31</v>
      </c>
      <c r="D1192" s="0" t="s">
        <v>413</v>
      </c>
    </row>
    <row r="1193" customFormat="false" ht="13.8" hidden="false" customHeight="false" outlineLevel="0" collapsed="false">
      <c r="A1193" s="0" t="s">
        <v>2773</v>
      </c>
      <c r="B1193" s="0" t="s">
        <v>2774</v>
      </c>
      <c r="C1193" s="0" t="s">
        <v>31</v>
      </c>
      <c r="D1193" s="0" t="s">
        <v>19</v>
      </c>
    </row>
    <row r="1194" customFormat="false" ht="13.8" hidden="false" customHeight="false" outlineLevel="0" collapsed="false">
      <c r="A1194" s="0" t="s">
        <v>2775</v>
      </c>
      <c r="B1194" s="0" t="s">
        <v>2776</v>
      </c>
      <c r="C1194" s="0" t="s">
        <v>31</v>
      </c>
      <c r="D1194" s="0" t="s">
        <v>2777</v>
      </c>
    </row>
    <row r="1195" customFormat="false" ht="13.8" hidden="false" customHeight="false" outlineLevel="0" collapsed="false">
      <c r="A1195" s="0" t="s">
        <v>2778</v>
      </c>
      <c r="B1195" s="0" t="s">
        <v>2779</v>
      </c>
      <c r="C1195" s="0" t="s">
        <v>31</v>
      </c>
      <c r="D1195" s="0" t="s">
        <v>19</v>
      </c>
    </row>
    <row r="1196" customFormat="false" ht="13.8" hidden="false" customHeight="false" outlineLevel="0" collapsed="false">
      <c r="A1196" s="0" t="s">
        <v>2782</v>
      </c>
      <c r="B1196" s="0" t="s">
        <v>2783</v>
      </c>
      <c r="C1196" s="0" t="s">
        <v>31</v>
      </c>
      <c r="D1196" s="0" t="s">
        <v>2444</v>
      </c>
    </row>
    <row r="1197" customFormat="false" ht="13.8" hidden="false" customHeight="false" outlineLevel="0" collapsed="false">
      <c r="A1197" s="0" t="s">
        <v>2784</v>
      </c>
      <c r="B1197" s="0" t="s">
        <v>2785</v>
      </c>
      <c r="C1197" s="0" t="s">
        <v>31</v>
      </c>
      <c r="D1197" s="0" t="s">
        <v>2786</v>
      </c>
    </row>
    <row r="1198" customFormat="false" ht="13.8" hidden="false" customHeight="false" outlineLevel="0" collapsed="false">
      <c r="A1198" s="0" t="s">
        <v>2787</v>
      </c>
      <c r="B1198" s="0" t="s">
        <v>2788</v>
      </c>
      <c r="C1198" s="0" t="s">
        <v>31</v>
      </c>
      <c r="D1198" s="0" t="s">
        <v>1957</v>
      </c>
    </row>
    <row r="1199" customFormat="false" ht="13.8" hidden="false" customHeight="false" outlineLevel="0" collapsed="false">
      <c r="A1199" s="0" t="s">
        <v>2789</v>
      </c>
      <c r="B1199" s="0" t="s">
        <v>2790</v>
      </c>
      <c r="C1199" s="0" t="s">
        <v>31</v>
      </c>
      <c r="D1199" s="0" t="s">
        <v>413</v>
      </c>
    </row>
    <row r="1200" customFormat="false" ht="13.8" hidden="false" customHeight="false" outlineLevel="0" collapsed="false">
      <c r="A1200" s="0" t="s">
        <v>2792</v>
      </c>
      <c r="B1200" s="0" t="s">
        <v>2793</v>
      </c>
      <c r="C1200" s="0" t="s">
        <v>31</v>
      </c>
      <c r="D1200" s="0" t="s">
        <v>1924</v>
      </c>
    </row>
    <row r="1201" customFormat="false" ht="13.8" hidden="false" customHeight="false" outlineLevel="0" collapsed="false">
      <c r="A1201" s="0" t="s">
        <v>2794</v>
      </c>
      <c r="B1201" s="0" t="s">
        <v>2795</v>
      </c>
      <c r="C1201" s="0" t="s">
        <v>31</v>
      </c>
      <c r="D1201" s="0" t="s">
        <v>1505</v>
      </c>
    </row>
    <row r="1202" customFormat="false" ht="13.8" hidden="false" customHeight="false" outlineLevel="0" collapsed="false">
      <c r="A1202" s="0" t="s">
        <v>2796</v>
      </c>
      <c r="B1202" s="0" t="s">
        <v>2797</v>
      </c>
      <c r="C1202" s="0" t="s">
        <v>31</v>
      </c>
      <c r="D1202" s="0" t="s">
        <v>2444</v>
      </c>
    </row>
    <row r="1203" customFormat="false" ht="13.8" hidden="false" customHeight="false" outlineLevel="0" collapsed="false">
      <c r="A1203" s="0" t="s">
        <v>2798</v>
      </c>
      <c r="B1203" s="0" t="s">
        <v>2799</v>
      </c>
      <c r="C1203" s="0" t="s">
        <v>31</v>
      </c>
      <c r="D1203" s="0" t="s">
        <v>1924</v>
      </c>
    </row>
    <row r="1204" customFormat="false" ht="13.8" hidden="false" customHeight="false" outlineLevel="0" collapsed="false">
      <c r="A1204" s="0" t="s">
        <v>2800</v>
      </c>
      <c r="B1204" s="0" t="s">
        <v>2801</v>
      </c>
      <c r="C1204" s="0" t="s">
        <v>31</v>
      </c>
      <c r="D1204" s="0" t="s">
        <v>413</v>
      </c>
    </row>
    <row r="1205" customFormat="false" ht="13.8" hidden="false" customHeight="false" outlineLevel="0" collapsed="false">
      <c r="A1205" s="0" t="s">
        <v>2802</v>
      </c>
      <c r="B1205" s="0" t="s">
        <v>2803</v>
      </c>
      <c r="C1205" s="0" t="s">
        <v>31</v>
      </c>
      <c r="D1205" s="0" t="s">
        <v>2804</v>
      </c>
    </row>
    <row r="1206" customFormat="false" ht="13.8" hidden="false" customHeight="false" outlineLevel="0" collapsed="false">
      <c r="A1206" s="0" t="s">
        <v>2805</v>
      </c>
      <c r="B1206" s="0" t="s">
        <v>2806</v>
      </c>
      <c r="C1206" s="0" t="s">
        <v>31</v>
      </c>
      <c r="D1206" s="0" t="s">
        <v>413</v>
      </c>
    </row>
    <row r="1207" customFormat="false" ht="13.8" hidden="false" customHeight="false" outlineLevel="0" collapsed="false">
      <c r="A1207" s="0" t="s">
        <v>2807</v>
      </c>
      <c r="B1207" s="0" t="s">
        <v>2808</v>
      </c>
      <c r="C1207" s="0" t="s">
        <v>31</v>
      </c>
      <c r="D1207" s="0" t="s">
        <v>2809</v>
      </c>
    </row>
    <row r="1208" customFormat="false" ht="13.8" hidden="false" customHeight="false" outlineLevel="0" collapsed="false">
      <c r="A1208" s="0" t="s">
        <v>2810</v>
      </c>
      <c r="B1208" s="0" t="s">
        <v>2811</v>
      </c>
      <c r="C1208" s="0" t="s">
        <v>31</v>
      </c>
      <c r="D1208" s="0" t="s">
        <v>19</v>
      </c>
    </row>
    <row r="1209" customFormat="false" ht="13.8" hidden="false" customHeight="false" outlineLevel="0" collapsed="false">
      <c r="A1209" s="0" t="s">
        <v>2812</v>
      </c>
      <c r="B1209" s="0" t="s">
        <v>2813</v>
      </c>
      <c r="C1209" s="0" t="s">
        <v>31</v>
      </c>
      <c r="D1209" s="0" t="s">
        <v>413</v>
      </c>
    </row>
    <row r="1210" customFormat="false" ht="13.8" hidden="false" customHeight="false" outlineLevel="0" collapsed="false">
      <c r="A1210" s="0" t="s">
        <v>2814</v>
      </c>
      <c r="B1210" s="0" t="s">
        <v>2815</v>
      </c>
      <c r="C1210" s="0" t="s">
        <v>31</v>
      </c>
      <c r="D1210" s="0" t="s">
        <v>1592</v>
      </c>
    </row>
    <row r="1211" customFormat="false" ht="13.8" hidden="false" customHeight="false" outlineLevel="0" collapsed="false">
      <c r="A1211" s="0" t="s">
        <v>2816</v>
      </c>
      <c r="B1211" s="0" t="s">
        <v>2817</v>
      </c>
      <c r="C1211" s="0" t="s">
        <v>31</v>
      </c>
      <c r="D1211" s="0" t="s">
        <v>1704</v>
      </c>
    </row>
    <row r="1212" customFormat="false" ht="13.8" hidden="false" customHeight="false" outlineLevel="0" collapsed="false">
      <c r="A1212" s="0" t="s">
        <v>2818</v>
      </c>
      <c r="B1212" s="0" t="s">
        <v>2819</v>
      </c>
      <c r="C1212" s="0" t="s">
        <v>31</v>
      </c>
      <c r="D1212" s="0" t="s">
        <v>2820</v>
      </c>
    </row>
    <row r="1213" customFormat="false" ht="13.8" hidden="false" customHeight="false" outlineLevel="0" collapsed="false">
      <c r="A1213" s="0" t="s">
        <v>2821</v>
      </c>
      <c r="B1213" s="0" t="s">
        <v>2822</v>
      </c>
      <c r="C1213" s="0" t="s">
        <v>31</v>
      </c>
      <c r="D1213" s="0" t="s">
        <v>2701</v>
      </c>
    </row>
    <row r="1214" customFormat="false" ht="13.8" hidden="false" customHeight="false" outlineLevel="0" collapsed="false">
      <c r="A1214" s="0" t="s">
        <v>2823</v>
      </c>
      <c r="B1214" s="0" t="s">
        <v>2824</v>
      </c>
      <c r="C1214" s="0" t="s">
        <v>31</v>
      </c>
      <c r="D1214" s="0" t="s">
        <v>2701</v>
      </c>
    </row>
    <row r="1215" customFormat="false" ht="13.8" hidden="false" customHeight="false" outlineLevel="0" collapsed="false">
      <c r="A1215" s="0" t="s">
        <v>2825</v>
      </c>
      <c r="B1215" s="0" t="s">
        <v>2826</v>
      </c>
      <c r="C1215" s="0" t="s">
        <v>31</v>
      </c>
      <c r="D1215" s="0" t="s">
        <v>69</v>
      </c>
    </row>
    <row r="1216" customFormat="false" ht="13.8" hidden="false" customHeight="false" outlineLevel="0" collapsed="false">
      <c r="A1216" s="0" t="s">
        <v>2827</v>
      </c>
      <c r="B1216" s="0" t="s">
        <v>389</v>
      </c>
      <c r="C1216" s="0" t="s">
        <v>31</v>
      </c>
      <c r="D1216" s="0" t="s">
        <v>1508</v>
      </c>
    </row>
    <row r="1217" customFormat="false" ht="13.8" hidden="false" customHeight="false" outlineLevel="0" collapsed="false">
      <c r="A1217" s="0" t="s">
        <v>2828</v>
      </c>
      <c r="B1217" s="0" t="s">
        <v>2829</v>
      </c>
      <c r="C1217" s="0" t="s">
        <v>31</v>
      </c>
      <c r="D1217" s="0" t="s">
        <v>2830</v>
      </c>
    </row>
    <row r="1218" customFormat="false" ht="13.8" hidden="false" customHeight="false" outlineLevel="0" collapsed="false">
      <c r="A1218" s="0" t="s">
        <v>2831</v>
      </c>
      <c r="B1218" s="0" t="s">
        <v>2832</v>
      </c>
      <c r="C1218" s="0" t="s">
        <v>31</v>
      </c>
      <c r="D1218" s="0" t="s">
        <v>413</v>
      </c>
    </row>
    <row r="1219" customFormat="false" ht="13.8" hidden="false" customHeight="false" outlineLevel="0" collapsed="false">
      <c r="A1219" s="0" t="s">
        <v>2834</v>
      </c>
      <c r="B1219" s="0" t="s">
        <v>2835</v>
      </c>
      <c r="C1219" s="0" t="s">
        <v>31</v>
      </c>
      <c r="D1219" s="0" t="s">
        <v>2492</v>
      </c>
    </row>
    <row r="1220" customFormat="false" ht="13.8" hidden="false" customHeight="false" outlineLevel="0" collapsed="false">
      <c r="A1220" s="0" t="s">
        <v>2836</v>
      </c>
      <c r="B1220" s="0" t="s">
        <v>2837</v>
      </c>
      <c r="C1220" s="0" t="s">
        <v>31</v>
      </c>
      <c r="D1220" s="0" t="s">
        <v>413</v>
      </c>
    </row>
    <row r="1221" customFormat="false" ht="13.8" hidden="false" customHeight="false" outlineLevel="0" collapsed="false">
      <c r="A1221" s="0" t="s">
        <v>2839</v>
      </c>
      <c r="B1221" s="0" t="s">
        <v>2840</v>
      </c>
      <c r="C1221" s="0" t="s">
        <v>31</v>
      </c>
      <c r="D1221" s="0" t="s">
        <v>413</v>
      </c>
    </row>
    <row r="1222" customFormat="false" ht="13.8" hidden="false" customHeight="false" outlineLevel="0" collapsed="false">
      <c r="A1222" s="0" t="s">
        <v>2841</v>
      </c>
      <c r="B1222" s="0" t="s">
        <v>2842</v>
      </c>
      <c r="C1222" s="0" t="s">
        <v>31</v>
      </c>
      <c r="D1222" s="0" t="s">
        <v>1540</v>
      </c>
    </row>
    <row r="1223" customFormat="false" ht="13.8" hidden="false" customHeight="false" outlineLevel="0" collapsed="false">
      <c r="A1223" s="0" t="s">
        <v>2843</v>
      </c>
      <c r="B1223" s="0" t="s">
        <v>1352</v>
      </c>
      <c r="C1223" s="0" t="s">
        <v>31</v>
      </c>
      <c r="D1223" s="0" t="s">
        <v>2844</v>
      </c>
    </row>
    <row r="1224" customFormat="false" ht="13.8" hidden="false" customHeight="false" outlineLevel="0" collapsed="false">
      <c r="A1224" s="0" t="s">
        <v>2845</v>
      </c>
      <c r="B1224" s="0" t="s">
        <v>2846</v>
      </c>
      <c r="C1224" s="0" t="s">
        <v>31</v>
      </c>
      <c r="D1224" s="0" t="s">
        <v>2054</v>
      </c>
    </row>
    <row r="1225" customFormat="false" ht="13.8" hidden="false" customHeight="false" outlineLevel="0" collapsed="false">
      <c r="A1225" s="0" t="s">
        <v>2847</v>
      </c>
      <c r="B1225" s="0" t="s">
        <v>2848</v>
      </c>
      <c r="C1225" s="0" t="s">
        <v>31</v>
      </c>
      <c r="D1225" s="0" t="s">
        <v>2849</v>
      </c>
    </row>
    <row r="1226" customFormat="false" ht="13.8" hidden="false" customHeight="false" outlineLevel="0" collapsed="false">
      <c r="A1226" s="0" t="s">
        <v>2850</v>
      </c>
      <c r="B1226" s="0" t="s">
        <v>2851</v>
      </c>
      <c r="C1226" s="0" t="s">
        <v>31</v>
      </c>
      <c r="D1226" s="0" t="s">
        <v>16</v>
      </c>
    </row>
    <row r="1227" customFormat="false" ht="13.8" hidden="false" customHeight="false" outlineLevel="0" collapsed="false">
      <c r="A1227" s="0" t="s">
        <v>2853</v>
      </c>
      <c r="B1227" s="0" t="s">
        <v>2854</v>
      </c>
      <c r="C1227" s="0" t="s">
        <v>31</v>
      </c>
      <c r="D1227" s="0" t="s">
        <v>413</v>
      </c>
    </row>
    <row r="1228" customFormat="false" ht="13.8" hidden="false" customHeight="false" outlineLevel="0" collapsed="false">
      <c r="A1228" s="0" t="s">
        <v>2855</v>
      </c>
      <c r="B1228" s="0" t="s">
        <v>2856</v>
      </c>
      <c r="C1228" s="0" t="s">
        <v>31</v>
      </c>
      <c r="D1228" s="0" t="s">
        <v>2809</v>
      </c>
    </row>
    <row r="1229" customFormat="false" ht="13.8" hidden="false" customHeight="false" outlineLevel="0" collapsed="false">
      <c r="A1229" s="0" t="s">
        <v>2857</v>
      </c>
      <c r="B1229" s="0" t="s">
        <v>2858</v>
      </c>
      <c r="C1229" s="0" t="s">
        <v>31</v>
      </c>
      <c r="D1229" s="0" t="s">
        <v>413</v>
      </c>
    </row>
    <row r="1230" customFormat="false" ht="13.8" hidden="false" customHeight="false" outlineLevel="0" collapsed="false">
      <c r="A1230" s="0" t="s">
        <v>2859</v>
      </c>
      <c r="B1230" s="0" t="s">
        <v>394</v>
      </c>
      <c r="C1230" s="0" t="s">
        <v>31</v>
      </c>
      <c r="D1230" s="0" t="s">
        <v>2860</v>
      </c>
    </row>
    <row r="1231" customFormat="false" ht="13.8" hidden="false" customHeight="false" outlineLevel="0" collapsed="false">
      <c r="A1231" s="0" t="s">
        <v>2861</v>
      </c>
      <c r="B1231" s="0" t="s">
        <v>2862</v>
      </c>
      <c r="C1231" s="0" t="s">
        <v>31</v>
      </c>
      <c r="D1231" s="0" t="s">
        <v>413</v>
      </c>
    </row>
    <row r="1232" customFormat="false" ht="13.8" hidden="false" customHeight="false" outlineLevel="0" collapsed="false">
      <c r="A1232" s="0" t="s">
        <v>2863</v>
      </c>
      <c r="B1232" s="0" t="s">
        <v>2864</v>
      </c>
      <c r="C1232" s="0" t="s">
        <v>31</v>
      </c>
      <c r="D1232" s="0" t="s">
        <v>1957</v>
      </c>
    </row>
    <row r="1233" customFormat="false" ht="13.8" hidden="false" customHeight="false" outlineLevel="0" collapsed="false">
      <c r="A1233" s="0" t="s">
        <v>2865</v>
      </c>
      <c r="B1233" s="0" t="s">
        <v>2866</v>
      </c>
      <c r="C1233" s="0" t="s">
        <v>31</v>
      </c>
      <c r="D1233" s="0" t="s">
        <v>1592</v>
      </c>
    </row>
    <row r="1234" customFormat="false" ht="13.8" hidden="false" customHeight="false" outlineLevel="0" collapsed="false">
      <c r="A1234" s="0" t="s">
        <v>2867</v>
      </c>
      <c r="B1234" s="0" t="s">
        <v>2868</v>
      </c>
      <c r="C1234" s="0" t="s">
        <v>31</v>
      </c>
      <c r="D1234" s="0" t="s">
        <v>1508</v>
      </c>
    </row>
    <row r="1235" customFormat="false" ht="13.8" hidden="false" customHeight="false" outlineLevel="0" collapsed="false">
      <c r="A1235" s="0" t="s">
        <v>2869</v>
      </c>
      <c r="B1235" s="0" t="s">
        <v>2870</v>
      </c>
      <c r="C1235" s="0" t="s">
        <v>31</v>
      </c>
      <c r="D1235" s="0" t="s">
        <v>2871</v>
      </c>
    </row>
    <row r="1236" customFormat="false" ht="13.8" hidden="false" customHeight="false" outlineLevel="0" collapsed="false">
      <c r="A1236" s="0" t="s">
        <v>2872</v>
      </c>
      <c r="B1236" s="0" t="s">
        <v>2873</v>
      </c>
      <c r="C1236" s="0" t="s">
        <v>31</v>
      </c>
      <c r="D1236" s="0" t="s">
        <v>413</v>
      </c>
    </row>
    <row r="1237" customFormat="false" ht="13.8" hidden="false" customHeight="false" outlineLevel="0" collapsed="false">
      <c r="A1237" s="0" t="s">
        <v>2874</v>
      </c>
      <c r="B1237" s="0" t="s">
        <v>2875</v>
      </c>
      <c r="C1237" s="0" t="s">
        <v>31</v>
      </c>
      <c r="D1237" s="0" t="s">
        <v>171</v>
      </c>
    </row>
    <row r="1238" customFormat="false" ht="13.8" hidden="false" customHeight="false" outlineLevel="0" collapsed="false">
      <c r="A1238" s="0" t="s">
        <v>2876</v>
      </c>
      <c r="B1238" s="0" t="s">
        <v>2877</v>
      </c>
      <c r="C1238" s="0" t="s">
        <v>31</v>
      </c>
      <c r="D1238" s="0" t="s">
        <v>2878</v>
      </c>
    </row>
    <row r="1239" customFormat="false" ht="13.8" hidden="false" customHeight="false" outlineLevel="0" collapsed="false">
      <c r="A1239" s="0" t="s">
        <v>2879</v>
      </c>
      <c r="B1239" s="0" t="s">
        <v>2880</v>
      </c>
      <c r="C1239" s="0" t="s">
        <v>31</v>
      </c>
      <c r="D1239" s="0" t="s">
        <v>1704</v>
      </c>
    </row>
    <row r="1240" customFormat="false" ht="13.8" hidden="false" customHeight="false" outlineLevel="0" collapsed="false">
      <c r="A1240" s="0" t="s">
        <v>2881</v>
      </c>
      <c r="B1240" s="0" t="s">
        <v>2882</v>
      </c>
      <c r="C1240" s="0" t="s">
        <v>31</v>
      </c>
      <c r="D1240" s="0" t="s">
        <v>69</v>
      </c>
    </row>
    <row r="1241" customFormat="false" ht="13.8" hidden="false" customHeight="false" outlineLevel="0" collapsed="false">
      <c r="A1241" s="0" t="s">
        <v>2883</v>
      </c>
      <c r="B1241" s="0" t="s">
        <v>2884</v>
      </c>
      <c r="C1241" s="0" t="s">
        <v>31</v>
      </c>
      <c r="D1241" s="0" t="s">
        <v>2871</v>
      </c>
    </row>
    <row r="1242" customFormat="false" ht="13.8" hidden="false" customHeight="false" outlineLevel="0" collapsed="false">
      <c r="A1242" s="0" t="s">
        <v>2885</v>
      </c>
      <c r="B1242" s="0" t="s">
        <v>2886</v>
      </c>
      <c r="C1242" s="0" t="s">
        <v>31</v>
      </c>
      <c r="D1242" s="0" t="s">
        <v>2887</v>
      </c>
    </row>
    <row r="1243" customFormat="false" ht="13.8" hidden="false" customHeight="false" outlineLevel="0" collapsed="false">
      <c r="A1243" s="0" t="s">
        <v>2888</v>
      </c>
      <c r="B1243" s="0" t="s">
        <v>2889</v>
      </c>
      <c r="C1243" s="0" t="s">
        <v>31</v>
      </c>
      <c r="D1243" s="0" t="s">
        <v>413</v>
      </c>
    </row>
    <row r="1244" customFormat="false" ht="13.8" hidden="false" customHeight="false" outlineLevel="0" collapsed="false">
      <c r="A1244" s="0" t="s">
        <v>2891</v>
      </c>
      <c r="B1244" s="0" t="s">
        <v>2892</v>
      </c>
      <c r="C1244" s="0" t="s">
        <v>31</v>
      </c>
      <c r="D1244" s="0" t="s">
        <v>2893</v>
      </c>
    </row>
    <row r="1245" customFormat="false" ht="13.8" hidden="false" customHeight="false" outlineLevel="0" collapsed="false">
      <c r="A1245" s="0" t="s">
        <v>2894</v>
      </c>
      <c r="B1245" s="0" t="s">
        <v>2895</v>
      </c>
      <c r="C1245" s="0" t="s">
        <v>31</v>
      </c>
      <c r="D1245" s="0" t="s">
        <v>2356</v>
      </c>
    </row>
    <row r="1246" customFormat="false" ht="13.8" hidden="false" customHeight="false" outlineLevel="0" collapsed="false">
      <c r="A1246" s="0" t="s">
        <v>2896</v>
      </c>
      <c r="B1246" s="0" t="s">
        <v>2897</v>
      </c>
      <c r="C1246" s="0" t="s">
        <v>31</v>
      </c>
      <c r="D1246" s="0" t="s">
        <v>413</v>
      </c>
    </row>
    <row r="1247" customFormat="false" ht="13.8" hidden="false" customHeight="false" outlineLevel="0" collapsed="false">
      <c r="A1247" s="0" t="s">
        <v>2898</v>
      </c>
      <c r="B1247" s="0" t="s">
        <v>2899</v>
      </c>
      <c r="C1247" s="0" t="s">
        <v>31</v>
      </c>
      <c r="D1247" s="0" t="s">
        <v>1527</v>
      </c>
    </row>
    <row r="1248" customFormat="false" ht="13.8" hidden="false" customHeight="false" outlineLevel="0" collapsed="false">
      <c r="A1248" s="0" t="s">
        <v>2900</v>
      </c>
      <c r="B1248" s="0" t="s">
        <v>2901</v>
      </c>
      <c r="C1248" s="0" t="s">
        <v>31</v>
      </c>
      <c r="D1248" s="0" t="s">
        <v>2902</v>
      </c>
    </row>
    <row r="1249" customFormat="false" ht="13.8" hidden="false" customHeight="false" outlineLevel="0" collapsed="false">
      <c r="A1249" s="0" t="s">
        <v>2903</v>
      </c>
      <c r="B1249" s="0" t="s">
        <v>2904</v>
      </c>
      <c r="C1249" s="0" t="s">
        <v>31</v>
      </c>
      <c r="D1249" s="0" t="s">
        <v>2905</v>
      </c>
    </row>
    <row r="1250" customFormat="false" ht="13.8" hidden="false" customHeight="false" outlineLevel="0" collapsed="false">
      <c r="A1250" s="0" t="s">
        <v>2906</v>
      </c>
      <c r="B1250" s="0" t="s">
        <v>2907</v>
      </c>
      <c r="C1250" s="0" t="s">
        <v>31</v>
      </c>
      <c r="D1250" s="0" t="s">
        <v>1505</v>
      </c>
    </row>
    <row r="1251" customFormat="false" ht="13.8" hidden="false" customHeight="false" outlineLevel="0" collapsed="false">
      <c r="A1251" s="0" t="s">
        <v>2908</v>
      </c>
      <c r="B1251" s="0" t="s">
        <v>2909</v>
      </c>
      <c r="C1251" s="0" t="s">
        <v>31</v>
      </c>
      <c r="D1251" s="0" t="s">
        <v>413</v>
      </c>
    </row>
    <row r="1252" customFormat="false" ht="13.8" hidden="false" customHeight="false" outlineLevel="0" collapsed="false">
      <c r="A1252" s="0" t="s">
        <v>2910</v>
      </c>
      <c r="B1252" s="0" t="s">
        <v>2911</v>
      </c>
      <c r="C1252" s="0" t="s">
        <v>31</v>
      </c>
      <c r="D1252" s="0" t="s">
        <v>413</v>
      </c>
    </row>
    <row r="1253" customFormat="false" ht="13.8" hidden="false" customHeight="false" outlineLevel="0" collapsed="false">
      <c r="A1253" s="0" t="s">
        <v>2912</v>
      </c>
      <c r="B1253" s="0" t="s">
        <v>2913</v>
      </c>
      <c r="C1253" s="0" t="s">
        <v>31</v>
      </c>
      <c r="D1253" s="0" t="s">
        <v>19</v>
      </c>
    </row>
    <row r="1254" customFormat="false" ht="13.8" hidden="false" customHeight="false" outlineLevel="0" collapsed="false">
      <c r="A1254" s="0" t="s">
        <v>2914</v>
      </c>
      <c r="B1254" s="0" t="s">
        <v>2915</v>
      </c>
      <c r="C1254" s="0" t="s">
        <v>31</v>
      </c>
      <c r="D1254" s="0" t="s">
        <v>2916</v>
      </c>
    </row>
    <row r="1255" customFormat="false" ht="13.8" hidden="false" customHeight="false" outlineLevel="0" collapsed="false">
      <c r="A1255" s="0" t="s">
        <v>2917</v>
      </c>
      <c r="B1255" s="0" t="s">
        <v>2918</v>
      </c>
      <c r="C1255" s="4" t="s">
        <v>31</v>
      </c>
      <c r="D1255" s="0" t="s">
        <v>16</v>
      </c>
    </row>
    <row r="1256" customFormat="false" ht="13.8" hidden="false" customHeight="false" outlineLevel="0" collapsed="false">
      <c r="A1256" s="0" t="s">
        <v>2919</v>
      </c>
      <c r="B1256" s="0" t="s">
        <v>2920</v>
      </c>
      <c r="C1256" s="0" t="s">
        <v>31</v>
      </c>
      <c r="D1256" s="0" t="s">
        <v>413</v>
      </c>
    </row>
    <row r="1257" customFormat="false" ht="13.8" hidden="false" customHeight="false" outlineLevel="0" collapsed="false">
      <c r="A1257" s="0" t="s">
        <v>2921</v>
      </c>
      <c r="B1257" s="0" t="s">
        <v>2922</v>
      </c>
      <c r="C1257" s="0" t="s">
        <v>31</v>
      </c>
      <c r="D1257" s="0" t="s">
        <v>1924</v>
      </c>
    </row>
    <row r="1258" customFormat="false" ht="13.8" hidden="false" customHeight="false" outlineLevel="0" collapsed="false">
      <c r="A1258" s="0" t="s">
        <v>2923</v>
      </c>
      <c r="B1258" s="0" t="s">
        <v>2924</v>
      </c>
      <c r="C1258" s="0" t="s">
        <v>31</v>
      </c>
      <c r="D1258" s="0" t="s">
        <v>1505</v>
      </c>
    </row>
    <row r="1259" customFormat="false" ht="13.8" hidden="false" customHeight="false" outlineLevel="0" collapsed="false">
      <c r="A1259" s="0" t="s">
        <v>2925</v>
      </c>
      <c r="B1259" s="0" t="s">
        <v>2926</v>
      </c>
      <c r="C1259" s="0" t="s">
        <v>31</v>
      </c>
      <c r="D1259" s="0" t="s">
        <v>413</v>
      </c>
    </row>
    <row r="1260" customFormat="false" ht="13.8" hidden="false" customHeight="false" outlineLevel="0" collapsed="false">
      <c r="A1260" s="0" t="s">
        <v>2927</v>
      </c>
      <c r="B1260" s="0" t="s">
        <v>2928</v>
      </c>
      <c r="C1260" s="0" t="s">
        <v>31</v>
      </c>
      <c r="D1260" s="0" t="s">
        <v>69</v>
      </c>
    </row>
    <row r="1261" customFormat="false" ht="13.8" hidden="false" customHeight="false" outlineLevel="0" collapsed="false">
      <c r="A1261" s="0" t="s">
        <v>2929</v>
      </c>
      <c r="B1261" s="0" t="s">
        <v>2930</v>
      </c>
      <c r="C1261" s="0" t="s">
        <v>31</v>
      </c>
      <c r="D1261" s="0" t="s">
        <v>2552</v>
      </c>
    </row>
    <row r="1262" customFormat="false" ht="13.8" hidden="false" customHeight="false" outlineLevel="0" collapsed="false">
      <c r="A1262" s="0" t="s">
        <v>2931</v>
      </c>
      <c r="B1262" s="0" t="s">
        <v>2932</v>
      </c>
      <c r="C1262" s="0" t="s">
        <v>31</v>
      </c>
      <c r="D1262" s="0" t="s">
        <v>1737</v>
      </c>
    </row>
    <row r="1263" customFormat="false" ht="13.8" hidden="false" customHeight="false" outlineLevel="0" collapsed="false">
      <c r="A1263" s="0" t="s">
        <v>2933</v>
      </c>
      <c r="B1263" s="0" t="s">
        <v>2934</v>
      </c>
      <c r="C1263" s="0" t="s">
        <v>31</v>
      </c>
      <c r="D1263" s="0" t="s">
        <v>1572</v>
      </c>
    </row>
    <row r="1264" customFormat="false" ht="13.8" hidden="false" customHeight="false" outlineLevel="0" collapsed="false">
      <c r="A1264" s="0" t="s">
        <v>2935</v>
      </c>
      <c r="B1264" s="0" t="s">
        <v>2936</v>
      </c>
      <c r="C1264" s="0" t="s">
        <v>31</v>
      </c>
      <c r="D1264" s="0" t="s">
        <v>2072</v>
      </c>
    </row>
    <row r="1265" customFormat="false" ht="13.8" hidden="false" customHeight="false" outlineLevel="0" collapsed="false">
      <c r="A1265" s="0" t="s">
        <v>2937</v>
      </c>
      <c r="B1265" s="0" t="s">
        <v>2938</v>
      </c>
      <c r="C1265" s="0" t="s">
        <v>31</v>
      </c>
      <c r="D1265" s="0" t="s">
        <v>2678</v>
      </c>
    </row>
    <row r="1266" customFormat="false" ht="13.8" hidden="false" customHeight="false" outlineLevel="0" collapsed="false">
      <c r="A1266" s="0" t="s">
        <v>2939</v>
      </c>
      <c r="B1266" s="0" t="s">
        <v>2940</v>
      </c>
      <c r="C1266" s="0" t="s">
        <v>31</v>
      </c>
      <c r="D1266" s="0" t="s">
        <v>413</v>
      </c>
    </row>
    <row r="1267" customFormat="false" ht="13.8" hidden="false" customHeight="false" outlineLevel="0" collapsed="false">
      <c r="A1267" s="0" t="s">
        <v>2942</v>
      </c>
      <c r="B1267" s="0" t="s">
        <v>2943</v>
      </c>
      <c r="C1267" s="0" t="s">
        <v>31</v>
      </c>
      <c r="D1267" s="0" t="s">
        <v>413</v>
      </c>
    </row>
    <row r="1268" customFormat="false" ht="13.8" hidden="false" customHeight="false" outlineLevel="0" collapsed="false">
      <c r="A1268" s="0" t="s">
        <v>2944</v>
      </c>
      <c r="B1268" s="0" t="s">
        <v>2945</v>
      </c>
      <c r="C1268" s="0" t="s">
        <v>31</v>
      </c>
      <c r="D1268" s="0" t="s">
        <v>413</v>
      </c>
    </row>
    <row r="1269" customFormat="false" ht="13.8" hidden="false" customHeight="false" outlineLevel="0" collapsed="false">
      <c r="A1269" s="0" t="s">
        <v>2946</v>
      </c>
      <c r="B1269" s="0" t="s">
        <v>2947</v>
      </c>
      <c r="C1269" s="0" t="s">
        <v>31</v>
      </c>
      <c r="D1269" s="0" t="s">
        <v>413</v>
      </c>
    </row>
    <row r="1270" customFormat="false" ht="13.8" hidden="false" customHeight="false" outlineLevel="0" collapsed="false">
      <c r="A1270" s="0" t="s">
        <v>2948</v>
      </c>
      <c r="B1270" s="0" t="s">
        <v>2949</v>
      </c>
      <c r="C1270" s="0" t="s">
        <v>31</v>
      </c>
      <c r="D1270" s="0" t="s">
        <v>413</v>
      </c>
    </row>
    <row r="1271" customFormat="false" ht="13.8" hidden="false" customHeight="false" outlineLevel="0" collapsed="false">
      <c r="A1271" s="0" t="s">
        <v>2950</v>
      </c>
      <c r="B1271" s="0" t="s">
        <v>2951</v>
      </c>
      <c r="C1271" s="0" t="s">
        <v>31</v>
      </c>
      <c r="D1271" s="0" t="s">
        <v>2492</v>
      </c>
    </row>
    <row r="1272" customFormat="false" ht="13.8" hidden="false" customHeight="false" outlineLevel="0" collapsed="false">
      <c r="A1272" s="0" t="s">
        <v>2952</v>
      </c>
      <c r="B1272" s="0" t="s">
        <v>2953</v>
      </c>
      <c r="C1272" s="0" t="s">
        <v>31</v>
      </c>
      <c r="D1272" s="0" t="s">
        <v>19</v>
      </c>
    </row>
    <row r="1273" customFormat="false" ht="13.8" hidden="false" customHeight="false" outlineLevel="0" collapsed="false">
      <c r="A1273" s="0" t="s">
        <v>2954</v>
      </c>
      <c r="B1273" s="0" t="s">
        <v>2955</v>
      </c>
      <c r="C1273" s="0" t="s">
        <v>31</v>
      </c>
      <c r="D1273" s="0" t="s">
        <v>413</v>
      </c>
    </row>
    <row r="1274" customFormat="false" ht="13.8" hidden="false" customHeight="false" outlineLevel="0" collapsed="false">
      <c r="A1274" s="0" t="s">
        <v>2956</v>
      </c>
      <c r="B1274" s="0" t="s">
        <v>2957</v>
      </c>
      <c r="C1274" s="0" t="s">
        <v>31</v>
      </c>
      <c r="D1274" s="0" t="s">
        <v>2958</v>
      </c>
    </row>
    <row r="1275" customFormat="false" ht="13.8" hidden="false" customHeight="false" outlineLevel="0" collapsed="false">
      <c r="A1275" s="0" t="s">
        <v>2959</v>
      </c>
      <c r="B1275" s="0" t="s">
        <v>2960</v>
      </c>
      <c r="C1275" s="0" t="s">
        <v>31</v>
      </c>
      <c r="D1275" s="0" t="s">
        <v>1527</v>
      </c>
    </row>
    <row r="1276" customFormat="false" ht="13.8" hidden="false" customHeight="false" outlineLevel="0" collapsed="false">
      <c r="A1276" s="0" t="s">
        <v>2961</v>
      </c>
      <c r="B1276" s="0" t="s">
        <v>2962</v>
      </c>
      <c r="C1276" s="0" t="s">
        <v>31</v>
      </c>
      <c r="D1276" s="0" t="s">
        <v>1651</v>
      </c>
    </row>
    <row r="1277" customFormat="false" ht="13.8" hidden="false" customHeight="false" outlineLevel="0" collapsed="false">
      <c r="A1277" s="0" t="s">
        <v>2963</v>
      </c>
      <c r="B1277" s="0" t="s">
        <v>2964</v>
      </c>
      <c r="C1277" s="0" t="s">
        <v>31</v>
      </c>
      <c r="D1277" s="0" t="s">
        <v>2965</v>
      </c>
    </row>
    <row r="1278" customFormat="false" ht="13.8" hidden="false" customHeight="false" outlineLevel="0" collapsed="false">
      <c r="A1278" s="0" t="s">
        <v>2966</v>
      </c>
      <c r="B1278" s="0" t="s">
        <v>2967</v>
      </c>
      <c r="C1278" s="0" t="s">
        <v>31</v>
      </c>
      <c r="D1278" s="0" t="s">
        <v>1651</v>
      </c>
    </row>
    <row r="1279" customFormat="false" ht="13.8" hidden="false" customHeight="false" outlineLevel="0" collapsed="false">
      <c r="A1279" s="0" t="s">
        <v>2968</v>
      </c>
      <c r="B1279" s="0" t="s">
        <v>2969</v>
      </c>
      <c r="C1279" s="0" t="s">
        <v>31</v>
      </c>
      <c r="D1279" s="0" t="s">
        <v>69</v>
      </c>
    </row>
    <row r="1280" customFormat="false" ht="13.8" hidden="false" customHeight="false" outlineLevel="0" collapsed="false">
      <c r="A1280" s="0" t="s">
        <v>2970</v>
      </c>
      <c r="B1280" s="0" t="s">
        <v>2971</v>
      </c>
      <c r="C1280" s="0" t="s">
        <v>31</v>
      </c>
      <c r="D1280" s="0" t="s">
        <v>2356</v>
      </c>
    </row>
    <row r="1281" customFormat="false" ht="13.8" hidden="false" customHeight="false" outlineLevel="0" collapsed="false">
      <c r="A1281" s="0" t="s">
        <v>2972</v>
      </c>
      <c r="B1281" s="0" t="s">
        <v>2973</v>
      </c>
      <c r="C1281" s="0" t="s">
        <v>31</v>
      </c>
      <c r="D1281" s="0" t="s">
        <v>413</v>
      </c>
    </row>
    <row r="1282" customFormat="false" ht="13.8" hidden="false" customHeight="false" outlineLevel="0" collapsed="false">
      <c r="A1282" s="0" t="s">
        <v>2974</v>
      </c>
      <c r="B1282" s="0" t="s">
        <v>2975</v>
      </c>
      <c r="C1282" s="0" t="s">
        <v>31</v>
      </c>
      <c r="D1282" s="0" t="s">
        <v>2072</v>
      </c>
    </row>
    <row r="1283" customFormat="false" ht="13.8" hidden="false" customHeight="false" outlineLevel="0" collapsed="false">
      <c r="A1283" s="0" t="s">
        <v>2976</v>
      </c>
      <c r="B1283" s="0" t="s">
        <v>2977</v>
      </c>
      <c r="C1283" s="0" t="s">
        <v>31</v>
      </c>
      <c r="D1283" s="0" t="s">
        <v>413</v>
      </c>
    </row>
    <row r="1284" customFormat="false" ht="13.8" hidden="false" customHeight="false" outlineLevel="0" collapsed="false">
      <c r="A1284" s="0" t="s">
        <v>2978</v>
      </c>
      <c r="B1284" s="0" t="s">
        <v>2979</v>
      </c>
      <c r="C1284" s="0" t="s">
        <v>31</v>
      </c>
      <c r="D1284" s="0" t="s">
        <v>1508</v>
      </c>
    </row>
    <row r="1285" customFormat="false" ht="13.8" hidden="false" customHeight="false" outlineLevel="0" collapsed="false">
      <c r="A1285" s="0" t="s">
        <v>2980</v>
      </c>
      <c r="B1285" s="0" t="s">
        <v>2981</v>
      </c>
      <c r="C1285" s="0" t="s">
        <v>31</v>
      </c>
      <c r="D1285" s="0" t="s">
        <v>2982</v>
      </c>
    </row>
    <row r="1286" customFormat="false" ht="13.8" hidden="false" customHeight="false" outlineLevel="0" collapsed="false">
      <c r="A1286" s="0" t="s">
        <v>2983</v>
      </c>
      <c r="B1286" s="0" t="s">
        <v>2984</v>
      </c>
      <c r="C1286" s="0" t="s">
        <v>31</v>
      </c>
      <c r="D1286" s="0" t="s">
        <v>413</v>
      </c>
    </row>
    <row r="1287" customFormat="false" ht="13.8" hidden="false" customHeight="false" outlineLevel="0" collapsed="false">
      <c r="A1287" s="0" t="s">
        <v>2986</v>
      </c>
      <c r="B1287" s="0" t="s">
        <v>2987</v>
      </c>
      <c r="C1287" s="0" t="s">
        <v>31</v>
      </c>
      <c r="D1287" s="0" t="s">
        <v>1592</v>
      </c>
    </row>
    <row r="1288" customFormat="false" ht="13.8" hidden="false" customHeight="false" outlineLevel="0" collapsed="false">
      <c r="A1288" s="0" t="s">
        <v>2988</v>
      </c>
      <c r="B1288" s="0" t="s">
        <v>2989</v>
      </c>
      <c r="C1288" s="0" t="s">
        <v>31</v>
      </c>
      <c r="D1288" s="0" t="s">
        <v>1527</v>
      </c>
    </row>
    <row r="1289" customFormat="false" ht="13.8" hidden="false" customHeight="false" outlineLevel="0" collapsed="false">
      <c r="A1289" s="0" t="s">
        <v>2990</v>
      </c>
      <c r="B1289" s="0" t="s">
        <v>2991</v>
      </c>
      <c r="C1289" s="0" t="s">
        <v>31</v>
      </c>
      <c r="D1289" s="0" t="s">
        <v>2435</v>
      </c>
    </row>
    <row r="1290" customFormat="false" ht="13.8" hidden="false" customHeight="false" outlineLevel="0" collapsed="false">
      <c r="A1290" s="0" t="s">
        <v>2992</v>
      </c>
      <c r="B1290" s="0" t="s">
        <v>2993</v>
      </c>
      <c r="C1290" s="0" t="s">
        <v>31</v>
      </c>
      <c r="D1290" s="0" t="s">
        <v>2072</v>
      </c>
    </row>
    <row r="1291" customFormat="false" ht="13.8" hidden="false" customHeight="false" outlineLevel="0" collapsed="false">
      <c r="A1291" s="0" t="s">
        <v>2994</v>
      </c>
      <c r="B1291" s="0" t="s">
        <v>2873</v>
      </c>
      <c r="C1291" s="0" t="s">
        <v>31</v>
      </c>
      <c r="D1291" s="0" t="s">
        <v>413</v>
      </c>
    </row>
    <row r="1292" customFormat="false" ht="13.8" hidden="false" customHeight="false" outlineLevel="0" collapsed="false">
      <c r="A1292" s="0" t="s">
        <v>2995</v>
      </c>
      <c r="B1292" s="0" t="s">
        <v>2996</v>
      </c>
      <c r="C1292" s="0" t="s">
        <v>31</v>
      </c>
      <c r="D1292" s="0" t="s">
        <v>413</v>
      </c>
    </row>
    <row r="1293" customFormat="false" ht="13.8" hidden="false" customHeight="false" outlineLevel="0" collapsed="false">
      <c r="A1293" s="0" t="s">
        <v>2997</v>
      </c>
      <c r="B1293" s="0" t="s">
        <v>2998</v>
      </c>
      <c r="C1293" s="0" t="s">
        <v>31</v>
      </c>
      <c r="D1293" s="0" t="s">
        <v>2072</v>
      </c>
    </row>
    <row r="1294" customFormat="false" ht="13.8" hidden="false" customHeight="false" outlineLevel="0" collapsed="false">
      <c r="A1294" s="0" t="s">
        <v>2999</v>
      </c>
      <c r="B1294" s="0" t="s">
        <v>3000</v>
      </c>
      <c r="C1294" s="0" t="s">
        <v>31</v>
      </c>
      <c r="D1294" s="0" t="s">
        <v>413</v>
      </c>
    </row>
    <row r="1295" customFormat="false" ht="13.8" hidden="false" customHeight="false" outlineLevel="0" collapsed="false">
      <c r="A1295" s="0" t="s">
        <v>3002</v>
      </c>
      <c r="B1295" s="0" t="s">
        <v>3003</v>
      </c>
      <c r="C1295" s="0" t="s">
        <v>31</v>
      </c>
      <c r="D1295" s="0" t="s">
        <v>1930</v>
      </c>
    </row>
    <row r="1296" customFormat="false" ht="13.8" hidden="false" customHeight="false" outlineLevel="0" collapsed="false">
      <c r="A1296" s="0" t="s">
        <v>3004</v>
      </c>
      <c r="B1296" s="0" t="s">
        <v>3005</v>
      </c>
      <c r="C1296" s="0" t="s">
        <v>31</v>
      </c>
      <c r="D1296" s="0" t="s">
        <v>2629</v>
      </c>
    </row>
    <row r="1297" customFormat="false" ht="13.8" hidden="false" customHeight="false" outlineLevel="0" collapsed="false">
      <c r="A1297" s="0" t="s">
        <v>3006</v>
      </c>
      <c r="B1297" s="0" t="s">
        <v>3007</v>
      </c>
      <c r="C1297" s="0" t="s">
        <v>31</v>
      </c>
      <c r="D1297" s="0" t="s">
        <v>19</v>
      </c>
    </row>
    <row r="1298" customFormat="false" ht="13.8" hidden="false" customHeight="false" outlineLevel="0" collapsed="false">
      <c r="A1298" s="0" t="s">
        <v>3009</v>
      </c>
      <c r="B1298" s="0" t="s">
        <v>3010</v>
      </c>
      <c r="C1298" s="0" t="s">
        <v>31</v>
      </c>
      <c r="D1298" s="0" t="s">
        <v>413</v>
      </c>
    </row>
    <row r="1299" customFormat="false" ht="13.8" hidden="false" customHeight="false" outlineLevel="0" collapsed="false">
      <c r="A1299" s="0" t="s">
        <v>3011</v>
      </c>
      <c r="B1299" s="0" t="s">
        <v>3012</v>
      </c>
      <c r="C1299" s="0" t="s">
        <v>31</v>
      </c>
      <c r="D1299" s="0" t="s">
        <v>1957</v>
      </c>
    </row>
    <row r="1300" customFormat="false" ht="13.8" hidden="false" customHeight="false" outlineLevel="0" collapsed="false">
      <c r="A1300" s="0" t="s">
        <v>3013</v>
      </c>
      <c r="B1300" s="0" t="s">
        <v>2570</v>
      </c>
      <c r="C1300" s="0" t="s">
        <v>31</v>
      </c>
      <c r="D1300" s="0" t="s">
        <v>2072</v>
      </c>
    </row>
    <row r="1301" customFormat="false" ht="13.8" hidden="false" customHeight="false" outlineLevel="0" collapsed="false">
      <c r="A1301" s="0" t="s">
        <v>3014</v>
      </c>
      <c r="B1301" s="0" t="s">
        <v>3015</v>
      </c>
      <c r="C1301" s="0" t="s">
        <v>31</v>
      </c>
      <c r="D1301" s="0" t="s">
        <v>16</v>
      </c>
    </row>
    <row r="1302" customFormat="false" ht="13.8" hidden="false" customHeight="false" outlineLevel="0" collapsed="false">
      <c r="A1302" s="0" t="s">
        <v>3016</v>
      </c>
      <c r="B1302" s="0" t="s">
        <v>3017</v>
      </c>
      <c r="C1302" s="0" t="s">
        <v>31</v>
      </c>
      <c r="D1302" s="0" t="s">
        <v>69</v>
      </c>
    </row>
    <row r="1303" customFormat="false" ht="13.8" hidden="false" customHeight="false" outlineLevel="0" collapsed="false">
      <c r="A1303" s="0" t="s">
        <v>3018</v>
      </c>
      <c r="B1303" s="0" t="s">
        <v>3019</v>
      </c>
      <c r="C1303" s="0" t="s">
        <v>31</v>
      </c>
      <c r="D1303" s="0" t="s">
        <v>3020</v>
      </c>
    </row>
    <row r="1304" customFormat="false" ht="13.8" hidden="false" customHeight="false" outlineLevel="0" collapsed="false">
      <c r="A1304" s="0" t="s">
        <v>3021</v>
      </c>
      <c r="B1304" s="0" t="s">
        <v>3022</v>
      </c>
      <c r="C1304" s="0" t="s">
        <v>31</v>
      </c>
      <c r="D1304" s="0" t="s">
        <v>19</v>
      </c>
    </row>
    <row r="1305" customFormat="false" ht="13.8" hidden="false" customHeight="false" outlineLevel="0" collapsed="false">
      <c r="A1305" s="0" t="s">
        <v>3024</v>
      </c>
      <c r="B1305" s="0" t="s">
        <v>3025</v>
      </c>
      <c r="C1305" s="0" t="s">
        <v>31</v>
      </c>
      <c r="D1305" s="0" t="s">
        <v>2386</v>
      </c>
    </row>
    <row r="1306" customFormat="false" ht="13.8" hidden="false" customHeight="false" outlineLevel="0" collapsed="false">
      <c r="A1306" s="0" t="s">
        <v>3026</v>
      </c>
      <c r="B1306" s="0" t="s">
        <v>3027</v>
      </c>
      <c r="C1306" s="0" t="s">
        <v>31</v>
      </c>
      <c r="D1306" s="0" t="s">
        <v>2072</v>
      </c>
    </row>
    <row r="1307" customFormat="false" ht="13.8" hidden="false" customHeight="false" outlineLevel="0" collapsed="false">
      <c r="A1307" s="0" t="s">
        <v>3028</v>
      </c>
      <c r="B1307" s="0" t="s">
        <v>3029</v>
      </c>
      <c r="C1307" s="0" t="s">
        <v>31</v>
      </c>
      <c r="D1307" s="0" t="s">
        <v>413</v>
      </c>
    </row>
    <row r="1308" customFormat="false" ht="13.8" hidden="false" customHeight="false" outlineLevel="0" collapsed="false">
      <c r="A1308" s="0" t="s">
        <v>3031</v>
      </c>
      <c r="B1308" s="0" t="s">
        <v>3032</v>
      </c>
      <c r="C1308" s="0" t="s">
        <v>31</v>
      </c>
      <c r="D1308" s="0" t="s">
        <v>413</v>
      </c>
    </row>
    <row r="1309" customFormat="false" ht="13.8" hidden="false" customHeight="false" outlineLevel="0" collapsed="false">
      <c r="A1309" s="0" t="s">
        <v>3033</v>
      </c>
      <c r="B1309" s="0" t="s">
        <v>3034</v>
      </c>
      <c r="C1309" s="0" t="s">
        <v>31</v>
      </c>
      <c r="D1309" s="0" t="s">
        <v>2072</v>
      </c>
    </row>
    <row r="1310" customFormat="false" ht="13.8" hidden="false" customHeight="false" outlineLevel="0" collapsed="false">
      <c r="A1310" s="0" t="s">
        <v>3035</v>
      </c>
      <c r="B1310" s="0" t="s">
        <v>3036</v>
      </c>
      <c r="C1310" s="0" t="s">
        <v>31</v>
      </c>
      <c r="D1310" s="0" t="s">
        <v>19</v>
      </c>
    </row>
    <row r="1311" customFormat="false" ht="13.8" hidden="false" customHeight="false" outlineLevel="0" collapsed="false">
      <c r="A1311" s="0" t="s">
        <v>3038</v>
      </c>
      <c r="B1311" s="0" t="s">
        <v>3039</v>
      </c>
      <c r="C1311" s="0" t="s">
        <v>31</v>
      </c>
      <c r="D1311" s="0" t="s">
        <v>1592</v>
      </c>
    </row>
    <row r="1312" customFormat="false" ht="13.8" hidden="false" customHeight="false" outlineLevel="0" collapsed="false">
      <c r="A1312" s="0" t="s">
        <v>3040</v>
      </c>
      <c r="B1312" s="0" t="s">
        <v>3041</v>
      </c>
      <c r="C1312" s="0" t="s">
        <v>31</v>
      </c>
      <c r="D1312" s="0" t="s">
        <v>1737</v>
      </c>
    </row>
    <row r="1313" customFormat="false" ht="13.8" hidden="false" customHeight="false" outlineLevel="0" collapsed="false">
      <c r="A1313" s="0" t="s">
        <v>3042</v>
      </c>
      <c r="B1313" s="0" t="s">
        <v>1943</v>
      </c>
      <c r="C1313" s="0" t="s">
        <v>31</v>
      </c>
      <c r="D1313" s="0" t="s">
        <v>1704</v>
      </c>
    </row>
    <row r="1314" customFormat="false" ht="13.8" hidden="false" customHeight="false" outlineLevel="0" collapsed="false">
      <c r="A1314" s="0" t="s">
        <v>3043</v>
      </c>
      <c r="B1314" s="0" t="s">
        <v>3044</v>
      </c>
      <c r="C1314" s="0" t="s">
        <v>31</v>
      </c>
      <c r="D1314" s="0" t="s">
        <v>1737</v>
      </c>
    </row>
    <row r="1315" customFormat="false" ht="13.8" hidden="false" customHeight="false" outlineLevel="0" collapsed="false">
      <c r="A1315" s="0" t="s">
        <v>3045</v>
      </c>
      <c r="B1315" s="0" t="s">
        <v>3046</v>
      </c>
      <c r="C1315" s="0" t="s">
        <v>31</v>
      </c>
      <c r="D1315" s="0" t="s">
        <v>69</v>
      </c>
    </row>
    <row r="1316" customFormat="false" ht="13.8" hidden="false" customHeight="false" outlineLevel="0" collapsed="false">
      <c r="A1316" s="0" t="s">
        <v>3047</v>
      </c>
      <c r="B1316" s="0" t="s">
        <v>3048</v>
      </c>
      <c r="C1316" s="0" t="s">
        <v>31</v>
      </c>
      <c r="D1316" s="0" t="s">
        <v>413</v>
      </c>
    </row>
    <row r="1317" customFormat="false" ht="13.8" hidden="false" customHeight="false" outlineLevel="0" collapsed="false">
      <c r="A1317" s="0" t="s">
        <v>3049</v>
      </c>
      <c r="B1317" s="0" t="s">
        <v>3050</v>
      </c>
      <c r="C1317" s="0" t="s">
        <v>31</v>
      </c>
      <c r="D1317" s="0" t="s">
        <v>1704</v>
      </c>
    </row>
    <row r="1318" customFormat="false" ht="13.8" hidden="false" customHeight="false" outlineLevel="0" collapsed="false">
      <c r="A1318" s="0" t="s">
        <v>3051</v>
      </c>
      <c r="B1318" s="0" t="s">
        <v>2868</v>
      </c>
      <c r="C1318" s="0" t="s">
        <v>31</v>
      </c>
      <c r="D1318" s="0" t="s">
        <v>1508</v>
      </c>
    </row>
    <row r="1319" customFormat="false" ht="13.8" hidden="false" customHeight="false" outlineLevel="0" collapsed="false">
      <c r="A1319" s="0" t="s">
        <v>3052</v>
      </c>
      <c r="B1319" s="0" t="s">
        <v>3053</v>
      </c>
      <c r="C1319" s="0" t="s">
        <v>31</v>
      </c>
      <c r="D1319" s="0" t="s">
        <v>1527</v>
      </c>
    </row>
    <row r="1320" customFormat="false" ht="13.8" hidden="false" customHeight="false" outlineLevel="0" collapsed="false">
      <c r="A1320" s="0" t="s">
        <v>3054</v>
      </c>
      <c r="B1320" s="0" t="s">
        <v>2707</v>
      </c>
      <c r="C1320" s="0" t="s">
        <v>31</v>
      </c>
      <c r="D1320" s="0" t="s">
        <v>19</v>
      </c>
    </row>
    <row r="1321" customFormat="false" ht="13.8" hidden="false" customHeight="false" outlineLevel="0" collapsed="false">
      <c r="A1321" s="0" t="s">
        <v>3055</v>
      </c>
      <c r="B1321" s="0" t="s">
        <v>3056</v>
      </c>
      <c r="C1321" s="0" t="s">
        <v>31</v>
      </c>
      <c r="D1321" s="0" t="s">
        <v>1957</v>
      </c>
    </row>
    <row r="1322" customFormat="false" ht="13.8" hidden="false" customHeight="false" outlineLevel="0" collapsed="false">
      <c r="A1322" s="0" t="s">
        <v>3057</v>
      </c>
      <c r="B1322" s="0" t="s">
        <v>3058</v>
      </c>
      <c r="C1322" s="0" t="s">
        <v>31</v>
      </c>
      <c r="D1322" s="0" t="s">
        <v>413</v>
      </c>
    </row>
    <row r="1323" customFormat="false" ht="13.8" hidden="false" customHeight="false" outlineLevel="0" collapsed="false">
      <c r="A1323" s="0" t="s">
        <v>3059</v>
      </c>
      <c r="B1323" s="0" t="s">
        <v>3060</v>
      </c>
      <c r="C1323" s="0" t="s">
        <v>31</v>
      </c>
      <c r="D1323" s="0" t="s">
        <v>2072</v>
      </c>
    </row>
    <row r="1324" customFormat="false" ht="13.8" hidden="false" customHeight="false" outlineLevel="0" collapsed="false">
      <c r="A1324" s="0" t="s">
        <v>3061</v>
      </c>
      <c r="B1324" s="0" t="s">
        <v>3062</v>
      </c>
      <c r="C1324" s="0" t="s">
        <v>31</v>
      </c>
      <c r="D1324" s="0" t="s">
        <v>3020</v>
      </c>
    </row>
    <row r="1325" customFormat="false" ht="13.8" hidden="false" customHeight="false" outlineLevel="0" collapsed="false">
      <c r="A1325" s="0" t="s">
        <v>3063</v>
      </c>
      <c r="B1325" s="0" t="s">
        <v>3064</v>
      </c>
      <c r="C1325" s="0" t="s">
        <v>31</v>
      </c>
      <c r="D1325" s="0" t="s">
        <v>3065</v>
      </c>
    </row>
    <row r="1326" customFormat="false" ht="13.8" hidden="false" customHeight="false" outlineLevel="0" collapsed="false">
      <c r="A1326" s="0" t="s">
        <v>3066</v>
      </c>
      <c r="B1326" s="0" t="s">
        <v>3067</v>
      </c>
      <c r="C1326" s="0" t="s">
        <v>31</v>
      </c>
      <c r="D1326" s="0" t="s">
        <v>2739</v>
      </c>
    </row>
    <row r="1327" customFormat="false" ht="13.8" hidden="false" customHeight="false" outlineLevel="0" collapsed="false">
      <c r="A1327" s="0" t="s">
        <v>3068</v>
      </c>
      <c r="B1327" s="0" t="s">
        <v>3069</v>
      </c>
      <c r="C1327" s="0" t="s">
        <v>31</v>
      </c>
      <c r="D1327" s="0" t="s">
        <v>16</v>
      </c>
    </row>
    <row r="1328" customFormat="false" ht="13.8" hidden="false" customHeight="false" outlineLevel="0" collapsed="false">
      <c r="A1328" s="0" t="s">
        <v>3070</v>
      </c>
      <c r="B1328" s="0" t="s">
        <v>3071</v>
      </c>
      <c r="C1328" s="0" t="s">
        <v>31</v>
      </c>
      <c r="D1328" s="0" t="s">
        <v>1651</v>
      </c>
    </row>
    <row r="1329" customFormat="false" ht="13.8" hidden="false" customHeight="false" outlineLevel="0" collapsed="false">
      <c r="A1329" s="0" t="s">
        <v>3072</v>
      </c>
      <c r="B1329" s="0" t="s">
        <v>3073</v>
      </c>
      <c r="C1329" s="0" t="s">
        <v>31</v>
      </c>
      <c r="D1329" s="0" t="s">
        <v>3074</v>
      </c>
    </row>
    <row r="1330" customFormat="false" ht="13.8" hidden="false" customHeight="false" outlineLevel="0" collapsed="false">
      <c r="A1330" s="0" t="s">
        <v>3075</v>
      </c>
      <c r="B1330" s="0" t="s">
        <v>3076</v>
      </c>
      <c r="C1330" s="0" t="s">
        <v>31</v>
      </c>
      <c r="D1330" s="0" t="s">
        <v>3077</v>
      </c>
    </row>
    <row r="1331" customFormat="false" ht="13.8" hidden="false" customHeight="false" outlineLevel="0" collapsed="false">
      <c r="A1331" s="0" t="s">
        <v>3078</v>
      </c>
      <c r="B1331" s="0" t="s">
        <v>3079</v>
      </c>
      <c r="C1331" s="0" t="s">
        <v>31</v>
      </c>
      <c r="D1331" s="0" t="s">
        <v>3080</v>
      </c>
    </row>
    <row r="1332" customFormat="false" ht="13.8" hidden="false" customHeight="false" outlineLevel="0" collapsed="false">
      <c r="A1332" s="0" t="s">
        <v>3081</v>
      </c>
      <c r="B1332" s="0" t="s">
        <v>3082</v>
      </c>
      <c r="C1332" s="0" t="s">
        <v>31</v>
      </c>
      <c r="D1332" s="0" t="s">
        <v>413</v>
      </c>
    </row>
    <row r="1333" customFormat="false" ht="13.8" hidden="false" customHeight="false" outlineLevel="0" collapsed="false">
      <c r="A1333" s="0" t="s">
        <v>3083</v>
      </c>
      <c r="B1333" s="0" t="s">
        <v>3084</v>
      </c>
      <c r="C1333" s="0" t="s">
        <v>31</v>
      </c>
      <c r="D1333" s="0" t="s">
        <v>69</v>
      </c>
    </row>
    <row r="1334" customFormat="false" ht="13.8" hidden="false" customHeight="false" outlineLevel="0" collapsed="false">
      <c r="A1334" s="0" t="s">
        <v>3085</v>
      </c>
      <c r="B1334" s="0" t="s">
        <v>3086</v>
      </c>
      <c r="C1334" s="0" t="s">
        <v>31</v>
      </c>
      <c r="D1334" s="0" t="s">
        <v>413</v>
      </c>
    </row>
    <row r="1335" customFormat="false" ht="13.8" hidden="false" customHeight="false" outlineLevel="0" collapsed="false">
      <c r="A1335" s="0" t="s">
        <v>3087</v>
      </c>
      <c r="B1335" s="0" t="s">
        <v>3088</v>
      </c>
      <c r="C1335" s="0" t="s">
        <v>31</v>
      </c>
      <c r="D1335" s="0" t="s">
        <v>19</v>
      </c>
    </row>
    <row r="1336" customFormat="false" ht="13.8" hidden="false" customHeight="false" outlineLevel="0" collapsed="false">
      <c r="A1336" s="0" t="s">
        <v>3090</v>
      </c>
      <c r="B1336" s="0" t="s">
        <v>3091</v>
      </c>
      <c r="C1336" s="0" t="s">
        <v>31</v>
      </c>
      <c r="D1336" s="0" t="s">
        <v>1924</v>
      </c>
    </row>
    <row r="1337" customFormat="false" ht="13.8" hidden="false" customHeight="false" outlineLevel="0" collapsed="false">
      <c r="A1337" s="0" t="s">
        <v>3092</v>
      </c>
      <c r="B1337" s="0" t="s">
        <v>2989</v>
      </c>
      <c r="C1337" s="0" t="s">
        <v>31</v>
      </c>
      <c r="D1337" s="0" t="s">
        <v>413</v>
      </c>
    </row>
    <row r="1338" customFormat="false" ht="13.8" hidden="false" customHeight="false" outlineLevel="0" collapsed="false">
      <c r="A1338" s="0" t="s">
        <v>3094</v>
      </c>
      <c r="B1338" s="0" t="s">
        <v>3095</v>
      </c>
      <c r="C1338" s="0" t="s">
        <v>31</v>
      </c>
      <c r="D1338" s="0" t="s">
        <v>413</v>
      </c>
    </row>
    <row r="1339" customFormat="false" ht="13.8" hidden="false" customHeight="false" outlineLevel="0" collapsed="false">
      <c r="A1339" s="0" t="s">
        <v>3097</v>
      </c>
      <c r="B1339" s="0" t="s">
        <v>3098</v>
      </c>
      <c r="C1339" s="0" t="s">
        <v>31</v>
      </c>
      <c r="D1339" s="0" t="s">
        <v>1508</v>
      </c>
    </row>
    <row r="1340" customFormat="false" ht="13.8" hidden="false" customHeight="false" outlineLevel="0" collapsed="false">
      <c r="A1340" s="0" t="s">
        <v>3099</v>
      </c>
      <c r="B1340" s="0" t="s">
        <v>3100</v>
      </c>
      <c r="C1340" s="0" t="s">
        <v>31</v>
      </c>
      <c r="D1340" s="0" t="s">
        <v>3101</v>
      </c>
    </row>
    <row r="1341" customFormat="false" ht="13.8" hidden="false" customHeight="false" outlineLevel="0" collapsed="false">
      <c r="A1341" s="0" t="s">
        <v>3102</v>
      </c>
      <c r="B1341" s="0" t="s">
        <v>3103</v>
      </c>
      <c r="C1341" s="0" t="s">
        <v>31</v>
      </c>
      <c r="D1341" s="0" t="s">
        <v>413</v>
      </c>
    </row>
    <row r="1342" customFormat="false" ht="13.8" hidden="false" customHeight="false" outlineLevel="0" collapsed="false">
      <c r="A1342" s="0" t="s">
        <v>3105</v>
      </c>
      <c r="B1342" s="0" t="s">
        <v>3106</v>
      </c>
      <c r="C1342" s="0" t="s">
        <v>31</v>
      </c>
      <c r="D1342" s="0" t="s">
        <v>3107</v>
      </c>
    </row>
    <row r="1343" customFormat="false" ht="13.8" hidden="false" customHeight="false" outlineLevel="0" collapsed="false">
      <c r="A1343" s="0" t="s">
        <v>3108</v>
      </c>
      <c r="B1343" s="0" t="s">
        <v>3109</v>
      </c>
      <c r="C1343" s="0" t="s">
        <v>31</v>
      </c>
      <c r="D1343" s="0" t="s">
        <v>2072</v>
      </c>
    </row>
    <row r="1344" customFormat="false" ht="13.8" hidden="false" customHeight="false" outlineLevel="0" collapsed="false">
      <c r="A1344" s="0" t="s">
        <v>3110</v>
      </c>
      <c r="B1344" s="0" t="s">
        <v>3111</v>
      </c>
      <c r="C1344" s="0" t="s">
        <v>31</v>
      </c>
      <c r="D1344" s="0" t="s">
        <v>1592</v>
      </c>
    </row>
    <row r="1345" customFormat="false" ht="13.8" hidden="false" customHeight="false" outlineLevel="0" collapsed="false">
      <c r="A1345" s="0" t="s">
        <v>3112</v>
      </c>
      <c r="B1345" s="0" t="s">
        <v>3113</v>
      </c>
      <c r="C1345" s="0" t="s">
        <v>31</v>
      </c>
      <c r="D1345" s="0" t="s">
        <v>1651</v>
      </c>
    </row>
    <row r="1346" customFormat="false" ht="13.8" hidden="false" customHeight="false" outlineLevel="0" collapsed="false">
      <c r="A1346" s="0" t="s">
        <v>3114</v>
      </c>
      <c r="B1346" s="0" t="s">
        <v>3115</v>
      </c>
      <c r="C1346" s="0" t="s">
        <v>31</v>
      </c>
      <c r="D1346" s="0" t="s">
        <v>413</v>
      </c>
    </row>
    <row r="1347" customFormat="false" ht="13.8" hidden="false" customHeight="false" outlineLevel="0" collapsed="false">
      <c r="A1347" s="0" t="s">
        <v>3117</v>
      </c>
      <c r="B1347" s="0" t="s">
        <v>3118</v>
      </c>
      <c r="C1347" s="0" t="s">
        <v>31</v>
      </c>
      <c r="D1347" s="0" t="s">
        <v>19</v>
      </c>
    </row>
    <row r="1348" customFormat="false" ht="13.8" hidden="false" customHeight="false" outlineLevel="0" collapsed="false">
      <c r="A1348" s="0" t="s">
        <v>3119</v>
      </c>
      <c r="B1348" s="0" t="s">
        <v>3120</v>
      </c>
      <c r="C1348" s="0" t="s">
        <v>31</v>
      </c>
      <c r="D1348" s="0" t="s">
        <v>2552</v>
      </c>
    </row>
    <row r="1349" customFormat="false" ht="13.8" hidden="false" customHeight="false" outlineLevel="0" collapsed="false">
      <c r="A1349" s="0" t="s">
        <v>3121</v>
      </c>
      <c r="B1349" s="0" t="s">
        <v>3122</v>
      </c>
      <c r="C1349" s="0" t="s">
        <v>31</v>
      </c>
      <c r="D1349" s="0" t="s">
        <v>3123</v>
      </c>
    </row>
    <row r="1350" customFormat="false" ht="13.8" hidden="false" customHeight="false" outlineLevel="0" collapsed="false">
      <c r="A1350" s="0" t="s">
        <v>3124</v>
      </c>
      <c r="B1350" s="0" t="s">
        <v>3125</v>
      </c>
      <c r="C1350" s="0" t="s">
        <v>31</v>
      </c>
      <c r="D1350" s="0" t="s">
        <v>413</v>
      </c>
    </row>
    <row r="1351" customFormat="false" ht="13.8" hidden="false" customHeight="false" outlineLevel="0" collapsed="false">
      <c r="A1351" s="0" t="s">
        <v>3127</v>
      </c>
      <c r="B1351" s="0" t="s">
        <v>3128</v>
      </c>
      <c r="C1351" s="0" t="s">
        <v>31</v>
      </c>
      <c r="D1351" s="0" t="s">
        <v>1527</v>
      </c>
    </row>
    <row r="1352" customFormat="false" ht="13.8" hidden="false" customHeight="false" outlineLevel="0" collapsed="false">
      <c r="A1352" s="0" t="s">
        <v>3129</v>
      </c>
      <c r="B1352" s="0" t="s">
        <v>3130</v>
      </c>
      <c r="C1352" s="0" t="s">
        <v>31</v>
      </c>
      <c r="D1352" s="0" t="s">
        <v>413</v>
      </c>
    </row>
    <row r="1353" customFormat="false" ht="13.8" hidden="false" customHeight="false" outlineLevel="0" collapsed="false">
      <c r="A1353" s="0" t="s">
        <v>3132</v>
      </c>
      <c r="B1353" s="0" t="s">
        <v>3133</v>
      </c>
      <c r="C1353" s="0" t="s">
        <v>31</v>
      </c>
      <c r="D1353" s="0" t="s">
        <v>1508</v>
      </c>
    </row>
    <row r="1354" customFormat="false" ht="13.8" hidden="false" customHeight="false" outlineLevel="0" collapsed="false">
      <c r="A1354" s="0" t="s">
        <v>3134</v>
      </c>
      <c r="B1354" s="0" t="s">
        <v>3135</v>
      </c>
      <c r="C1354" s="0" t="s">
        <v>31</v>
      </c>
      <c r="D1354" s="0" t="s">
        <v>1633</v>
      </c>
    </row>
    <row r="1355" customFormat="false" ht="13.8" hidden="false" customHeight="false" outlineLevel="0" collapsed="false">
      <c r="A1355" s="0" t="s">
        <v>3136</v>
      </c>
      <c r="B1355" s="0" t="s">
        <v>3137</v>
      </c>
      <c r="C1355" s="0" t="s">
        <v>31</v>
      </c>
      <c r="D1355" s="0" t="s">
        <v>3138</v>
      </c>
    </row>
    <row r="1356" customFormat="false" ht="13.8" hidden="false" customHeight="false" outlineLevel="0" collapsed="false">
      <c r="A1356" s="0" t="s">
        <v>3139</v>
      </c>
      <c r="B1356" s="0" t="s">
        <v>3140</v>
      </c>
      <c r="C1356" s="0" t="s">
        <v>31</v>
      </c>
      <c r="D1356" s="0" t="s">
        <v>19</v>
      </c>
    </row>
    <row r="1357" customFormat="false" ht="13.8" hidden="false" customHeight="false" outlineLevel="0" collapsed="false">
      <c r="A1357" s="0" t="s">
        <v>3141</v>
      </c>
      <c r="B1357" s="0" t="s">
        <v>3142</v>
      </c>
      <c r="C1357" s="0" t="s">
        <v>31</v>
      </c>
      <c r="D1357" s="0" t="s">
        <v>2492</v>
      </c>
    </row>
    <row r="1358" customFormat="false" ht="13.8" hidden="false" customHeight="false" outlineLevel="0" collapsed="false">
      <c r="A1358" s="0" t="s">
        <v>3143</v>
      </c>
      <c r="B1358" s="0" t="s">
        <v>3144</v>
      </c>
      <c r="C1358" s="0" t="s">
        <v>31</v>
      </c>
      <c r="D1358" s="0" t="s">
        <v>19</v>
      </c>
    </row>
    <row r="1359" customFormat="false" ht="13.8" hidden="false" customHeight="false" outlineLevel="0" collapsed="false">
      <c r="A1359" s="0" t="s">
        <v>3147</v>
      </c>
      <c r="B1359" s="0" t="s">
        <v>3148</v>
      </c>
      <c r="C1359" s="0" t="s">
        <v>31</v>
      </c>
      <c r="D1359" s="0" t="s">
        <v>1540</v>
      </c>
    </row>
    <row r="1360" customFormat="false" ht="13.8" hidden="false" customHeight="false" outlineLevel="0" collapsed="false">
      <c r="A1360" s="0" t="s">
        <v>3149</v>
      </c>
      <c r="B1360" s="0" t="s">
        <v>3150</v>
      </c>
      <c r="C1360" s="0" t="s">
        <v>31</v>
      </c>
      <c r="D1360" s="0" t="s">
        <v>413</v>
      </c>
    </row>
    <row r="1361" customFormat="false" ht="13.8" hidden="false" customHeight="false" outlineLevel="0" collapsed="false">
      <c r="A1361" s="0" t="s">
        <v>3151</v>
      </c>
      <c r="B1361" s="0" t="s">
        <v>3152</v>
      </c>
      <c r="C1361" s="0" t="s">
        <v>31</v>
      </c>
      <c r="D1361" s="0" t="s">
        <v>413</v>
      </c>
    </row>
    <row r="1362" customFormat="false" ht="13.8" hidden="false" customHeight="false" outlineLevel="0" collapsed="false">
      <c r="A1362" s="0" t="s">
        <v>3153</v>
      </c>
      <c r="B1362" s="0" t="s">
        <v>3154</v>
      </c>
      <c r="C1362" s="0" t="s">
        <v>31</v>
      </c>
      <c r="D1362" s="0" t="s">
        <v>2540</v>
      </c>
    </row>
    <row r="1363" customFormat="false" ht="13.8" hidden="false" customHeight="false" outlineLevel="0" collapsed="false">
      <c r="A1363" s="0" t="s">
        <v>3155</v>
      </c>
      <c r="B1363" s="0" t="s">
        <v>3156</v>
      </c>
      <c r="C1363" s="0" t="s">
        <v>31</v>
      </c>
      <c r="D1363" s="0" t="s">
        <v>1513</v>
      </c>
    </row>
    <row r="1364" customFormat="false" ht="13.8" hidden="false" customHeight="false" outlineLevel="0" collapsed="false">
      <c r="A1364" s="0" t="s">
        <v>3157</v>
      </c>
      <c r="B1364" s="0" t="s">
        <v>2065</v>
      </c>
      <c r="C1364" s="0" t="s">
        <v>31</v>
      </c>
      <c r="D1364" s="0" t="s">
        <v>19</v>
      </c>
    </row>
    <row r="1365" customFormat="false" ht="13.8" hidden="false" customHeight="false" outlineLevel="0" collapsed="false">
      <c r="A1365" s="0" t="s">
        <v>3158</v>
      </c>
      <c r="B1365" s="0" t="s">
        <v>3159</v>
      </c>
      <c r="C1365" s="0" t="s">
        <v>31</v>
      </c>
      <c r="D1365" s="0" t="s">
        <v>1737</v>
      </c>
    </row>
    <row r="1366" customFormat="false" ht="13.8" hidden="false" customHeight="false" outlineLevel="0" collapsed="false">
      <c r="A1366" s="0" t="s">
        <v>3160</v>
      </c>
      <c r="B1366" s="0" t="s">
        <v>1558</v>
      </c>
      <c r="C1366" s="0" t="s">
        <v>31</v>
      </c>
      <c r="D1366" s="0" t="s">
        <v>3020</v>
      </c>
    </row>
    <row r="1367" customFormat="false" ht="13.8" hidden="false" customHeight="false" outlineLevel="0" collapsed="false">
      <c r="A1367" s="0" t="s">
        <v>3161</v>
      </c>
      <c r="B1367" s="0" t="s">
        <v>3162</v>
      </c>
      <c r="C1367" s="0" t="s">
        <v>31</v>
      </c>
      <c r="D1367" s="0" t="s">
        <v>1704</v>
      </c>
    </row>
    <row r="1368" customFormat="false" ht="13.8" hidden="false" customHeight="false" outlineLevel="0" collapsed="false">
      <c r="A1368" s="0" t="s">
        <v>3163</v>
      </c>
      <c r="B1368" s="0" t="s">
        <v>3164</v>
      </c>
      <c r="C1368" s="0" t="s">
        <v>31</v>
      </c>
      <c r="D1368" s="0" t="s">
        <v>413</v>
      </c>
    </row>
    <row r="1369" customFormat="false" ht="13.8" hidden="false" customHeight="false" outlineLevel="0" collapsed="false">
      <c r="A1369" s="0" t="s">
        <v>3165</v>
      </c>
      <c r="B1369" s="0" t="s">
        <v>3166</v>
      </c>
      <c r="C1369" s="0" t="s">
        <v>31</v>
      </c>
      <c r="D1369" s="0" t="s">
        <v>1651</v>
      </c>
    </row>
    <row r="1370" customFormat="false" ht="13.8" hidden="false" customHeight="false" outlineLevel="0" collapsed="false">
      <c r="A1370" s="0" t="s">
        <v>3167</v>
      </c>
      <c r="B1370" s="0" t="s">
        <v>3168</v>
      </c>
      <c r="C1370" s="0" t="s">
        <v>31</v>
      </c>
      <c r="D1370" s="0" t="s">
        <v>1704</v>
      </c>
    </row>
    <row r="1371" customFormat="false" ht="13.8" hidden="false" customHeight="false" outlineLevel="0" collapsed="false">
      <c r="A1371" s="0" t="s">
        <v>3169</v>
      </c>
      <c r="B1371" s="0" t="s">
        <v>3170</v>
      </c>
      <c r="C1371" s="0" t="s">
        <v>31</v>
      </c>
      <c r="D1371" s="0" t="s">
        <v>413</v>
      </c>
    </row>
    <row r="1372" customFormat="false" ht="13.8" hidden="false" customHeight="false" outlineLevel="0" collapsed="false">
      <c r="A1372" s="0" t="s">
        <v>3171</v>
      </c>
      <c r="B1372" s="0" t="s">
        <v>1346</v>
      </c>
      <c r="C1372" s="0" t="s">
        <v>31</v>
      </c>
      <c r="D1372" s="0" t="s">
        <v>413</v>
      </c>
    </row>
    <row r="1373" customFormat="false" ht="13.8" hidden="false" customHeight="false" outlineLevel="0" collapsed="false">
      <c r="A1373" s="0" t="s">
        <v>3172</v>
      </c>
      <c r="B1373" s="0" t="s">
        <v>3173</v>
      </c>
      <c r="C1373" s="0" t="s">
        <v>31</v>
      </c>
      <c r="D1373" s="0" t="s">
        <v>1505</v>
      </c>
    </row>
    <row r="1374" customFormat="false" ht="13.8" hidden="false" customHeight="false" outlineLevel="0" collapsed="false">
      <c r="A1374" s="0" t="s">
        <v>3174</v>
      </c>
      <c r="B1374" s="0" t="s">
        <v>3175</v>
      </c>
      <c r="C1374" s="0" t="s">
        <v>31</v>
      </c>
      <c r="D1374" s="0" t="s">
        <v>1924</v>
      </c>
    </row>
    <row r="1375" customFormat="false" ht="13.8" hidden="false" customHeight="false" outlineLevel="0" collapsed="false">
      <c r="A1375" s="0" t="s">
        <v>3176</v>
      </c>
      <c r="B1375" s="0" t="s">
        <v>3177</v>
      </c>
      <c r="C1375" s="0" t="s">
        <v>31</v>
      </c>
      <c r="D1375" s="0" t="s">
        <v>2444</v>
      </c>
    </row>
    <row r="1376" customFormat="false" ht="13.8" hidden="false" customHeight="false" outlineLevel="0" collapsed="false">
      <c r="A1376" s="0" t="s">
        <v>3178</v>
      </c>
      <c r="B1376" s="0" t="s">
        <v>3179</v>
      </c>
      <c r="C1376" s="0" t="s">
        <v>31</v>
      </c>
      <c r="D1376" s="0" t="s">
        <v>1592</v>
      </c>
    </row>
    <row r="1377" customFormat="false" ht="13.8" hidden="false" customHeight="false" outlineLevel="0" collapsed="false">
      <c r="A1377" s="0" t="s">
        <v>3180</v>
      </c>
      <c r="B1377" s="0" t="s">
        <v>3181</v>
      </c>
      <c r="C1377" s="0" t="s">
        <v>31</v>
      </c>
      <c r="D1377" s="0" t="s">
        <v>413</v>
      </c>
    </row>
    <row r="1378" customFormat="false" ht="13.8" hidden="false" customHeight="false" outlineLevel="0" collapsed="false">
      <c r="A1378" s="0" t="s">
        <v>3182</v>
      </c>
      <c r="B1378" s="0" t="s">
        <v>3183</v>
      </c>
      <c r="C1378" s="0" t="s">
        <v>31</v>
      </c>
      <c r="D1378" s="0" t="s">
        <v>3184</v>
      </c>
    </row>
    <row r="1379" customFormat="false" ht="13.8" hidden="false" customHeight="false" outlineLevel="0" collapsed="false">
      <c r="A1379" s="0" t="s">
        <v>3185</v>
      </c>
      <c r="B1379" s="0" t="s">
        <v>3186</v>
      </c>
      <c r="C1379" s="0" t="s">
        <v>31</v>
      </c>
      <c r="D1379" s="0" t="s">
        <v>3187</v>
      </c>
    </row>
    <row r="1380" customFormat="false" ht="13.8" hidden="false" customHeight="false" outlineLevel="0" collapsed="false">
      <c r="A1380" s="0" t="s">
        <v>3188</v>
      </c>
      <c r="B1380" s="0" t="s">
        <v>3189</v>
      </c>
      <c r="C1380" s="0" t="s">
        <v>31</v>
      </c>
      <c r="D1380" s="0" t="s">
        <v>3190</v>
      </c>
    </row>
    <row r="1381" customFormat="false" ht="13.8" hidden="false" customHeight="false" outlineLevel="0" collapsed="false">
      <c r="A1381" s="0" t="s">
        <v>3191</v>
      </c>
      <c r="B1381" s="0" t="s">
        <v>2063</v>
      </c>
      <c r="C1381" s="0" t="s">
        <v>31</v>
      </c>
      <c r="D1381" s="0" t="s">
        <v>2054</v>
      </c>
    </row>
    <row r="1382" customFormat="false" ht="13.8" hidden="false" customHeight="false" outlineLevel="0" collapsed="false">
      <c r="A1382" s="0" t="s">
        <v>3192</v>
      </c>
      <c r="B1382" s="0" t="s">
        <v>3193</v>
      </c>
      <c r="C1382" s="0" t="s">
        <v>31</v>
      </c>
      <c r="D1382" s="0" t="s">
        <v>1651</v>
      </c>
    </row>
    <row r="1383" customFormat="false" ht="13.8" hidden="false" customHeight="false" outlineLevel="0" collapsed="false">
      <c r="A1383" s="0" t="s">
        <v>3194</v>
      </c>
      <c r="B1383" s="0" t="s">
        <v>3195</v>
      </c>
      <c r="C1383" s="0" t="s">
        <v>31</v>
      </c>
      <c r="D1383" s="0" t="s">
        <v>3196</v>
      </c>
    </row>
    <row r="1384" customFormat="false" ht="13.8" hidden="false" customHeight="false" outlineLevel="0" collapsed="false">
      <c r="A1384" s="0" t="s">
        <v>3197</v>
      </c>
      <c r="B1384" s="0" t="s">
        <v>3198</v>
      </c>
      <c r="C1384" s="0" t="s">
        <v>31</v>
      </c>
      <c r="D1384" s="0" t="s">
        <v>413</v>
      </c>
    </row>
    <row r="1385" customFormat="false" ht="13.8" hidden="false" customHeight="false" outlineLevel="0" collapsed="false">
      <c r="A1385" s="0" t="s">
        <v>3199</v>
      </c>
      <c r="B1385" s="0" t="s">
        <v>3200</v>
      </c>
      <c r="C1385" s="0" t="s">
        <v>31</v>
      </c>
      <c r="D1385" s="0" t="s">
        <v>1924</v>
      </c>
    </row>
    <row r="1386" customFormat="false" ht="13.8" hidden="false" customHeight="false" outlineLevel="0" collapsed="false">
      <c r="A1386" s="0" t="s">
        <v>3201</v>
      </c>
      <c r="B1386" s="0" t="s">
        <v>3202</v>
      </c>
      <c r="C1386" s="0" t="s">
        <v>31</v>
      </c>
      <c r="D1386" s="0" t="s">
        <v>413</v>
      </c>
    </row>
    <row r="1387" customFormat="false" ht="13.8" hidden="false" customHeight="false" outlineLevel="0" collapsed="false">
      <c r="A1387" s="0" t="s">
        <v>3203</v>
      </c>
      <c r="B1387" s="0" t="s">
        <v>3204</v>
      </c>
      <c r="C1387" s="0" t="s">
        <v>31</v>
      </c>
      <c r="D1387" s="0" t="s">
        <v>1957</v>
      </c>
    </row>
    <row r="1388" customFormat="false" ht="13.8" hidden="false" customHeight="false" outlineLevel="0" collapsed="false">
      <c r="A1388" s="0" t="s">
        <v>3205</v>
      </c>
      <c r="B1388" s="0" t="s">
        <v>3206</v>
      </c>
      <c r="C1388" s="0" t="s">
        <v>31</v>
      </c>
      <c r="D1388" s="0" t="s">
        <v>1704</v>
      </c>
    </row>
    <row r="1389" customFormat="false" ht="13.8" hidden="false" customHeight="false" outlineLevel="0" collapsed="false">
      <c r="A1389" s="0" t="s">
        <v>3207</v>
      </c>
      <c r="B1389" s="0" t="s">
        <v>3208</v>
      </c>
      <c r="C1389" s="0" t="s">
        <v>31</v>
      </c>
      <c r="D1389" s="0" t="s">
        <v>413</v>
      </c>
    </row>
    <row r="1390" customFormat="false" ht="13.8" hidden="false" customHeight="false" outlineLevel="0" collapsed="false">
      <c r="A1390" s="0" t="s">
        <v>3209</v>
      </c>
      <c r="B1390" s="0" t="s">
        <v>3210</v>
      </c>
      <c r="C1390" s="0" t="s">
        <v>31</v>
      </c>
      <c r="D1390" s="0" t="s">
        <v>19</v>
      </c>
    </row>
    <row r="1391" customFormat="false" ht="13.8" hidden="false" customHeight="false" outlineLevel="0" collapsed="false">
      <c r="A1391" s="0" t="s">
        <v>3211</v>
      </c>
      <c r="B1391" s="0" t="s">
        <v>3212</v>
      </c>
      <c r="C1391" s="0" t="s">
        <v>31</v>
      </c>
      <c r="D1391" s="0" t="s">
        <v>19</v>
      </c>
    </row>
    <row r="1392" customFormat="false" ht="13.8" hidden="false" customHeight="false" outlineLevel="0" collapsed="false">
      <c r="A1392" s="0" t="s">
        <v>3213</v>
      </c>
      <c r="B1392" s="0" t="s">
        <v>3214</v>
      </c>
      <c r="C1392" s="0" t="s">
        <v>31</v>
      </c>
      <c r="D1392" s="0" t="s">
        <v>1957</v>
      </c>
    </row>
    <row r="1393" customFormat="false" ht="13.8" hidden="false" customHeight="false" outlineLevel="0" collapsed="false">
      <c r="A1393" s="0" t="s">
        <v>3215</v>
      </c>
      <c r="B1393" s="0" t="s">
        <v>3216</v>
      </c>
      <c r="C1393" s="0" t="s">
        <v>31</v>
      </c>
      <c r="D1393" s="0" t="s">
        <v>19</v>
      </c>
    </row>
    <row r="1394" customFormat="false" ht="13.8" hidden="false" customHeight="false" outlineLevel="0" collapsed="false">
      <c r="A1394" s="0" t="s">
        <v>3217</v>
      </c>
      <c r="B1394" s="0" t="s">
        <v>3218</v>
      </c>
      <c r="C1394" s="0" t="s">
        <v>31</v>
      </c>
      <c r="D1394" s="0" t="s">
        <v>2444</v>
      </c>
    </row>
    <row r="1395" customFormat="false" ht="13.8" hidden="false" customHeight="false" outlineLevel="0" collapsed="false">
      <c r="A1395" s="0" t="s">
        <v>3219</v>
      </c>
      <c r="B1395" s="0" t="s">
        <v>3220</v>
      </c>
      <c r="C1395" s="0" t="s">
        <v>31</v>
      </c>
      <c r="D1395" s="0" t="s">
        <v>2072</v>
      </c>
    </row>
    <row r="1396" customFormat="false" ht="13.8" hidden="false" customHeight="false" outlineLevel="0" collapsed="false">
      <c r="A1396" s="0" t="s">
        <v>3221</v>
      </c>
      <c r="B1396" s="0" t="s">
        <v>3222</v>
      </c>
      <c r="C1396" s="0" t="s">
        <v>31</v>
      </c>
      <c r="D1396" s="0" t="s">
        <v>413</v>
      </c>
    </row>
    <row r="1397" customFormat="false" ht="13.8" hidden="false" customHeight="false" outlineLevel="0" collapsed="false">
      <c r="A1397" s="0" t="s">
        <v>3223</v>
      </c>
      <c r="B1397" s="0" t="s">
        <v>3224</v>
      </c>
      <c r="C1397" s="0" t="s">
        <v>31</v>
      </c>
      <c r="D1397" s="0" t="s">
        <v>413</v>
      </c>
    </row>
    <row r="1398" customFormat="false" ht="13.8" hidden="false" customHeight="false" outlineLevel="0" collapsed="false">
      <c r="A1398" s="0" t="s">
        <v>3225</v>
      </c>
      <c r="B1398" s="0" t="s">
        <v>3226</v>
      </c>
      <c r="C1398" s="0" t="s">
        <v>31</v>
      </c>
      <c r="D1398" s="0" t="s">
        <v>1651</v>
      </c>
    </row>
    <row r="1399" customFormat="false" ht="13.8" hidden="false" customHeight="false" outlineLevel="0" collapsed="false">
      <c r="A1399" s="0" t="s">
        <v>3227</v>
      </c>
      <c r="B1399" s="0" t="s">
        <v>3228</v>
      </c>
      <c r="C1399" s="0" t="s">
        <v>31</v>
      </c>
      <c r="D1399" s="0" t="s">
        <v>1704</v>
      </c>
    </row>
    <row r="1400" customFormat="false" ht="13.8" hidden="false" customHeight="false" outlineLevel="0" collapsed="false">
      <c r="A1400" s="0" t="s">
        <v>3229</v>
      </c>
      <c r="B1400" s="0" t="s">
        <v>3230</v>
      </c>
      <c r="C1400" s="0" t="s">
        <v>31</v>
      </c>
      <c r="D1400" s="0" t="s">
        <v>413</v>
      </c>
    </row>
    <row r="1401" customFormat="false" ht="13.8" hidden="false" customHeight="false" outlineLevel="0" collapsed="false">
      <c r="A1401" s="0" t="s">
        <v>3231</v>
      </c>
      <c r="B1401" s="0" t="s">
        <v>3232</v>
      </c>
      <c r="C1401" s="0" t="s">
        <v>31</v>
      </c>
      <c r="D1401" s="0" t="s">
        <v>1704</v>
      </c>
    </row>
    <row r="1402" customFormat="false" ht="13.8" hidden="false" customHeight="false" outlineLevel="0" collapsed="false">
      <c r="A1402" s="0" t="s">
        <v>3233</v>
      </c>
      <c r="B1402" s="0" t="s">
        <v>3234</v>
      </c>
      <c r="C1402" s="0" t="s">
        <v>31</v>
      </c>
      <c r="D1402" s="0" t="s">
        <v>2552</v>
      </c>
    </row>
    <row r="1403" customFormat="false" ht="13.8" hidden="false" customHeight="false" outlineLevel="0" collapsed="false">
      <c r="A1403" s="0" t="s">
        <v>3235</v>
      </c>
      <c r="B1403" s="0" t="s">
        <v>3236</v>
      </c>
      <c r="C1403" s="0" t="s">
        <v>31</v>
      </c>
      <c r="D1403" s="0" t="s">
        <v>413</v>
      </c>
    </row>
    <row r="1404" customFormat="false" ht="13.8" hidden="false" customHeight="false" outlineLevel="0" collapsed="false">
      <c r="A1404" s="0" t="s">
        <v>3237</v>
      </c>
      <c r="B1404" s="0" t="s">
        <v>868</v>
      </c>
      <c r="C1404" s="0" t="s">
        <v>31</v>
      </c>
      <c r="D1404" s="0" t="s">
        <v>2072</v>
      </c>
    </row>
    <row r="1405" customFormat="false" ht="13.8" hidden="false" customHeight="false" outlineLevel="0" collapsed="false">
      <c r="A1405" s="0" t="s">
        <v>3238</v>
      </c>
      <c r="B1405" s="0" t="s">
        <v>3239</v>
      </c>
      <c r="C1405" s="0" t="s">
        <v>31</v>
      </c>
      <c r="D1405" s="0" t="s">
        <v>2887</v>
      </c>
    </row>
    <row r="1406" customFormat="false" ht="13.8" hidden="false" customHeight="false" outlineLevel="0" collapsed="false">
      <c r="A1406" s="0" t="s">
        <v>3240</v>
      </c>
      <c r="B1406" s="0" t="s">
        <v>3241</v>
      </c>
      <c r="C1406" s="0" t="s">
        <v>31</v>
      </c>
      <c r="D1406" s="0" t="s">
        <v>1513</v>
      </c>
    </row>
    <row r="1407" customFormat="false" ht="13.8" hidden="false" customHeight="false" outlineLevel="0" collapsed="false">
      <c r="A1407" s="0" t="s">
        <v>3242</v>
      </c>
      <c r="B1407" s="0" t="s">
        <v>3243</v>
      </c>
      <c r="C1407" s="0" t="s">
        <v>31</v>
      </c>
      <c r="D1407" s="0" t="s">
        <v>16</v>
      </c>
    </row>
    <row r="1408" customFormat="false" ht="13.8" hidden="false" customHeight="false" outlineLevel="0" collapsed="false">
      <c r="A1408" s="0" t="s">
        <v>3244</v>
      </c>
      <c r="B1408" s="0" t="s">
        <v>3245</v>
      </c>
      <c r="C1408" s="0" t="s">
        <v>31</v>
      </c>
      <c r="D1408" s="0" t="s">
        <v>413</v>
      </c>
    </row>
    <row r="1409" customFormat="false" ht="13.8" hidden="false" customHeight="false" outlineLevel="0" collapsed="false">
      <c r="A1409" s="0" t="s">
        <v>3246</v>
      </c>
      <c r="B1409" s="0" t="s">
        <v>3247</v>
      </c>
      <c r="C1409" s="0" t="s">
        <v>31</v>
      </c>
      <c r="D1409" s="0" t="s">
        <v>413</v>
      </c>
    </row>
    <row r="1410" customFormat="false" ht="13.8" hidden="false" customHeight="false" outlineLevel="0" collapsed="false">
      <c r="A1410" s="0" t="s">
        <v>3248</v>
      </c>
      <c r="B1410" s="0" t="s">
        <v>3249</v>
      </c>
      <c r="C1410" s="0" t="s">
        <v>31</v>
      </c>
      <c r="D1410" s="0" t="s">
        <v>1513</v>
      </c>
    </row>
    <row r="1411" customFormat="false" ht="13.8" hidden="false" customHeight="false" outlineLevel="0" collapsed="false">
      <c r="A1411" s="0" t="s">
        <v>3250</v>
      </c>
      <c r="B1411" s="0" t="s">
        <v>3251</v>
      </c>
      <c r="C1411" s="0" t="s">
        <v>31</v>
      </c>
      <c r="D1411" s="0" t="s">
        <v>2356</v>
      </c>
    </row>
    <row r="1412" customFormat="false" ht="13.8" hidden="false" customHeight="false" outlineLevel="0" collapsed="false">
      <c r="A1412" s="0" t="s">
        <v>3252</v>
      </c>
      <c r="B1412" s="0" t="s">
        <v>2413</v>
      </c>
      <c r="C1412" s="0" t="s">
        <v>31</v>
      </c>
      <c r="D1412" s="0" t="s">
        <v>1651</v>
      </c>
    </row>
    <row r="1413" customFormat="false" ht="13.8" hidden="false" customHeight="false" outlineLevel="0" collapsed="false">
      <c r="A1413" s="0" t="s">
        <v>3253</v>
      </c>
      <c r="B1413" s="0" t="s">
        <v>3254</v>
      </c>
      <c r="C1413" s="0" t="s">
        <v>31</v>
      </c>
      <c r="D1413" s="0" t="s">
        <v>2444</v>
      </c>
    </row>
    <row r="1414" customFormat="false" ht="13.8" hidden="false" customHeight="false" outlineLevel="0" collapsed="false">
      <c r="A1414" s="0" t="s">
        <v>3255</v>
      </c>
      <c r="B1414" s="0" t="s">
        <v>3256</v>
      </c>
      <c r="C1414" s="0" t="s">
        <v>31</v>
      </c>
      <c r="D1414" s="0" t="s">
        <v>3077</v>
      </c>
    </row>
    <row r="1415" customFormat="false" ht="13.8" hidden="false" customHeight="false" outlineLevel="0" collapsed="false">
      <c r="A1415" s="0" t="s">
        <v>3257</v>
      </c>
      <c r="B1415" s="0" t="s">
        <v>3258</v>
      </c>
      <c r="C1415" s="0" t="s">
        <v>31</v>
      </c>
      <c r="D1415" s="0" t="s">
        <v>413</v>
      </c>
    </row>
    <row r="1416" customFormat="false" ht="13.8" hidden="false" customHeight="false" outlineLevel="0" collapsed="false">
      <c r="A1416" s="0" t="s">
        <v>3259</v>
      </c>
      <c r="B1416" s="0" t="s">
        <v>3260</v>
      </c>
      <c r="C1416" s="0" t="s">
        <v>31</v>
      </c>
      <c r="D1416" s="0" t="s">
        <v>3261</v>
      </c>
    </row>
    <row r="1417" customFormat="false" ht="13.8" hidden="false" customHeight="false" outlineLevel="0" collapsed="false">
      <c r="A1417" s="0" t="s">
        <v>3262</v>
      </c>
      <c r="B1417" s="0" t="s">
        <v>3263</v>
      </c>
      <c r="C1417" s="0" t="s">
        <v>31</v>
      </c>
      <c r="D1417" s="0" t="s">
        <v>1737</v>
      </c>
    </row>
    <row r="1418" customFormat="false" ht="13.8" hidden="false" customHeight="false" outlineLevel="0" collapsed="false">
      <c r="A1418" s="0" t="s">
        <v>3264</v>
      </c>
      <c r="B1418" s="0" t="s">
        <v>3265</v>
      </c>
      <c r="C1418" s="0" t="s">
        <v>31</v>
      </c>
      <c r="D1418" s="0" t="s">
        <v>1592</v>
      </c>
    </row>
    <row r="1419" customFormat="false" ht="13.8" hidden="false" customHeight="false" outlineLevel="0" collapsed="false">
      <c r="A1419" s="0" t="s">
        <v>3266</v>
      </c>
      <c r="B1419" s="0" t="s">
        <v>3267</v>
      </c>
      <c r="C1419" s="0" t="s">
        <v>31</v>
      </c>
      <c r="D1419" s="0" t="s">
        <v>1633</v>
      </c>
    </row>
    <row r="1420" customFormat="false" ht="13.8" hidden="false" customHeight="false" outlineLevel="0" collapsed="false">
      <c r="A1420" s="0" t="s">
        <v>3268</v>
      </c>
      <c r="B1420" s="0" t="s">
        <v>3269</v>
      </c>
      <c r="C1420" s="0" t="s">
        <v>31</v>
      </c>
      <c r="D1420" s="0" t="s">
        <v>1737</v>
      </c>
    </row>
    <row r="1421" customFormat="false" ht="13.8" hidden="false" customHeight="false" outlineLevel="0" collapsed="false">
      <c r="A1421" s="0" t="s">
        <v>3270</v>
      </c>
      <c r="B1421" s="0" t="s">
        <v>3271</v>
      </c>
      <c r="C1421" s="0" t="s">
        <v>31</v>
      </c>
      <c r="D1421" s="0" t="s">
        <v>1924</v>
      </c>
    </row>
    <row r="1422" customFormat="false" ht="13.8" hidden="false" customHeight="false" outlineLevel="0" collapsed="false">
      <c r="A1422" s="0" t="s">
        <v>3272</v>
      </c>
      <c r="B1422" s="0" t="s">
        <v>3273</v>
      </c>
      <c r="C1422" s="0" t="s">
        <v>31</v>
      </c>
      <c r="D1422" s="0" t="s">
        <v>3190</v>
      </c>
    </row>
    <row r="1423" customFormat="false" ht="13.8" hidden="false" customHeight="false" outlineLevel="0" collapsed="false">
      <c r="A1423" s="0" t="s">
        <v>3274</v>
      </c>
      <c r="B1423" s="0" t="s">
        <v>3275</v>
      </c>
      <c r="C1423" s="0" t="s">
        <v>31</v>
      </c>
      <c r="D1423" s="0" t="s">
        <v>3276</v>
      </c>
    </row>
    <row r="1424" customFormat="false" ht="13.8" hidden="false" customHeight="false" outlineLevel="0" collapsed="false">
      <c r="A1424" s="0" t="s">
        <v>3277</v>
      </c>
      <c r="B1424" s="0" t="s">
        <v>3278</v>
      </c>
      <c r="C1424" s="0" t="s">
        <v>31</v>
      </c>
      <c r="D1424" s="0" t="s">
        <v>1540</v>
      </c>
    </row>
    <row r="1425" customFormat="false" ht="13.8" hidden="false" customHeight="false" outlineLevel="0" collapsed="false">
      <c r="A1425" s="0" t="s">
        <v>3279</v>
      </c>
      <c r="B1425" s="0" t="s">
        <v>3280</v>
      </c>
      <c r="C1425" s="0" t="s">
        <v>31</v>
      </c>
      <c r="D1425" s="0" t="s">
        <v>2701</v>
      </c>
    </row>
    <row r="1426" customFormat="false" ht="13.8" hidden="false" customHeight="false" outlineLevel="0" collapsed="false">
      <c r="A1426" s="0" t="s">
        <v>3281</v>
      </c>
      <c r="B1426" s="0" t="s">
        <v>3282</v>
      </c>
      <c r="C1426" s="0" t="s">
        <v>31</v>
      </c>
      <c r="D1426" s="0" t="s">
        <v>2072</v>
      </c>
    </row>
    <row r="1427" customFormat="false" ht="13.8" hidden="false" customHeight="false" outlineLevel="0" collapsed="false">
      <c r="A1427" s="0" t="s">
        <v>3283</v>
      </c>
      <c r="B1427" s="0" t="s">
        <v>3177</v>
      </c>
      <c r="C1427" s="0" t="s">
        <v>31</v>
      </c>
      <c r="D1427" s="0" t="s">
        <v>2444</v>
      </c>
    </row>
    <row r="1428" customFormat="false" ht="13.8" hidden="false" customHeight="false" outlineLevel="0" collapsed="false">
      <c r="A1428" s="0" t="s">
        <v>3284</v>
      </c>
      <c r="B1428" s="0" t="s">
        <v>3285</v>
      </c>
      <c r="C1428" s="0" t="s">
        <v>31</v>
      </c>
      <c r="D1428" s="0" t="s">
        <v>1592</v>
      </c>
    </row>
    <row r="1429" customFormat="false" ht="13.8" hidden="false" customHeight="false" outlineLevel="0" collapsed="false">
      <c r="A1429" s="0" t="s">
        <v>3286</v>
      </c>
      <c r="B1429" s="0" t="s">
        <v>3287</v>
      </c>
      <c r="C1429" s="0" t="s">
        <v>31</v>
      </c>
      <c r="D1429" s="0" t="s">
        <v>1592</v>
      </c>
    </row>
    <row r="1430" customFormat="false" ht="13.8" hidden="false" customHeight="false" outlineLevel="0" collapsed="false">
      <c r="A1430" s="0" t="s">
        <v>3288</v>
      </c>
      <c r="B1430" s="0" t="s">
        <v>3289</v>
      </c>
      <c r="C1430" s="0" t="s">
        <v>31</v>
      </c>
      <c r="D1430" s="0" t="s">
        <v>1633</v>
      </c>
    </row>
    <row r="1431" customFormat="false" ht="13.8" hidden="false" customHeight="false" outlineLevel="0" collapsed="false">
      <c r="A1431" s="0" t="s">
        <v>3290</v>
      </c>
      <c r="B1431" s="0" t="s">
        <v>3291</v>
      </c>
      <c r="C1431" s="0" t="s">
        <v>31</v>
      </c>
      <c r="D1431" s="0" t="s">
        <v>1651</v>
      </c>
    </row>
    <row r="1432" customFormat="false" ht="13.8" hidden="false" customHeight="false" outlineLevel="0" collapsed="false">
      <c r="A1432" s="0" t="s">
        <v>3292</v>
      </c>
      <c r="B1432" s="0" t="s">
        <v>3293</v>
      </c>
      <c r="C1432" s="0" t="s">
        <v>31</v>
      </c>
      <c r="D1432" s="0" t="s">
        <v>1924</v>
      </c>
    </row>
    <row r="1433" customFormat="false" ht="13.8" hidden="false" customHeight="false" outlineLevel="0" collapsed="false">
      <c r="A1433" s="0" t="s">
        <v>3294</v>
      </c>
      <c r="B1433" s="0" t="s">
        <v>3295</v>
      </c>
      <c r="C1433" s="0" t="s">
        <v>31</v>
      </c>
      <c r="D1433" s="0" t="s">
        <v>2878</v>
      </c>
    </row>
    <row r="1434" customFormat="false" ht="13.8" hidden="false" customHeight="false" outlineLevel="0" collapsed="false">
      <c r="A1434" s="0" t="s">
        <v>3296</v>
      </c>
      <c r="B1434" s="0" t="s">
        <v>3297</v>
      </c>
      <c r="C1434" s="0" t="s">
        <v>31</v>
      </c>
      <c r="D1434" s="0" t="s">
        <v>413</v>
      </c>
    </row>
    <row r="1435" customFormat="false" ht="13.8" hidden="false" customHeight="false" outlineLevel="0" collapsed="false">
      <c r="A1435" s="0" t="s">
        <v>3298</v>
      </c>
      <c r="B1435" s="0" t="s">
        <v>3299</v>
      </c>
      <c r="C1435" s="0" t="s">
        <v>31</v>
      </c>
      <c r="D1435" s="0" t="s">
        <v>2386</v>
      </c>
    </row>
    <row r="1436" customFormat="false" ht="13.8" hidden="false" customHeight="false" outlineLevel="0" collapsed="false">
      <c r="A1436" s="0" t="s">
        <v>3300</v>
      </c>
      <c r="B1436" s="0" t="s">
        <v>3301</v>
      </c>
      <c r="C1436" s="0" t="s">
        <v>31</v>
      </c>
      <c r="D1436" s="0" t="s">
        <v>413</v>
      </c>
    </row>
    <row r="1437" customFormat="false" ht="13.8" hidden="false" customHeight="false" outlineLevel="0" collapsed="false">
      <c r="A1437" s="0" t="s">
        <v>3302</v>
      </c>
      <c r="B1437" s="0" t="s">
        <v>3303</v>
      </c>
      <c r="C1437" s="0" t="s">
        <v>31</v>
      </c>
      <c r="D1437" s="0" t="s">
        <v>1924</v>
      </c>
    </row>
    <row r="1438" customFormat="false" ht="13.8" hidden="false" customHeight="false" outlineLevel="0" collapsed="false">
      <c r="A1438" s="0" t="s">
        <v>3304</v>
      </c>
      <c r="B1438" s="0" t="s">
        <v>3305</v>
      </c>
      <c r="C1438" s="0" t="s">
        <v>31</v>
      </c>
      <c r="D1438" s="0" t="s">
        <v>2072</v>
      </c>
    </row>
    <row r="1439" customFormat="false" ht="13.8" hidden="false" customHeight="false" outlineLevel="0" collapsed="false">
      <c r="A1439" s="0" t="s">
        <v>3306</v>
      </c>
      <c r="B1439" s="0" t="s">
        <v>3307</v>
      </c>
      <c r="C1439" s="0" t="s">
        <v>31</v>
      </c>
      <c r="D1439" s="0" t="s">
        <v>2356</v>
      </c>
    </row>
    <row r="1440" customFormat="false" ht="13.8" hidden="false" customHeight="false" outlineLevel="0" collapsed="false">
      <c r="A1440" s="0" t="s">
        <v>3308</v>
      </c>
      <c r="B1440" s="0" t="s">
        <v>3309</v>
      </c>
      <c r="C1440" s="0" t="s">
        <v>31</v>
      </c>
      <c r="D1440" s="0" t="s">
        <v>413</v>
      </c>
    </row>
    <row r="1441" customFormat="false" ht="13.8" hidden="false" customHeight="false" outlineLevel="0" collapsed="false">
      <c r="A1441" s="0" t="s">
        <v>3310</v>
      </c>
      <c r="B1441" s="0" t="s">
        <v>3311</v>
      </c>
      <c r="C1441" s="0" t="s">
        <v>31</v>
      </c>
      <c r="D1441" s="0" t="s">
        <v>1704</v>
      </c>
    </row>
    <row r="1442" customFormat="false" ht="13.8" hidden="false" customHeight="false" outlineLevel="0" collapsed="false">
      <c r="A1442" s="0" t="s">
        <v>3312</v>
      </c>
      <c r="B1442" s="0" t="s">
        <v>3313</v>
      </c>
      <c r="C1442" s="0" t="s">
        <v>31</v>
      </c>
      <c r="D1442" s="0" t="s">
        <v>2878</v>
      </c>
    </row>
    <row r="1443" customFormat="false" ht="13.8" hidden="false" customHeight="false" outlineLevel="0" collapsed="false">
      <c r="A1443" s="0" t="s">
        <v>3314</v>
      </c>
      <c r="B1443" s="0" t="s">
        <v>3315</v>
      </c>
      <c r="C1443" s="0" t="s">
        <v>31</v>
      </c>
      <c r="D1443" s="0" t="s">
        <v>1651</v>
      </c>
    </row>
    <row r="1444" customFormat="false" ht="13.8" hidden="false" customHeight="false" outlineLevel="0" collapsed="false">
      <c r="A1444" s="0" t="s">
        <v>3316</v>
      </c>
      <c r="B1444" s="0" t="s">
        <v>3317</v>
      </c>
      <c r="C1444" s="0" t="s">
        <v>31</v>
      </c>
      <c r="D1444" s="0" t="s">
        <v>1633</v>
      </c>
    </row>
    <row r="1445" customFormat="false" ht="13.8" hidden="false" customHeight="false" outlineLevel="0" collapsed="false">
      <c r="A1445" s="0" t="s">
        <v>3318</v>
      </c>
      <c r="B1445" s="0" t="s">
        <v>289</v>
      </c>
      <c r="C1445" s="0" t="s">
        <v>31</v>
      </c>
      <c r="D1445" s="0" t="s">
        <v>413</v>
      </c>
    </row>
    <row r="1446" customFormat="false" ht="13.8" hidden="false" customHeight="false" outlineLevel="0" collapsed="false">
      <c r="A1446" s="0" t="s">
        <v>3319</v>
      </c>
      <c r="B1446" s="0" t="s">
        <v>3320</v>
      </c>
      <c r="C1446" s="0" t="s">
        <v>31</v>
      </c>
      <c r="D1446" s="0" t="s">
        <v>1704</v>
      </c>
    </row>
    <row r="1447" customFormat="false" ht="13.8" hidden="false" customHeight="false" outlineLevel="0" collapsed="false">
      <c r="A1447" s="0" t="s">
        <v>3321</v>
      </c>
      <c r="B1447" s="0" t="s">
        <v>3322</v>
      </c>
      <c r="C1447" s="0" t="s">
        <v>31</v>
      </c>
      <c r="D1447" s="0" t="s">
        <v>1651</v>
      </c>
    </row>
    <row r="1448" customFormat="false" ht="13.8" hidden="false" customHeight="false" outlineLevel="0" collapsed="false">
      <c r="A1448" s="0" t="s">
        <v>3323</v>
      </c>
      <c r="B1448" s="0" t="s">
        <v>3324</v>
      </c>
      <c r="C1448" s="0" t="s">
        <v>31</v>
      </c>
      <c r="D1448" s="0" t="s">
        <v>2887</v>
      </c>
    </row>
    <row r="1449" customFormat="false" ht="13.8" hidden="false" customHeight="false" outlineLevel="0" collapsed="false">
      <c r="A1449" s="0" t="s">
        <v>3325</v>
      </c>
      <c r="B1449" s="0" t="s">
        <v>3326</v>
      </c>
      <c r="C1449" s="0" t="s">
        <v>31</v>
      </c>
      <c r="D1449" s="0" t="s">
        <v>413</v>
      </c>
    </row>
    <row r="1450" customFormat="false" ht="13.8" hidden="false" customHeight="false" outlineLevel="0" collapsed="false">
      <c r="A1450" s="0" t="s">
        <v>3328</v>
      </c>
      <c r="B1450" s="0" t="s">
        <v>3329</v>
      </c>
      <c r="C1450" s="0" t="s">
        <v>31</v>
      </c>
      <c r="D1450" s="0" t="s">
        <v>2444</v>
      </c>
    </row>
    <row r="1451" customFormat="false" ht="13.8" hidden="false" customHeight="false" outlineLevel="0" collapsed="false">
      <c r="A1451" s="0" t="s">
        <v>3330</v>
      </c>
      <c r="B1451" s="0" t="s">
        <v>3331</v>
      </c>
      <c r="C1451" s="0" t="s">
        <v>31</v>
      </c>
      <c r="D1451" s="0" t="s">
        <v>413</v>
      </c>
    </row>
    <row r="1452" customFormat="false" ht="13.8" hidden="false" customHeight="false" outlineLevel="0" collapsed="false">
      <c r="A1452" s="0" t="s">
        <v>3332</v>
      </c>
      <c r="B1452" s="0" t="s">
        <v>3333</v>
      </c>
      <c r="C1452" s="0" t="s">
        <v>31</v>
      </c>
      <c r="D1452" s="0" t="s">
        <v>19</v>
      </c>
    </row>
    <row r="1453" customFormat="false" ht="13.8" hidden="false" customHeight="false" outlineLevel="0" collapsed="false">
      <c r="A1453" s="0" t="s">
        <v>3334</v>
      </c>
      <c r="B1453" s="0" t="s">
        <v>3335</v>
      </c>
      <c r="C1453" s="0" t="s">
        <v>31</v>
      </c>
      <c r="D1453" s="0" t="s">
        <v>3190</v>
      </c>
    </row>
    <row r="1454" customFormat="false" ht="13.8" hidden="false" customHeight="false" outlineLevel="0" collapsed="false">
      <c r="A1454" s="0" t="s">
        <v>3336</v>
      </c>
      <c r="B1454" s="0" t="s">
        <v>3337</v>
      </c>
      <c r="C1454" s="0" t="s">
        <v>31</v>
      </c>
      <c r="D1454" s="0" t="s">
        <v>1592</v>
      </c>
    </row>
    <row r="1455" customFormat="false" ht="13.8" hidden="false" customHeight="false" outlineLevel="0" collapsed="false">
      <c r="A1455" s="0" t="s">
        <v>3338</v>
      </c>
      <c r="B1455" s="0" t="s">
        <v>3339</v>
      </c>
      <c r="C1455" s="0" t="s">
        <v>31</v>
      </c>
      <c r="D1455" s="0" t="s">
        <v>1924</v>
      </c>
    </row>
    <row r="1456" customFormat="false" ht="13.8" hidden="false" customHeight="false" outlineLevel="0" collapsed="false">
      <c r="A1456" s="0" t="s">
        <v>3340</v>
      </c>
      <c r="B1456" s="0" t="s">
        <v>3341</v>
      </c>
      <c r="C1456" s="0" t="s">
        <v>31</v>
      </c>
      <c r="D1456" s="0" t="s">
        <v>413</v>
      </c>
    </row>
    <row r="1457" customFormat="false" ht="13.8" hidden="false" customHeight="false" outlineLevel="0" collapsed="false">
      <c r="A1457" s="0" t="s">
        <v>3342</v>
      </c>
      <c r="B1457" s="0" t="s">
        <v>3343</v>
      </c>
      <c r="C1457" s="0" t="s">
        <v>31</v>
      </c>
      <c r="D1457" s="0" t="s">
        <v>3344</v>
      </c>
    </row>
    <row r="1458" customFormat="false" ht="13.8" hidden="false" customHeight="false" outlineLevel="0" collapsed="false">
      <c r="A1458" s="0" t="s">
        <v>3346</v>
      </c>
      <c r="B1458" s="0" t="s">
        <v>3347</v>
      </c>
      <c r="C1458" s="0" t="s">
        <v>31</v>
      </c>
      <c r="D1458" s="0" t="s">
        <v>3123</v>
      </c>
    </row>
    <row r="1459" customFormat="false" ht="13.8" hidden="false" customHeight="false" outlineLevel="0" collapsed="false">
      <c r="A1459" s="0" t="s">
        <v>3348</v>
      </c>
      <c r="B1459" s="0" t="s">
        <v>3349</v>
      </c>
      <c r="C1459" s="0" t="s">
        <v>31</v>
      </c>
      <c r="D1459" s="0" t="s">
        <v>1592</v>
      </c>
    </row>
    <row r="1460" customFormat="false" ht="13.8" hidden="false" customHeight="false" outlineLevel="0" collapsed="false">
      <c r="A1460" s="0" t="s">
        <v>3350</v>
      </c>
      <c r="B1460" s="0" t="s">
        <v>3351</v>
      </c>
      <c r="C1460" s="0" t="s">
        <v>31</v>
      </c>
      <c r="D1460" s="0" t="s">
        <v>1527</v>
      </c>
    </row>
    <row r="1461" customFormat="false" ht="13.8" hidden="false" customHeight="false" outlineLevel="0" collapsed="false">
      <c r="A1461" s="0" t="s">
        <v>3352</v>
      </c>
      <c r="B1461" s="0" t="s">
        <v>3353</v>
      </c>
      <c r="C1461" s="0" t="s">
        <v>31</v>
      </c>
      <c r="D1461" s="0" t="s">
        <v>3354</v>
      </c>
    </row>
    <row r="1462" customFormat="false" ht="13.8" hidden="false" customHeight="false" outlineLevel="0" collapsed="false">
      <c r="A1462" s="0" t="s">
        <v>3355</v>
      </c>
      <c r="B1462" s="0" t="s">
        <v>3356</v>
      </c>
      <c r="C1462" s="0" t="s">
        <v>31</v>
      </c>
      <c r="D1462" s="0" t="s">
        <v>3020</v>
      </c>
    </row>
    <row r="1463" customFormat="false" ht="13.8" hidden="false" customHeight="false" outlineLevel="0" collapsed="false">
      <c r="A1463" s="0" t="s">
        <v>3357</v>
      </c>
      <c r="B1463" s="0" t="s">
        <v>3358</v>
      </c>
      <c r="C1463" s="0" t="s">
        <v>31</v>
      </c>
      <c r="D1463" s="0" t="s">
        <v>2072</v>
      </c>
    </row>
    <row r="1464" customFormat="false" ht="13.8" hidden="false" customHeight="false" outlineLevel="0" collapsed="false">
      <c r="A1464" s="0" t="s">
        <v>3359</v>
      </c>
      <c r="B1464" s="0" t="s">
        <v>3360</v>
      </c>
      <c r="C1464" s="0" t="s">
        <v>31</v>
      </c>
      <c r="D1464" s="0" t="s">
        <v>413</v>
      </c>
    </row>
    <row r="1465" customFormat="false" ht="13.8" hidden="false" customHeight="false" outlineLevel="0" collapsed="false">
      <c r="A1465" s="0" t="s">
        <v>3361</v>
      </c>
      <c r="B1465" s="0" t="s">
        <v>3269</v>
      </c>
      <c r="C1465" s="0" t="s">
        <v>31</v>
      </c>
      <c r="D1465" s="0" t="s">
        <v>1737</v>
      </c>
    </row>
    <row r="1466" customFormat="false" ht="13.8" hidden="false" customHeight="false" outlineLevel="0" collapsed="false">
      <c r="A1466" s="0" t="s">
        <v>3362</v>
      </c>
      <c r="B1466" s="0" t="s">
        <v>3363</v>
      </c>
      <c r="C1466" s="0" t="s">
        <v>31</v>
      </c>
      <c r="D1466" s="0" t="s">
        <v>2878</v>
      </c>
    </row>
    <row r="1467" customFormat="false" ht="13.8" hidden="false" customHeight="false" outlineLevel="0" collapsed="false">
      <c r="A1467" s="0" t="s">
        <v>3364</v>
      </c>
      <c r="B1467" s="0" t="s">
        <v>3365</v>
      </c>
      <c r="C1467" s="0" t="s">
        <v>31</v>
      </c>
      <c r="D1467" s="0" t="s">
        <v>2678</v>
      </c>
    </row>
    <row r="1468" customFormat="false" ht="13.8" hidden="false" customHeight="false" outlineLevel="0" collapsed="false">
      <c r="A1468" s="0" t="s">
        <v>3366</v>
      </c>
      <c r="B1468" s="0" t="s">
        <v>3367</v>
      </c>
      <c r="C1468" s="0" t="s">
        <v>31</v>
      </c>
      <c r="D1468" s="0" t="s">
        <v>2072</v>
      </c>
    </row>
    <row r="1469" customFormat="false" ht="13.8" hidden="false" customHeight="false" outlineLevel="0" collapsed="false">
      <c r="A1469" s="0" t="s">
        <v>3368</v>
      </c>
      <c r="B1469" s="0" t="s">
        <v>3369</v>
      </c>
      <c r="C1469" s="0" t="s">
        <v>31</v>
      </c>
      <c r="D1469" s="0" t="s">
        <v>1592</v>
      </c>
    </row>
    <row r="1470" customFormat="false" ht="13.8" hidden="false" customHeight="false" outlineLevel="0" collapsed="false">
      <c r="A1470" s="0" t="s">
        <v>3370</v>
      </c>
      <c r="B1470" s="0" t="s">
        <v>3371</v>
      </c>
      <c r="C1470" s="0" t="s">
        <v>31</v>
      </c>
      <c r="D1470" s="0" t="s">
        <v>2552</v>
      </c>
    </row>
    <row r="1471" customFormat="false" ht="13.8" hidden="false" customHeight="false" outlineLevel="0" collapsed="false">
      <c r="A1471" s="0" t="s">
        <v>3372</v>
      </c>
      <c r="B1471" s="0" t="s">
        <v>3373</v>
      </c>
      <c r="C1471" s="0" t="s">
        <v>31</v>
      </c>
      <c r="D1471" s="0" t="s">
        <v>1592</v>
      </c>
    </row>
    <row r="1472" customFormat="false" ht="13.8" hidden="false" customHeight="false" outlineLevel="0" collapsed="false">
      <c r="A1472" s="0" t="s">
        <v>3374</v>
      </c>
      <c r="B1472" s="0" t="s">
        <v>3375</v>
      </c>
      <c r="C1472" s="0" t="s">
        <v>31</v>
      </c>
      <c r="D1472" s="0" t="s">
        <v>1508</v>
      </c>
    </row>
    <row r="1473" customFormat="false" ht="13.8" hidden="false" customHeight="false" outlineLevel="0" collapsed="false">
      <c r="A1473" s="0" t="s">
        <v>3376</v>
      </c>
      <c r="B1473" s="0" t="s">
        <v>3377</v>
      </c>
      <c r="C1473" s="0" t="s">
        <v>31</v>
      </c>
      <c r="D1473" s="0" t="s">
        <v>1737</v>
      </c>
    </row>
    <row r="1474" customFormat="false" ht="13.8" hidden="false" customHeight="false" outlineLevel="0" collapsed="false">
      <c r="A1474" s="0" t="s">
        <v>3378</v>
      </c>
      <c r="B1474" s="0" t="s">
        <v>3379</v>
      </c>
      <c r="C1474" s="0" t="s">
        <v>31</v>
      </c>
      <c r="D1474" s="0" t="s">
        <v>413</v>
      </c>
    </row>
    <row r="1475" customFormat="false" ht="13.8" hidden="false" customHeight="false" outlineLevel="0" collapsed="false">
      <c r="A1475" s="0" t="s">
        <v>3381</v>
      </c>
      <c r="B1475" s="0" t="s">
        <v>3382</v>
      </c>
      <c r="C1475" s="0" t="s">
        <v>31</v>
      </c>
      <c r="D1475" s="0" t="s">
        <v>2878</v>
      </c>
    </row>
    <row r="1476" customFormat="false" ht="13.8" hidden="false" customHeight="false" outlineLevel="0" collapsed="false">
      <c r="A1476" s="0" t="s">
        <v>3383</v>
      </c>
      <c r="B1476" s="0" t="s">
        <v>3384</v>
      </c>
      <c r="C1476" s="0" t="s">
        <v>31</v>
      </c>
      <c r="D1476" s="0" t="s">
        <v>1592</v>
      </c>
    </row>
    <row r="1477" customFormat="false" ht="13.8" hidden="false" customHeight="false" outlineLevel="0" collapsed="false">
      <c r="A1477" s="0" t="s">
        <v>3385</v>
      </c>
      <c r="B1477" s="0" t="s">
        <v>3386</v>
      </c>
      <c r="C1477" s="0" t="s">
        <v>31</v>
      </c>
      <c r="D1477" s="0" t="s">
        <v>2072</v>
      </c>
    </row>
    <row r="1478" customFormat="false" ht="13.8" hidden="false" customHeight="false" outlineLevel="0" collapsed="false">
      <c r="A1478" s="0" t="s">
        <v>3387</v>
      </c>
      <c r="B1478" s="0" t="s">
        <v>3388</v>
      </c>
      <c r="C1478" s="0" t="s">
        <v>31</v>
      </c>
      <c r="D1478" s="0" t="s">
        <v>19</v>
      </c>
    </row>
    <row r="1479" customFormat="false" ht="13.8" hidden="false" customHeight="false" outlineLevel="0" collapsed="false">
      <c r="A1479" s="0" t="s">
        <v>3389</v>
      </c>
      <c r="B1479" s="0" t="s">
        <v>3390</v>
      </c>
      <c r="C1479" s="0" t="s">
        <v>31</v>
      </c>
      <c r="D1479" s="0" t="s">
        <v>3276</v>
      </c>
    </row>
    <row r="1480" customFormat="false" ht="13.8" hidden="false" customHeight="false" outlineLevel="0" collapsed="false">
      <c r="A1480" s="0" t="s">
        <v>3391</v>
      </c>
      <c r="B1480" s="0" t="s">
        <v>3392</v>
      </c>
      <c r="C1480" s="0" t="s">
        <v>31</v>
      </c>
      <c r="D1480" s="0" t="s">
        <v>2444</v>
      </c>
    </row>
    <row r="1481" customFormat="false" ht="13.8" hidden="false" customHeight="false" outlineLevel="0" collapsed="false">
      <c r="A1481" s="0" t="s">
        <v>3393</v>
      </c>
      <c r="B1481" s="0" t="s">
        <v>3394</v>
      </c>
      <c r="C1481" s="0" t="s">
        <v>31</v>
      </c>
      <c r="D1481" s="0" t="s">
        <v>3395</v>
      </c>
    </row>
    <row r="1482" customFormat="false" ht="13.8" hidden="false" customHeight="false" outlineLevel="0" collapsed="false">
      <c r="A1482" s="0" t="s">
        <v>3396</v>
      </c>
      <c r="B1482" s="0" t="s">
        <v>3397</v>
      </c>
      <c r="C1482" s="0" t="s">
        <v>31</v>
      </c>
      <c r="D1482" s="0" t="s">
        <v>69</v>
      </c>
    </row>
    <row r="1483" customFormat="false" ht="13.8" hidden="false" customHeight="false" outlineLevel="0" collapsed="false">
      <c r="A1483" s="0" t="s">
        <v>3398</v>
      </c>
      <c r="B1483" s="0" t="s">
        <v>3399</v>
      </c>
      <c r="C1483" s="0" t="s">
        <v>31</v>
      </c>
      <c r="D1483" s="0" t="s">
        <v>2072</v>
      </c>
    </row>
    <row r="1484" customFormat="false" ht="13.8" hidden="false" customHeight="false" outlineLevel="0" collapsed="false">
      <c r="A1484" s="0" t="s">
        <v>3400</v>
      </c>
      <c r="B1484" s="0" t="s">
        <v>3401</v>
      </c>
      <c r="C1484" s="0" t="s">
        <v>31</v>
      </c>
      <c r="D1484" s="0" t="s">
        <v>413</v>
      </c>
    </row>
    <row r="1485" customFormat="false" ht="13.8" hidden="false" customHeight="false" outlineLevel="0" collapsed="false">
      <c r="A1485" s="0" t="s">
        <v>3402</v>
      </c>
      <c r="B1485" s="0" t="s">
        <v>3403</v>
      </c>
      <c r="C1485" s="0" t="s">
        <v>31</v>
      </c>
      <c r="D1485" s="0" t="s">
        <v>1704</v>
      </c>
    </row>
    <row r="1486" customFormat="false" ht="13.8" hidden="false" customHeight="false" outlineLevel="0" collapsed="false">
      <c r="A1486" s="0" t="s">
        <v>3404</v>
      </c>
      <c r="B1486" s="0" t="s">
        <v>3405</v>
      </c>
      <c r="C1486" s="0" t="s">
        <v>31</v>
      </c>
      <c r="D1486" s="0" t="s">
        <v>3406</v>
      </c>
    </row>
    <row r="1487" customFormat="false" ht="13.8" hidden="false" customHeight="false" outlineLevel="0" collapsed="false">
      <c r="A1487" s="0" t="s">
        <v>3407</v>
      </c>
      <c r="B1487" s="0" t="s">
        <v>6063</v>
      </c>
      <c r="C1487" s="0" t="s">
        <v>31</v>
      </c>
      <c r="D1487" s="0" t="s">
        <v>3409</v>
      </c>
    </row>
    <row r="1488" customFormat="false" ht="13.8" hidden="false" customHeight="false" outlineLevel="0" collapsed="false">
      <c r="A1488" s="0" t="s">
        <v>3410</v>
      </c>
      <c r="B1488" s="0" t="s">
        <v>3411</v>
      </c>
      <c r="C1488" s="0" t="s">
        <v>31</v>
      </c>
      <c r="D1488" s="0" t="s">
        <v>1592</v>
      </c>
    </row>
    <row r="1489" customFormat="false" ht="13.8" hidden="false" customHeight="false" outlineLevel="0" collapsed="false">
      <c r="A1489" s="0" t="s">
        <v>3412</v>
      </c>
      <c r="B1489" s="0" t="s">
        <v>3413</v>
      </c>
      <c r="C1489" s="0" t="s">
        <v>31</v>
      </c>
      <c r="D1489" s="0" t="s">
        <v>19</v>
      </c>
    </row>
    <row r="1490" customFormat="false" ht="13.8" hidden="false" customHeight="false" outlineLevel="0" collapsed="false">
      <c r="A1490" s="0" t="s">
        <v>3414</v>
      </c>
      <c r="B1490" s="0" t="s">
        <v>3415</v>
      </c>
      <c r="C1490" s="0" t="s">
        <v>31</v>
      </c>
      <c r="D1490" s="0" t="s">
        <v>1704</v>
      </c>
    </row>
    <row r="1491" customFormat="false" ht="13.8" hidden="false" customHeight="false" outlineLevel="0" collapsed="false">
      <c r="A1491" s="0" t="s">
        <v>3416</v>
      </c>
      <c r="B1491" s="0" t="s">
        <v>3417</v>
      </c>
      <c r="C1491" s="0" t="s">
        <v>31</v>
      </c>
      <c r="D1491" s="0" t="s">
        <v>3196</v>
      </c>
    </row>
    <row r="1492" customFormat="false" ht="13.8" hidden="false" customHeight="false" outlineLevel="0" collapsed="false">
      <c r="A1492" s="0" t="s">
        <v>3418</v>
      </c>
      <c r="B1492" s="0" t="s">
        <v>3419</v>
      </c>
      <c r="C1492" s="0" t="s">
        <v>31</v>
      </c>
      <c r="D1492" s="0" t="s">
        <v>2598</v>
      </c>
    </row>
    <row r="1493" customFormat="false" ht="13.8" hidden="false" customHeight="false" outlineLevel="0" collapsed="false">
      <c r="A1493" s="0" t="s">
        <v>3420</v>
      </c>
      <c r="B1493" s="0" t="s">
        <v>3421</v>
      </c>
      <c r="C1493" s="0" t="s">
        <v>31</v>
      </c>
      <c r="D1493" s="0" t="s">
        <v>1704</v>
      </c>
    </row>
    <row r="1494" customFormat="false" ht="13.8" hidden="false" customHeight="false" outlineLevel="0" collapsed="false">
      <c r="A1494" s="0" t="s">
        <v>3422</v>
      </c>
      <c r="B1494" s="0" t="s">
        <v>3423</v>
      </c>
      <c r="C1494" s="0" t="s">
        <v>31</v>
      </c>
      <c r="D1494" s="0" t="s">
        <v>19</v>
      </c>
    </row>
    <row r="1495" customFormat="false" ht="13.8" hidden="false" customHeight="false" outlineLevel="0" collapsed="false">
      <c r="A1495" s="0" t="s">
        <v>3424</v>
      </c>
      <c r="B1495" s="0" t="s">
        <v>3425</v>
      </c>
      <c r="C1495" s="0" t="s">
        <v>31</v>
      </c>
      <c r="D1495" s="0" t="s">
        <v>413</v>
      </c>
    </row>
    <row r="1496" customFormat="false" ht="13.8" hidden="false" customHeight="false" outlineLevel="0" collapsed="false">
      <c r="A1496" s="0" t="s">
        <v>3426</v>
      </c>
      <c r="B1496" s="0" t="s">
        <v>3427</v>
      </c>
      <c r="C1496" s="0" t="s">
        <v>31</v>
      </c>
      <c r="D1496" s="0" t="s">
        <v>2072</v>
      </c>
    </row>
    <row r="1497" customFormat="false" ht="13.8" hidden="false" customHeight="false" outlineLevel="0" collapsed="false">
      <c r="A1497" s="0" t="s">
        <v>3428</v>
      </c>
      <c r="B1497" s="0" t="s">
        <v>3429</v>
      </c>
      <c r="C1497" s="0" t="s">
        <v>31</v>
      </c>
      <c r="D1497" s="0" t="s">
        <v>2072</v>
      </c>
    </row>
    <row r="1498" customFormat="false" ht="13.8" hidden="false" customHeight="false" outlineLevel="0" collapsed="false">
      <c r="A1498" s="0" t="s">
        <v>3430</v>
      </c>
      <c r="B1498" s="0" t="s">
        <v>3431</v>
      </c>
      <c r="C1498" s="0" t="s">
        <v>31</v>
      </c>
      <c r="D1498" s="0" t="s">
        <v>413</v>
      </c>
    </row>
    <row r="1499" customFormat="false" ht="13.8" hidden="false" customHeight="false" outlineLevel="0" collapsed="false">
      <c r="A1499" s="0" t="s">
        <v>3432</v>
      </c>
      <c r="B1499" s="0" t="s">
        <v>3433</v>
      </c>
      <c r="C1499" s="0" t="s">
        <v>31</v>
      </c>
      <c r="D1499" s="0" t="s">
        <v>2072</v>
      </c>
    </row>
    <row r="1500" customFormat="false" ht="13.8" hidden="false" customHeight="false" outlineLevel="0" collapsed="false">
      <c r="A1500" s="0" t="s">
        <v>3434</v>
      </c>
      <c r="B1500" s="0" t="s">
        <v>3435</v>
      </c>
      <c r="C1500" s="0" t="s">
        <v>31</v>
      </c>
      <c r="D1500" s="0" t="s">
        <v>1704</v>
      </c>
    </row>
    <row r="1501" customFormat="false" ht="13.8" hidden="false" customHeight="false" outlineLevel="0" collapsed="false">
      <c r="A1501" s="0" t="s">
        <v>3436</v>
      </c>
      <c r="B1501" s="0" t="s">
        <v>3437</v>
      </c>
      <c r="C1501" s="0" t="s">
        <v>31</v>
      </c>
      <c r="D1501" s="0" t="s">
        <v>19</v>
      </c>
    </row>
    <row r="1502" customFormat="false" ht="13.8" hidden="false" customHeight="false" outlineLevel="0" collapsed="false">
      <c r="A1502" s="0" t="s">
        <v>3438</v>
      </c>
      <c r="B1502" s="0" t="s">
        <v>3439</v>
      </c>
      <c r="C1502" s="0" t="s">
        <v>31</v>
      </c>
      <c r="D1502" s="0" t="s">
        <v>2386</v>
      </c>
    </row>
    <row r="1503" customFormat="false" ht="13.8" hidden="false" customHeight="false" outlineLevel="0" collapsed="false">
      <c r="A1503" s="0" t="s">
        <v>3440</v>
      </c>
      <c r="B1503" s="0" t="s">
        <v>3441</v>
      </c>
      <c r="C1503" s="0" t="s">
        <v>31</v>
      </c>
      <c r="D1503" s="0" t="s">
        <v>2072</v>
      </c>
    </row>
    <row r="1504" customFormat="false" ht="13.8" hidden="false" customHeight="false" outlineLevel="0" collapsed="false">
      <c r="A1504" s="0" t="s">
        <v>3442</v>
      </c>
      <c r="B1504" s="0" t="s">
        <v>1929</v>
      </c>
      <c r="C1504" s="0" t="s">
        <v>31</v>
      </c>
      <c r="D1504" s="0" t="s">
        <v>3020</v>
      </c>
    </row>
    <row r="1505" customFormat="false" ht="13.8" hidden="false" customHeight="false" outlineLevel="0" collapsed="false">
      <c r="A1505" s="0" t="s">
        <v>3443</v>
      </c>
      <c r="B1505" s="0" t="s">
        <v>3444</v>
      </c>
      <c r="C1505" s="0" t="s">
        <v>31</v>
      </c>
      <c r="D1505" s="0" t="s">
        <v>16</v>
      </c>
    </row>
    <row r="1506" customFormat="false" ht="13.8" hidden="false" customHeight="false" outlineLevel="0" collapsed="false">
      <c r="A1506" s="0" t="s">
        <v>3445</v>
      </c>
      <c r="B1506" s="0" t="s">
        <v>3446</v>
      </c>
      <c r="C1506" s="0" t="s">
        <v>31</v>
      </c>
      <c r="D1506" s="0" t="s">
        <v>1737</v>
      </c>
    </row>
    <row r="1507" customFormat="false" ht="13.8" hidden="false" customHeight="false" outlineLevel="0" collapsed="false">
      <c r="A1507" s="0" t="s">
        <v>3447</v>
      </c>
      <c r="B1507" s="0" t="s">
        <v>3448</v>
      </c>
      <c r="C1507" s="0" t="s">
        <v>31</v>
      </c>
      <c r="D1507" s="0" t="s">
        <v>19</v>
      </c>
    </row>
    <row r="1508" customFormat="false" ht="13.8" hidden="false" customHeight="false" outlineLevel="0" collapsed="false">
      <c r="A1508" s="0" t="s">
        <v>3449</v>
      </c>
      <c r="B1508" s="0" t="s">
        <v>3450</v>
      </c>
      <c r="C1508" s="0" t="s">
        <v>31</v>
      </c>
      <c r="D1508" s="0" t="s">
        <v>1592</v>
      </c>
    </row>
    <row r="1509" customFormat="false" ht="13.8" hidden="false" customHeight="false" outlineLevel="0" collapsed="false">
      <c r="A1509" s="0" t="s">
        <v>3451</v>
      </c>
      <c r="B1509" s="0" t="s">
        <v>3452</v>
      </c>
      <c r="C1509" s="0" t="s">
        <v>31</v>
      </c>
      <c r="D1509" s="0" t="s">
        <v>1527</v>
      </c>
    </row>
    <row r="1510" customFormat="false" ht="13.8" hidden="false" customHeight="false" outlineLevel="0" collapsed="false">
      <c r="A1510" s="0" t="s">
        <v>3453</v>
      </c>
      <c r="B1510" s="0" t="s">
        <v>3454</v>
      </c>
      <c r="C1510" s="0" t="s">
        <v>31</v>
      </c>
      <c r="D1510" s="0" t="s">
        <v>2072</v>
      </c>
    </row>
    <row r="1511" customFormat="false" ht="13.8" hidden="false" customHeight="false" outlineLevel="0" collapsed="false">
      <c r="A1511" s="0" t="s">
        <v>3455</v>
      </c>
      <c r="B1511" s="0" t="s">
        <v>3456</v>
      </c>
      <c r="C1511" s="0" t="s">
        <v>31</v>
      </c>
      <c r="D1511" s="0" t="s">
        <v>1505</v>
      </c>
    </row>
    <row r="1512" customFormat="false" ht="13.8" hidden="false" customHeight="false" outlineLevel="0" collapsed="false">
      <c r="A1512" s="0" t="s">
        <v>3457</v>
      </c>
      <c r="B1512" s="0" t="s">
        <v>3458</v>
      </c>
      <c r="C1512" s="0" t="s">
        <v>31</v>
      </c>
      <c r="D1512" s="0" t="s">
        <v>1527</v>
      </c>
    </row>
    <row r="1513" customFormat="false" ht="13.8" hidden="false" customHeight="false" outlineLevel="0" collapsed="false">
      <c r="A1513" s="0" t="s">
        <v>3459</v>
      </c>
      <c r="B1513" s="0" t="s">
        <v>3460</v>
      </c>
      <c r="C1513" s="0" t="s">
        <v>31</v>
      </c>
      <c r="D1513" s="0" t="s">
        <v>1592</v>
      </c>
    </row>
    <row r="1514" customFormat="false" ht="13.8" hidden="false" customHeight="false" outlineLevel="0" collapsed="false">
      <c r="A1514" s="0" t="s">
        <v>3461</v>
      </c>
      <c r="B1514" s="0" t="s">
        <v>3462</v>
      </c>
      <c r="C1514" s="0" t="s">
        <v>31</v>
      </c>
      <c r="D1514" s="0" t="s">
        <v>16</v>
      </c>
    </row>
    <row r="1515" customFormat="false" ht="13.8" hidden="false" customHeight="false" outlineLevel="0" collapsed="false">
      <c r="A1515" s="0" t="s">
        <v>3463</v>
      </c>
      <c r="B1515" s="0" t="s">
        <v>3464</v>
      </c>
      <c r="C1515" s="0" t="s">
        <v>31</v>
      </c>
      <c r="D1515" s="0" t="s">
        <v>1651</v>
      </c>
    </row>
    <row r="1516" customFormat="false" ht="13.8" hidden="false" customHeight="false" outlineLevel="0" collapsed="false">
      <c r="A1516" s="0" t="s">
        <v>3465</v>
      </c>
      <c r="B1516" s="0" t="s">
        <v>3466</v>
      </c>
      <c r="C1516" s="0" t="s">
        <v>31</v>
      </c>
      <c r="D1516" s="0" t="s">
        <v>1924</v>
      </c>
    </row>
    <row r="1517" customFormat="false" ht="13.8" hidden="false" customHeight="false" outlineLevel="0" collapsed="false">
      <c r="A1517" s="0" t="s">
        <v>3467</v>
      </c>
      <c r="B1517" s="0" t="s">
        <v>3468</v>
      </c>
      <c r="C1517" s="0" t="s">
        <v>31</v>
      </c>
      <c r="D1517" s="0" t="s">
        <v>3469</v>
      </c>
    </row>
    <row r="1518" customFormat="false" ht="13.8" hidden="false" customHeight="false" outlineLevel="0" collapsed="false">
      <c r="A1518" s="0" t="s">
        <v>3470</v>
      </c>
      <c r="B1518" s="0" t="s">
        <v>3471</v>
      </c>
      <c r="C1518" s="0" t="s">
        <v>31</v>
      </c>
      <c r="D1518" s="0" t="s">
        <v>19</v>
      </c>
    </row>
    <row r="1519" customFormat="false" ht="13.8" hidden="false" customHeight="false" outlineLevel="0" collapsed="false">
      <c r="A1519" s="0" t="s">
        <v>3472</v>
      </c>
      <c r="B1519" s="0" t="s">
        <v>3473</v>
      </c>
      <c r="C1519" s="0" t="s">
        <v>31</v>
      </c>
      <c r="D1519" s="0" t="s">
        <v>413</v>
      </c>
    </row>
    <row r="1520" customFormat="false" ht="13.8" hidden="false" customHeight="false" outlineLevel="0" collapsed="false">
      <c r="A1520" s="0" t="s">
        <v>3474</v>
      </c>
      <c r="B1520" s="0" t="s">
        <v>3475</v>
      </c>
      <c r="C1520" s="0" t="s">
        <v>31</v>
      </c>
      <c r="D1520" s="0" t="s">
        <v>2552</v>
      </c>
    </row>
    <row r="1521" customFormat="false" ht="13.8" hidden="false" customHeight="false" outlineLevel="0" collapsed="false">
      <c r="A1521" s="0" t="s">
        <v>3476</v>
      </c>
      <c r="B1521" s="0" t="s">
        <v>3477</v>
      </c>
      <c r="C1521" s="0" t="s">
        <v>31</v>
      </c>
      <c r="D1521" s="0" t="s">
        <v>413</v>
      </c>
    </row>
    <row r="1522" customFormat="false" ht="13.8" hidden="false" customHeight="false" outlineLevel="0" collapsed="false">
      <c r="A1522" s="0" t="s">
        <v>3478</v>
      </c>
      <c r="B1522" s="0" t="s">
        <v>3479</v>
      </c>
      <c r="C1522" s="0" t="s">
        <v>31</v>
      </c>
      <c r="D1522" s="0" t="s">
        <v>1592</v>
      </c>
    </row>
    <row r="1523" customFormat="false" ht="13.8" hidden="false" customHeight="false" outlineLevel="0" collapsed="false">
      <c r="A1523" s="0" t="s">
        <v>3480</v>
      </c>
      <c r="B1523" s="0" t="s">
        <v>3481</v>
      </c>
      <c r="C1523" s="0" t="s">
        <v>31</v>
      </c>
      <c r="D1523" s="0" t="s">
        <v>413</v>
      </c>
    </row>
    <row r="1524" customFormat="false" ht="13.8" hidden="false" customHeight="false" outlineLevel="0" collapsed="false">
      <c r="A1524" s="0" t="s">
        <v>3482</v>
      </c>
      <c r="B1524" s="0" t="s">
        <v>3483</v>
      </c>
      <c r="C1524" s="0" t="s">
        <v>31</v>
      </c>
      <c r="D1524" s="0" t="s">
        <v>1957</v>
      </c>
    </row>
    <row r="1525" customFormat="false" ht="13.8" hidden="false" customHeight="false" outlineLevel="0" collapsed="false">
      <c r="A1525" s="0" t="s">
        <v>3484</v>
      </c>
      <c r="B1525" s="0" t="s">
        <v>3485</v>
      </c>
      <c r="C1525" s="0" t="s">
        <v>31</v>
      </c>
      <c r="D1525" s="0" t="s">
        <v>2072</v>
      </c>
    </row>
    <row r="1526" customFormat="false" ht="13.8" hidden="false" customHeight="false" outlineLevel="0" collapsed="false">
      <c r="A1526" s="0" t="s">
        <v>3486</v>
      </c>
      <c r="B1526" s="0" t="s">
        <v>3487</v>
      </c>
      <c r="C1526" s="0" t="s">
        <v>31</v>
      </c>
      <c r="D1526" s="0" t="s">
        <v>2072</v>
      </c>
    </row>
    <row r="1527" customFormat="false" ht="13.8" hidden="false" customHeight="false" outlineLevel="0" collapsed="false">
      <c r="A1527" s="0" t="s">
        <v>3488</v>
      </c>
      <c r="B1527" s="0" t="s">
        <v>3489</v>
      </c>
      <c r="C1527" s="0" t="s">
        <v>31</v>
      </c>
      <c r="D1527" s="0" t="s">
        <v>2552</v>
      </c>
    </row>
    <row r="1528" customFormat="false" ht="13.8" hidden="false" customHeight="false" outlineLevel="0" collapsed="false">
      <c r="A1528" s="0" t="s">
        <v>3490</v>
      </c>
      <c r="B1528" s="0" t="s">
        <v>3491</v>
      </c>
      <c r="C1528" s="0" t="s">
        <v>31</v>
      </c>
      <c r="D1528" s="0" t="s">
        <v>1508</v>
      </c>
    </row>
    <row r="1529" customFormat="false" ht="13.8" hidden="false" customHeight="false" outlineLevel="0" collapsed="false">
      <c r="A1529" s="0" t="s">
        <v>3492</v>
      </c>
      <c r="B1529" s="0" t="s">
        <v>3493</v>
      </c>
      <c r="C1529" s="0" t="s">
        <v>31</v>
      </c>
      <c r="D1529" s="0" t="s">
        <v>1540</v>
      </c>
    </row>
    <row r="1530" customFormat="false" ht="13.8" hidden="false" customHeight="false" outlineLevel="0" collapsed="false">
      <c r="A1530" s="0" t="s">
        <v>3494</v>
      </c>
      <c r="B1530" s="0" t="s">
        <v>3495</v>
      </c>
      <c r="C1530" s="0" t="s">
        <v>31</v>
      </c>
      <c r="D1530" s="0" t="s">
        <v>2072</v>
      </c>
    </row>
    <row r="1531" customFormat="false" ht="13.8" hidden="false" customHeight="false" outlineLevel="0" collapsed="false">
      <c r="A1531" s="0" t="s">
        <v>3496</v>
      </c>
      <c r="B1531" s="0" t="s">
        <v>2288</v>
      </c>
      <c r="C1531" s="0" t="s">
        <v>31</v>
      </c>
      <c r="D1531" s="0" t="s">
        <v>3469</v>
      </c>
    </row>
    <row r="1532" customFormat="false" ht="13.8" hidden="false" customHeight="false" outlineLevel="0" collapsed="false">
      <c r="A1532" s="0" t="s">
        <v>3497</v>
      </c>
      <c r="B1532" s="0" t="s">
        <v>3498</v>
      </c>
      <c r="C1532" s="0" t="s">
        <v>31</v>
      </c>
      <c r="D1532" s="0" t="s">
        <v>1704</v>
      </c>
    </row>
    <row r="1533" customFormat="false" ht="13.8" hidden="false" customHeight="false" outlineLevel="0" collapsed="false">
      <c r="A1533" s="0" t="s">
        <v>3499</v>
      </c>
      <c r="B1533" s="0" t="s">
        <v>3500</v>
      </c>
      <c r="C1533" s="0" t="s">
        <v>31</v>
      </c>
      <c r="D1533" s="0" t="s">
        <v>413</v>
      </c>
    </row>
    <row r="1534" customFormat="false" ht="13.8" hidden="false" customHeight="false" outlineLevel="0" collapsed="false">
      <c r="A1534" s="0" t="s">
        <v>3501</v>
      </c>
      <c r="B1534" s="0" t="s">
        <v>3502</v>
      </c>
      <c r="C1534" s="0" t="s">
        <v>31</v>
      </c>
      <c r="D1534" s="0" t="s">
        <v>69</v>
      </c>
    </row>
    <row r="1535" customFormat="false" ht="13.8" hidden="false" customHeight="false" outlineLevel="0" collapsed="false">
      <c r="A1535" s="0" t="s">
        <v>3503</v>
      </c>
      <c r="B1535" s="0" t="s">
        <v>3504</v>
      </c>
      <c r="C1535" s="0" t="s">
        <v>31</v>
      </c>
      <c r="D1535" s="0" t="s">
        <v>413</v>
      </c>
    </row>
    <row r="1536" customFormat="false" ht="13.8" hidden="false" customHeight="false" outlineLevel="0" collapsed="false">
      <c r="A1536" s="0" t="s">
        <v>3505</v>
      </c>
      <c r="B1536" s="0" t="s">
        <v>3506</v>
      </c>
      <c r="C1536" s="0" t="s">
        <v>31</v>
      </c>
      <c r="D1536" s="0" t="s">
        <v>1704</v>
      </c>
    </row>
    <row r="1537" customFormat="false" ht="13.8" hidden="false" customHeight="false" outlineLevel="0" collapsed="false">
      <c r="A1537" s="0" t="s">
        <v>3507</v>
      </c>
      <c r="B1537" s="0" t="s">
        <v>3508</v>
      </c>
      <c r="C1537" s="0" t="s">
        <v>31</v>
      </c>
      <c r="D1537" s="0" t="s">
        <v>1540</v>
      </c>
    </row>
    <row r="1538" customFormat="false" ht="13.8" hidden="false" customHeight="false" outlineLevel="0" collapsed="false">
      <c r="A1538" s="0" t="s">
        <v>3509</v>
      </c>
      <c r="B1538" s="0" t="s">
        <v>3510</v>
      </c>
      <c r="C1538" s="0" t="s">
        <v>31</v>
      </c>
      <c r="D1538" s="0" t="s">
        <v>2905</v>
      </c>
    </row>
    <row r="1539" customFormat="false" ht="13.8" hidden="false" customHeight="false" outlineLevel="0" collapsed="false">
      <c r="A1539" s="0" t="s">
        <v>3511</v>
      </c>
      <c r="B1539" s="0" t="s">
        <v>3512</v>
      </c>
      <c r="C1539" s="0" t="s">
        <v>31</v>
      </c>
      <c r="D1539" s="0" t="s">
        <v>1704</v>
      </c>
    </row>
    <row r="1540" customFormat="false" ht="13.8" hidden="false" customHeight="false" outlineLevel="0" collapsed="false">
      <c r="A1540" s="0" t="s">
        <v>3513</v>
      </c>
      <c r="B1540" s="0" t="s">
        <v>3514</v>
      </c>
      <c r="C1540" s="0" t="s">
        <v>31</v>
      </c>
      <c r="D1540" s="0" t="s">
        <v>2072</v>
      </c>
    </row>
    <row r="1541" customFormat="false" ht="13.8" hidden="false" customHeight="false" outlineLevel="0" collapsed="false">
      <c r="A1541" s="0" t="s">
        <v>3515</v>
      </c>
      <c r="B1541" s="0" t="s">
        <v>3516</v>
      </c>
      <c r="C1541" s="0" t="s">
        <v>31</v>
      </c>
      <c r="D1541" s="0" t="s">
        <v>413</v>
      </c>
    </row>
    <row r="1542" customFormat="false" ht="13.8" hidden="false" customHeight="false" outlineLevel="0" collapsed="false">
      <c r="A1542" s="0" t="s">
        <v>3517</v>
      </c>
      <c r="B1542" s="0" t="s">
        <v>3518</v>
      </c>
      <c r="C1542" s="0" t="s">
        <v>31</v>
      </c>
      <c r="D1542" s="0" t="s">
        <v>1704</v>
      </c>
    </row>
    <row r="1543" customFormat="false" ht="13.8" hidden="false" customHeight="false" outlineLevel="0" collapsed="false">
      <c r="A1543" s="0" t="s">
        <v>3519</v>
      </c>
      <c r="B1543" s="0" t="s">
        <v>3520</v>
      </c>
      <c r="C1543" s="0" t="s">
        <v>31</v>
      </c>
      <c r="D1543" s="0" t="s">
        <v>2871</v>
      </c>
    </row>
    <row r="1544" customFormat="false" ht="13.8" hidden="false" customHeight="false" outlineLevel="0" collapsed="false">
      <c r="A1544" s="0" t="s">
        <v>3521</v>
      </c>
      <c r="B1544" s="0" t="s">
        <v>3522</v>
      </c>
      <c r="C1544" s="0" t="s">
        <v>31</v>
      </c>
      <c r="D1544" s="0" t="s">
        <v>3523</v>
      </c>
    </row>
    <row r="1545" customFormat="false" ht="13.8" hidden="false" customHeight="false" outlineLevel="0" collapsed="false">
      <c r="A1545" s="0" t="s">
        <v>3524</v>
      </c>
      <c r="B1545" s="0" t="s">
        <v>3525</v>
      </c>
      <c r="C1545" s="0" t="s">
        <v>31</v>
      </c>
      <c r="D1545" s="0" t="s">
        <v>16</v>
      </c>
    </row>
    <row r="1546" customFormat="false" ht="13.8" hidden="false" customHeight="false" outlineLevel="0" collapsed="false">
      <c r="A1546" s="0" t="s">
        <v>3526</v>
      </c>
      <c r="B1546" s="0" t="s">
        <v>3527</v>
      </c>
      <c r="C1546" s="0" t="s">
        <v>31</v>
      </c>
      <c r="D1546" s="0" t="s">
        <v>1924</v>
      </c>
    </row>
    <row r="1547" customFormat="false" ht="13.8" hidden="false" customHeight="false" outlineLevel="0" collapsed="false">
      <c r="A1547" s="0" t="s">
        <v>3528</v>
      </c>
      <c r="B1547" s="0" t="s">
        <v>3529</v>
      </c>
      <c r="C1547" s="0" t="s">
        <v>31</v>
      </c>
      <c r="D1547" s="0" t="s">
        <v>1704</v>
      </c>
    </row>
    <row r="1548" customFormat="false" ht="13.8" hidden="false" customHeight="false" outlineLevel="0" collapsed="false">
      <c r="A1548" s="0" t="s">
        <v>3530</v>
      </c>
      <c r="B1548" s="0" t="s">
        <v>3531</v>
      </c>
      <c r="C1548" s="0" t="s">
        <v>31</v>
      </c>
      <c r="D1548" s="0" t="s">
        <v>1924</v>
      </c>
    </row>
    <row r="1549" customFormat="false" ht="13.8" hidden="false" customHeight="false" outlineLevel="0" collapsed="false">
      <c r="A1549" s="0" t="s">
        <v>3532</v>
      </c>
      <c r="B1549" s="0" t="s">
        <v>3533</v>
      </c>
      <c r="C1549" s="0" t="s">
        <v>31</v>
      </c>
      <c r="D1549" s="0" t="s">
        <v>1924</v>
      </c>
    </row>
    <row r="1550" customFormat="false" ht="13.8" hidden="false" customHeight="false" outlineLevel="0" collapsed="false">
      <c r="A1550" s="0" t="s">
        <v>3534</v>
      </c>
      <c r="B1550" s="0" t="s">
        <v>3535</v>
      </c>
      <c r="C1550" s="0" t="s">
        <v>31</v>
      </c>
      <c r="D1550" s="0" t="s">
        <v>1704</v>
      </c>
    </row>
    <row r="1551" customFormat="false" ht="13.8" hidden="false" customHeight="false" outlineLevel="0" collapsed="false">
      <c r="A1551" s="0" t="s">
        <v>3536</v>
      </c>
      <c r="B1551" s="0" t="s">
        <v>3537</v>
      </c>
      <c r="C1551" s="0" t="s">
        <v>31</v>
      </c>
      <c r="D1551" s="0" t="s">
        <v>16</v>
      </c>
    </row>
    <row r="1552" customFormat="false" ht="13.8" hidden="false" customHeight="false" outlineLevel="0" collapsed="false">
      <c r="A1552" s="0" t="s">
        <v>3538</v>
      </c>
      <c r="B1552" s="0" t="s">
        <v>3539</v>
      </c>
      <c r="C1552" s="0" t="s">
        <v>31</v>
      </c>
      <c r="D1552" s="0" t="s">
        <v>1704</v>
      </c>
    </row>
    <row r="1553" customFormat="false" ht="13.8" hidden="false" customHeight="false" outlineLevel="0" collapsed="false">
      <c r="A1553" s="0" t="s">
        <v>3540</v>
      </c>
      <c r="B1553" s="0" t="s">
        <v>3541</v>
      </c>
      <c r="C1553" s="0" t="s">
        <v>31</v>
      </c>
      <c r="D1553" s="0" t="s">
        <v>2386</v>
      </c>
    </row>
    <row r="1554" customFormat="false" ht="13.8" hidden="false" customHeight="false" outlineLevel="0" collapsed="false">
      <c r="A1554" s="0" t="s">
        <v>3542</v>
      </c>
      <c r="B1554" s="0" t="s">
        <v>3543</v>
      </c>
      <c r="C1554" s="0" t="s">
        <v>31</v>
      </c>
      <c r="D1554" s="0" t="s">
        <v>3544</v>
      </c>
    </row>
    <row r="1555" customFormat="false" ht="13.8" hidden="false" customHeight="false" outlineLevel="0" collapsed="false">
      <c r="A1555" s="0" t="s">
        <v>3545</v>
      </c>
      <c r="B1555" s="0" t="s">
        <v>3546</v>
      </c>
      <c r="C1555" s="0" t="s">
        <v>31</v>
      </c>
      <c r="D1555" s="0" t="s">
        <v>3547</v>
      </c>
    </row>
    <row r="1556" customFormat="false" ht="13.8" hidden="false" customHeight="false" outlineLevel="0" collapsed="false">
      <c r="A1556" s="0" t="s">
        <v>3548</v>
      </c>
      <c r="B1556" s="0" t="s">
        <v>3549</v>
      </c>
      <c r="C1556" s="4" t="s">
        <v>31</v>
      </c>
      <c r="D1556" s="0" t="s">
        <v>413</v>
      </c>
    </row>
    <row r="1557" customFormat="false" ht="13.8" hidden="false" customHeight="false" outlineLevel="0" collapsed="false">
      <c r="A1557" s="0" t="s">
        <v>3550</v>
      </c>
      <c r="B1557" s="0" t="s">
        <v>3551</v>
      </c>
      <c r="C1557" s="0" t="s">
        <v>31</v>
      </c>
      <c r="D1557" s="0" t="s">
        <v>1508</v>
      </c>
    </row>
    <row r="1558" customFormat="false" ht="13.8" hidden="false" customHeight="false" outlineLevel="0" collapsed="false">
      <c r="A1558" s="0" t="s">
        <v>3552</v>
      </c>
      <c r="B1558" s="0" t="s">
        <v>3553</v>
      </c>
      <c r="C1558" s="0" t="s">
        <v>31</v>
      </c>
      <c r="D1558" s="0" t="s">
        <v>1704</v>
      </c>
    </row>
    <row r="1559" customFormat="false" ht="13.8" hidden="false" customHeight="false" outlineLevel="0" collapsed="false">
      <c r="A1559" s="0" t="s">
        <v>3554</v>
      </c>
      <c r="B1559" s="0" t="s">
        <v>3555</v>
      </c>
      <c r="C1559" s="0" t="s">
        <v>31</v>
      </c>
      <c r="D1559" s="0" t="s">
        <v>1924</v>
      </c>
    </row>
    <row r="1560" customFormat="false" ht="13.8" hidden="false" customHeight="false" outlineLevel="0" collapsed="false">
      <c r="A1560" s="0" t="s">
        <v>3556</v>
      </c>
      <c r="B1560" s="0" t="s">
        <v>3557</v>
      </c>
      <c r="C1560" s="0" t="s">
        <v>31</v>
      </c>
      <c r="D1560" s="0" t="s">
        <v>16</v>
      </c>
    </row>
    <row r="1561" customFormat="false" ht="13.8" hidden="false" customHeight="false" outlineLevel="0" collapsed="false">
      <c r="A1561" s="0" t="s">
        <v>3558</v>
      </c>
      <c r="B1561" s="0" t="s">
        <v>3559</v>
      </c>
      <c r="C1561" s="0" t="s">
        <v>31</v>
      </c>
      <c r="D1561" s="0" t="s">
        <v>1651</v>
      </c>
    </row>
    <row r="1562" customFormat="false" ht="13.8" hidden="false" customHeight="false" outlineLevel="0" collapsed="false">
      <c r="A1562" s="0" t="s">
        <v>3560</v>
      </c>
      <c r="B1562" s="0" t="s">
        <v>3561</v>
      </c>
      <c r="C1562" s="3" t="s">
        <v>31</v>
      </c>
      <c r="D1562" s="0" t="s">
        <v>1513</v>
      </c>
    </row>
    <row r="1563" customFormat="false" ht="13.8" hidden="false" customHeight="false" outlineLevel="0" collapsed="false">
      <c r="A1563" s="0" t="s">
        <v>3562</v>
      </c>
      <c r="B1563" s="0" t="s">
        <v>3563</v>
      </c>
      <c r="C1563" s="0" t="s">
        <v>31</v>
      </c>
      <c r="D1563" s="0" t="s">
        <v>1527</v>
      </c>
    </row>
    <row r="1564" customFormat="false" ht="13.8" hidden="false" customHeight="false" outlineLevel="0" collapsed="false">
      <c r="A1564" s="0" t="s">
        <v>3564</v>
      </c>
      <c r="B1564" s="0" t="s">
        <v>3565</v>
      </c>
      <c r="C1564" s="0" t="s">
        <v>31</v>
      </c>
      <c r="D1564" s="0" t="s">
        <v>1592</v>
      </c>
    </row>
    <row r="1565" customFormat="false" ht="13.8" hidden="false" customHeight="false" outlineLevel="0" collapsed="false">
      <c r="A1565" s="0" t="s">
        <v>3566</v>
      </c>
      <c r="B1565" s="0" t="s">
        <v>3567</v>
      </c>
      <c r="C1565" s="0" t="s">
        <v>31</v>
      </c>
      <c r="D1565" s="0" t="s">
        <v>19</v>
      </c>
    </row>
    <row r="1566" customFormat="false" ht="13.8" hidden="false" customHeight="false" outlineLevel="0" collapsed="false">
      <c r="A1566" s="0" t="s">
        <v>3568</v>
      </c>
      <c r="B1566" s="0" t="s">
        <v>3569</v>
      </c>
      <c r="C1566" s="0" t="s">
        <v>31</v>
      </c>
      <c r="D1566" s="0" t="s">
        <v>19</v>
      </c>
    </row>
    <row r="1567" customFormat="false" ht="13.8" hidden="false" customHeight="false" outlineLevel="0" collapsed="false">
      <c r="A1567" s="0" t="s">
        <v>3570</v>
      </c>
      <c r="B1567" s="0" t="s">
        <v>412</v>
      </c>
      <c r="C1567" s="0" t="s">
        <v>31</v>
      </c>
      <c r="D1567" s="0" t="s">
        <v>2809</v>
      </c>
    </row>
    <row r="1568" customFormat="false" ht="13.8" hidden="false" customHeight="false" outlineLevel="0" collapsed="false">
      <c r="A1568" s="0" t="s">
        <v>3571</v>
      </c>
      <c r="B1568" s="0" t="s">
        <v>3572</v>
      </c>
      <c r="C1568" s="0" t="s">
        <v>31</v>
      </c>
      <c r="D1568" s="0" t="s">
        <v>413</v>
      </c>
    </row>
    <row r="1569" customFormat="false" ht="13.8" hidden="false" customHeight="false" outlineLevel="0" collapsed="false">
      <c r="A1569" s="0" t="s">
        <v>3573</v>
      </c>
      <c r="B1569" s="0" t="s">
        <v>2835</v>
      </c>
      <c r="C1569" s="0" t="s">
        <v>31</v>
      </c>
      <c r="D1569" s="0" t="s">
        <v>2492</v>
      </c>
    </row>
    <row r="1570" customFormat="false" ht="13.8" hidden="false" customHeight="false" outlineLevel="0" collapsed="false">
      <c r="A1570" s="0" t="s">
        <v>3574</v>
      </c>
      <c r="B1570" s="0" t="s">
        <v>3575</v>
      </c>
      <c r="C1570" s="0" t="s">
        <v>31</v>
      </c>
      <c r="D1570" s="0" t="s">
        <v>1957</v>
      </c>
    </row>
    <row r="1571" customFormat="false" ht="13.8" hidden="false" customHeight="false" outlineLevel="0" collapsed="false">
      <c r="A1571" s="0" t="s">
        <v>3576</v>
      </c>
      <c r="B1571" s="0" t="s">
        <v>3577</v>
      </c>
      <c r="C1571" s="0" t="s">
        <v>31</v>
      </c>
      <c r="D1571" s="0" t="s">
        <v>1957</v>
      </c>
    </row>
    <row r="1572" customFormat="false" ht="13.8" hidden="false" customHeight="false" outlineLevel="0" collapsed="false">
      <c r="A1572" s="0" t="s">
        <v>3578</v>
      </c>
      <c r="B1572" s="0" t="s">
        <v>3579</v>
      </c>
      <c r="C1572" s="0" t="s">
        <v>31</v>
      </c>
      <c r="D1572" s="0" t="s">
        <v>1651</v>
      </c>
    </row>
    <row r="1573" customFormat="false" ht="13.8" hidden="false" customHeight="false" outlineLevel="0" collapsed="false">
      <c r="A1573" s="0" t="s">
        <v>3580</v>
      </c>
      <c r="B1573" s="0" t="s">
        <v>3581</v>
      </c>
      <c r="C1573" s="0" t="s">
        <v>31</v>
      </c>
      <c r="D1573" s="0" t="s">
        <v>2678</v>
      </c>
    </row>
    <row r="1574" customFormat="false" ht="13.8" hidden="false" customHeight="false" outlineLevel="0" collapsed="false">
      <c r="A1574" s="0" t="s">
        <v>3582</v>
      </c>
      <c r="B1574" s="0" t="s">
        <v>3583</v>
      </c>
      <c r="C1574" s="0" t="s">
        <v>31</v>
      </c>
      <c r="D1574" s="0" t="s">
        <v>2386</v>
      </c>
    </row>
    <row r="1575" customFormat="false" ht="13.8" hidden="false" customHeight="false" outlineLevel="0" collapsed="false">
      <c r="A1575" s="0" t="s">
        <v>3584</v>
      </c>
      <c r="B1575" s="0" t="s">
        <v>3585</v>
      </c>
      <c r="C1575" s="0" t="s">
        <v>31</v>
      </c>
      <c r="D1575" s="0" t="s">
        <v>3261</v>
      </c>
    </row>
    <row r="1576" customFormat="false" ht="13.8" hidden="false" customHeight="false" outlineLevel="0" collapsed="false">
      <c r="A1576" s="0" t="s">
        <v>3586</v>
      </c>
      <c r="B1576" s="0" t="s">
        <v>3587</v>
      </c>
      <c r="C1576" s="0" t="s">
        <v>31</v>
      </c>
      <c r="D1576" s="0" t="s">
        <v>19</v>
      </c>
    </row>
    <row r="1577" customFormat="false" ht="13.8" hidden="false" customHeight="false" outlineLevel="0" collapsed="false">
      <c r="A1577" s="0" t="s">
        <v>3588</v>
      </c>
      <c r="B1577" s="0" t="s">
        <v>3589</v>
      </c>
      <c r="C1577" s="0" t="s">
        <v>31</v>
      </c>
      <c r="D1577" s="0" t="s">
        <v>2386</v>
      </c>
    </row>
    <row r="1578" customFormat="false" ht="13.8" hidden="false" customHeight="false" outlineLevel="0" collapsed="false">
      <c r="A1578" s="0" t="s">
        <v>3590</v>
      </c>
      <c r="B1578" s="0" t="s">
        <v>3591</v>
      </c>
      <c r="C1578" s="0" t="s">
        <v>31</v>
      </c>
      <c r="D1578" s="0" t="s">
        <v>2356</v>
      </c>
    </row>
    <row r="1579" customFormat="false" ht="13.8" hidden="false" customHeight="false" outlineLevel="0" collapsed="false">
      <c r="A1579" s="0" t="s">
        <v>3592</v>
      </c>
      <c r="B1579" s="0" t="s">
        <v>3593</v>
      </c>
      <c r="C1579" s="0" t="s">
        <v>31</v>
      </c>
      <c r="D1579" s="0" t="s">
        <v>1527</v>
      </c>
    </row>
    <row r="1580" customFormat="false" ht="13.8" hidden="false" customHeight="false" outlineLevel="0" collapsed="false">
      <c r="A1580" s="0" t="s">
        <v>3594</v>
      </c>
      <c r="B1580" s="0" t="s">
        <v>3595</v>
      </c>
      <c r="C1580" s="0" t="s">
        <v>31</v>
      </c>
      <c r="D1580" s="0" t="s">
        <v>413</v>
      </c>
    </row>
    <row r="1581" customFormat="false" ht="13.8" hidden="false" customHeight="false" outlineLevel="0" collapsed="false">
      <c r="A1581" s="0" t="s">
        <v>3597</v>
      </c>
      <c r="B1581" s="0" t="s">
        <v>3598</v>
      </c>
      <c r="C1581" s="0" t="s">
        <v>31</v>
      </c>
      <c r="D1581" s="0" t="s">
        <v>19</v>
      </c>
    </row>
    <row r="1582" customFormat="false" ht="13.8" hidden="false" customHeight="false" outlineLevel="0" collapsed="false">
      <c r="A1582" s="0" t="s">
        <v>3599</v>
      </c>
      <c r="B1582" s="0" t="s">
        <v>3600</v>
      </c>
      <c r="C1582" s="0" t="s">
        <v>31</v>
      </c>
      <c r="D1582" s="0" t="s">
        <v>1704</v>
      </c>
    </row>
    <row r="1583" customFormat="false" ht="13.8" hidden="false" customHeight="false" outlineLevel="0" collapsed="false">
      <c r="A1583" s="0" t="s">
        <v>3601</v>
      </c>
      <c r="B1583" s="0" t="s">
        <v>3602</v>
      </c>
      <c r="C1583" s="0" t="s">
        <v>31</v>
      </c>
      <c r="D1583" s="0" t="s">
        <v>413</v>
      </c>
    </row>
    <row r="1584" customFormat="false" ht="13.8" hidden="false" customHeight="false" outlineLevel="0" collapsed="false">
      <c r="A1584" s="0" t="s">
        <v>3603</v>
      </c>
      <c r="B1584" s="0" t="s">
        <v>3604</v>
      </c>
      <c r="C1584" s="0" t="s">
        <v>31</v>
      </c>
      <c r="D1584" s="0" t="s">
        <v>413</v>
      </c>
    </row>
    <row r="1585" customFormat="false" ht="13.8" hidden="false" customHeight="false" outlineLevel="0" collapsed="false">
      <c r="A1585" s="0" t="s">
        <v>3605</v>
      </c>
      <c r="B1585" s="0" t="s">
        <v>3606</v>
      </c>
      <c r="C1585" s="0" t="s">
        <v>31</v>
      </c>
      <c r="D1585" s="0" t="s">
        <v>370</v>
      </c>
    </row>
    <row r="1586" customFormat="false" ht="13.8" hidden="false" customHeight="false" outlineLevel="0" collapsed="false">
      <c r="A1586" s="0" t="s">
        <v>3607</v>
      </c>
      <c r="B1586" s="0" t="s">
        <v>3608</v>
      </c>
      <c r="C1586" s="0" t="s">
        <v>31</v>
      </c>
      <c r="D1586" s="0" t="s">
        <v>1957</v>
      </c>
    </row>
    <row r="1587" customFormat="false" ht="13.8" hidden="false" customHeight="false" outlineLevel="0" collapsed="false">
      <c r="A1587" s="0" t="s">
        <v>3609</v>
      </c>
      <c r="B1587" s="0" t="s">
        <v>3610</v>
      </c>
      <c r="C1587" s="0" t="s">
        <v>31</v>
      </c>
      <c r="D1587" s="0" t="s">
        <v>1704</v>
      </c>
    </row>
    <row r="1588" customFormat="false" ht="13.8" hidden="false" customHeight="false" outlineLevel="0" collapsed="false">
      <c r="A1588" s="0" t="s">
        <v>3611</v>
      </c>
      <c r="B1588" s="0" t="s">
        <v>3612</v>
      </c>
      <c r="C1588" s="0" t="s">
        <v>31</v>
      </c>
      <c r="D1588" s="0" t="s">
        <v>1704</v>
      </c>
    </row>
    <row r="1589" customFormat="false" ht="13.8" hidden="false" customHeight="false" outlineLevel="0" collapsed="false">
      <c r="A1589" s="0" t="s">
        <v>3613</v>
      </c>
      <c r="B1589" s="0" t="s">
        <v>3614</v>
      </c>
      <c r="C1589" s="0" t="s">
        <v>31</v>
      </c>
      <c r="D1589" s="0" t="s">
        <v>1737</v>
      </c>
    </row>
    <row r="1590" customFormat="false" ht="13.8" hidden="false" customHeight="false" outlineLevel="0" collapsed="false">
      <c r="A1590" s="0" t="s">
        <v>3615</v>
      </c>
      <c r="B1590" s="0" t="s">
        <v>3616</v>
      </c>
      <c r="C1590" s="0" t="s">
        <v>31</v>
      </c>
      <c r="D1590" s="0" t="s">
        <v>1957</v>
      </c>
    </row>
    <row r="1591" customFormat="false" ht="13.8" hidden="false" customHeight="false" outlineLevel="0" collapsed="false">
      <c r="A1591" s="0" t="s">
        <v>3617</v>
      </c>
      <c r="B1591" s="0" t="s">
        <v>3618</v>
      </c>
      <c r="C1591" s="0" t="s">
        <v>31</v>
      </c>
      <c r="D1591" s="0" t="s">
        <v>413</v>
      </c>
    </row>
    <row r="1592" customFormat="false" ht="13.8" hidden="false" customHeight="false" outlineLevel="0" collapsed="false">
      <c r="A1592" s="0" t="s">
        <v>3619</v>
      </c>
      <c r="B1592" s="0" t="s">
        <v>3620</v>
      </c>
      <c r="C1592" s="0" t="s">
        <v>31</v>
      </c>
      <c r="D1592" s="0" t="s">
        <v>2072</v>
      </c>
    </row>
    <row r="1593" customFormat="false" ht="13.8" hidden="false" customHeight="false" outlineLevel="0" collapsed="false">
      <c r="A1593" s="0" t="s">
        <v>3621</v>
      </c>
      <c r="B1593" s="0" t="s">
        <v>3622</v>
      </c>
      <c r="C1593" s="0" t="s">
        <v>31</v>
      </c>
      <c r="D1593" s="0" t="s">
        <v>2887</v>
      </c>
    </row>
    <row r="1594" customFormat="false" ht="13.8" hidden="false" customHeight="false" outlineLevel="0" collapsed="false">
      <c r="A1594" s="0" t="s">
        <v>3623</v>
      </c>
      <c r="B1594" s="0" t="s">
        <v>3624</v>
      </c>
      <c r="C1594" s="0" t="s">
        <v>31</v>
      </c>
      <c r="D1594" s="0" t="s">
        <v>69</v>
      </c>
    </row>
    <row r="1595" customFormat="false" ht="13.8" hidden="false" customHeight="false" outlineLevel="0" collapsed="false">
      <c r="A1595" s="0" t="s">
        <v>3625</v>
      </c>
      <c r="B1595" s="0" t="s">
        <v>1101</v>
      </c>
      <c r="C1595" s="0" t="s">
        <v>31</v>
      </c>
      <c r="D1595" s="0" t="s">
        <v>413</v>
      </c>
    </row>
    <row r="1596" customFormat="false" ht="13.8" hidden="false" customHeight="false" outlineLevel="0" collapsed="false">
      <c r="A1596" s="0" t="s">
        <v>3626</v>
      </c>
      <c r="B1596" s="0" t="s">
        <v>3627</v>
      </c>
      <c r="C1596" s="0" t="s">
        <v>31</v>
      </c>
      <c r="D1596" s="0" t="s">
        <v>3628</v>
      </c>
    </row>
    <row r="1597" customFormat="false" ht="13.8" hidden="false" customHeight="false" outlineLevel="0" collapsed="false">
      <c r="A1597" s="0" t="s">
        <v>3629</v>
      </c>
      <c r="B1597" s="0" t="s">
        <v>3630</v>
      </c>
      <c r="C1597" s="0" t="s">
        <v>31</v>
      </c>
      <c r="D1597" s="0" t="s">
        <v>2072</v>
      </c>
    </row>
    <row r="1598" customFormat="false" ht="13.8" hidden="false" customHeight="false" outlineLevel="0" collapsed="false">
      <c r="A1598" s="0" t="s">
        <v>3631</v>
      </c>
      <c r="B1598" s="0" t="s">
        <v>1392</v>
      </c>
      <c r="C1598" s="0" t="s">
        <v>31</v>
      </c>
      <c r="D1598" s="0" t="s">
        <v>279</v>
      </c>
    </row>
    <row r="1599" customFormat="false" ht="13.8" hidden="false" customHeight="false" outlineLevel="0" collapsed="false">
      <c r="A1599" s="0" t="s">
        <v>3632</v>
      </c>
      <c r="B1599" s="0" t="s">
        <v>3633</v>
      </c>
      <c r="C1599" s="0" t="s">
        <v>31</v>
      </c>
      <c r="D1599" s="0" t="s">
        <v>1704</v>
      </c>
    </row>
    <row r="1600" customFormat="false" ht="13.8" hidden="false" customHeight="false" outlineLevel="0" collapsed="false">
      <c r="A1600" s="0" t="s">
        <v>3634</v>
      </c>
      <c r="B1600" s="0" t="s">
        <v>3635</v>
      </c>
      <c r="C1600" s="0" t="s">
        <v>31</v>
      </c>
      <c r="D1600" s="0" t="s">
        <v>1651</v>
      </c>
    </row>
    <row r="1601" customFormat="false" ht="13.8" hidden="false" customHeight="false" outlineLevel="0" collapsed="false">
      <c r="A1601" s="0" t="s">
        <v>3636</v>
      </c>
      <c r="B1601" s="0" t="s">
        <v>3637</v>
      </c>
      <c r="C1601" s="0" t="s">
        <v>31</v>
      </c>
      <c r="D1601" s="0" t="s">
        <v>2386</v>
      </c>
    </row>
    <row r="1602" customFormat="false" ht="13.8" hidden="false" customHeight="false" outlineLevel="0" collapsed="false">
      <c r="A1602" s="0" t="s">
        <v>3638</v>
      </c>
      <c r="B1602" s="0" t="s">
        <v>3639</v>
      </c>
      <c r="C1602" s="0" t="s">
        <v>31</v>
      </c>
      <c r="D1602" s="0" t="s">
        <v>413</v>
      </c>
    </row>
    <row r="1603" customFormat="false" ht="13.8" hidden="false" customHeight="false" outlineLevel="0" collapsed="false">
      <c r="A1603" s="0" t="s">
        <v>3640</v>
      </c>
      <c r="B1603" s="0" t="s">
        <v>3641</v>
      </c>
      <c r="C1603" s="0" t="s">
        <v>31</v>
      </c>
      <c r="D1603" s="0" t="s">
        <v>3642</v>
      </c>
    </row>
    <row r="1604" customFormat="false" ht="13.8" hidden="false" customHeight="false" outlineLevel="0" collapsed="false">
      <c r="A1604" s="0" t="s">
        <v>3643</v>
      </c>
      <c r="B1604" s="0" t="s">
        <v>3644</v>
      </c>
      <c r="C1604" s="0" t="s">
        <v>31</v>
      </c>
      <c r="D1604" s="0" t="s">
        <v>1592</v>
      </c>
    </row>
    <row r="1605" customFormat="false" ht="13.8" hidden="false" customHeight="false" outlineLevel="0" collapsed="false">
      <c r="A1605" s="0" t="s">
        <v>3645</v>
      </c>
      <c r="B1605" s="0" t="s">
        <v>3646</v>
      </c>
      <c r="C1605" s="0" t="s">
        <v>31</v>
      </c>
      <c r="D1605" s="0" t="s">
        <v>1704</v>
      </c>
    </row>
    <row r="1606" customFormat="false" ht="13.8" hidden="false" customHeight="false" outlineLevel="0" collapsed="false">
      <c r="A1606" s="0" t="s">
        <v>3647</v>
      </c>
      <c r="B1606" s="0" t="s">
        <v>3648</v>
      </c>
      <c r="C1606" s="0" t="s">
        <v>31</v>
      </c>
      <c r="D1606" s="0" t="s">
        <v>413</v>
      </c>
    </row>
    <row r="1607" customFormat="false" ht="13.8" hidden="false" customHeight="false" outlineLevel="0" collapsed="false">
      <c r="A1607" s="0" t="s">
        <v>3649</v>
      </c>
      <c r="B1607" s="0" t="s">
        <v>3650</v>
      </c>
      <c r="C1607" s="0" t="s">
        <v>31</v>
      </c>
      <c r="D1607" s="0" t="s">
        <v>1699</v>
      </c>
    </row>
    <row r="1608" customFormat="false" ht="13.8" hidden="false" customHeight="false" outlineLevel="0" collapsed="false">
      <c r="A1608" s="0" t="s">
        <v>3651</v>
      </c>
      <c r="B1608" s="0" t="s">
        <v>3652</v>
      </c>
      <c r="C1608" s="0" t="s">
        <v>31</v>
      </c>
      <c r="D1608" s="0" t="s">
        <v>1737</v>
      </c>
    </row>
    <row r="1609" customFormat="false" ht="13.8" hidden="false" customHeight="false" outlineLevel="0" collapsed="false">
      <c r="A1609" s="0" t="s">
        <v>3653</v>
      </c>
      <c r="B1609" s="0" t="s">
        <v>3654</v>
      </c>
      <c r="C1609" s="0" t="s">
        <v>31</v>
      </c>
      <c r="D1609" s="0" t="s">
        <v>2871</v>
      </c>
    </row>
    <row r="1610" customFormat="false" ht="13.8" hidden="false" customHeight="false" outlineLevel="0" collapsed="false">
      <c r="A1610" s="0" t="s">
        <v>3655</v>
      </c>
      <c r="B1610" s="0" t="s">
        <v>3656</v>
      </c>
      <c r="C1610" s="0" t="s">
        <v>31</v>
      </c>
      <c r="D1610" s="0" t="s">
        <v>19</v>
      </c>
    </row>
    <row r="1611" customFormat="false" ht="13.8" hidden="false" customHeight="false" outlineLevel="0" collapsed="false">
      <c r="A1611" s="0" t="s">
        <v>3657</v>
      </c>
      <c r="B1611" s="0" t="s">
        <v>3658</v>
      </c>
      <c r="C1611" s="0" t="s">
        <v>31</v>
      </c>
      <c r="D1611" s="0" t="s">
        <v>1592</v>
      </c>
    </row>
    <row r="1612" customFormat="false" ht="13.8" hidden="false" customHeight="false" outlineLevel="0" collapsed="false">
      <c r="A1612" s="0" t="s">
        <v>3659</v>
      </c>
      <c r="B1612" s="0" t="s">
        <v>3660</v>
      </c>
      <c r="C1612" s="0" t="s">
        <v>31</v>
      </c>
      <c r="D1612" s="0" t="s">
        <v>413</v>
      </c>
    </row>
    <row r="1613" customFormat="false" ht="13.8" hidden="false" customHeight="false" outlineLevel="0" collapsed="false">
      <c r="A1613" s="0" t="s">
        <v>3661</v>
      </c>
      <c r="B1613" s="0" t="s">
        <v>3662</v>
      </c>
      <c r="C1613" s="0" t="s">
        <v>31</v>
      </c>
      <c r="D1613" s="0" t="s">
        <v>1651</v>
      </c>
    </row>
    <row r="1614" customFormat="false" ht="13.8" hidden="false" customHeight="false" outlineLevel="0" collapsed="false">
      <c r="A1614" s="0" t="s">
        <v>3663</v>
      </c>
      <c r="B1614" s="0" t="s">
        <v>3664</v>
      </c>
      <c r="C1614" s="0" t="s">
        <v>31</v>
      </c>
      <c r="D1614" s="0" t="s">
        <v>413</v>
      </c>
    </row>
    <row r="1615" customFormat="false" ht="13.8" hidden="false" customHeight="false" outlineLevel="0" collapsed="false">
      <c r="A1615" s="0" t="s">
        <v>3666</v>
      </c>
      <c r="B1615" s="0" t="s">
        <v>3667</v>
      </c>
      <c r="C1615" s="0" t="s">
        <v>31</v>
      </c>
      <c r="D1615" s="0" t="s">
        <v>1704</v>
      </c>
    </row>
    <row r="1616" customFormat="false" ht="13.8" hidden="false" customHeight="false" outlineLevel="0" collapsed="false">
      <c r="A1616" s="0" t="s">
        <v>3668</v>
      </c>
      <c r="B1616" s="0" t="s">
        <v>3669</v>
      </c>
      <c r="C1616" s="0" t="s">
        <v>31</v>
      </c>
      <c r="D1616" s="0" t="s">
        <v>16</v>
      </c>
    </row>
    <row r="1617" customFormat="false" ht="13.8" hidden="false" customHeight="false" outlineLevel="0" collapsed="false">
      <c r="A1617" s="0" t="s">
        <v>3670</v>
      </c>
      <c r="B1617" s="0" t="s">
        <v>3671</v>
      </c>
      <c r="C1617" s="0" t="s">
        <v>31</v>
      </c>
      <c r="D1617" s="0" t="s">
        <v>413</v>
      </c>
    </row>
    <row r="1618" customFormat="false" ht="13.8" hidden="false" customHeight="false" outlineLevel="0" collapsed="false">
      <c r="A1618" s="0" t="s">
        <v>3672</v>
      </c>
      <c r="B1618" s="0" t="s">
        <v>3673</v>
      </c>
      <c r="C1618" s="0" t="s">
        <v>31</v>
      </c>
      <c r="D1618" s="0" t="s">
        <v>3674</v>
      </c>
    </row>
    <row r="1619" customFormat="false" ht="13.8" hidden="false" customHeight="false" outlineLevel="0" collapsed="false">
      <c r="A1619" s="0" t="s">
        <v>3675</v>
      </c>
      <c r="B1619" s="0" t="s">
        <v>3676</v>
      </c>
      <c r="C1619" s="0" t="s">
        <v>31</v>
      </c>
      <c r="D1619" s="0" t="s">
        <v>1957</v>
      </c>
    </row>
    <row r="1620" customFormat="false" ht="13.8" hidden="false" customHeight="false" outlineLevel="0" collapsed="false">
      <c r="A1620" s="0" t="s">
        <v>3677</v>
      </c>
      <c r="B1620" s="0" t="s">
        <v>3678</v>
      </c>
      <c r="C1620" s="0" t="s">
        <v>31</v>
      </c>
      <c r="D1620" s="0" t="s">
        <v>16</v>
      </c>
    </row>
    <row r="1621" customFormat="false" ht="13.8" hidden="false" customHeight="false" outlineLevel="0" collapsed="false">
      <c r="A1621" s="0" t="s">
        <v>3679</v>
      </c>
      <c r="B1621" s="0" t="s">
        <v>3680</v>
      </c>
      <c r="C1621" s="0" t="s">
        <v>31</v>
      </c>
      <c r="D1621" s="0" t="s">
        <v>2678</v>
      </c>
    </row>
    <row r="1622" customFormat="false" ht="13.8" hidden="false" customHeight="false" outlineLevel="0" collapsed="false">
      <c r="A1622" s="0" t="s">
        <v>3681</v>
      </c>
      <c r="B1622" s="0" t="s">
        <v>3682</v>
      </c>
      <c r="C1622" s="0" t="s">
        <v>31</v>
      </c>
      <c r="D1622" s="0" t="s">
        <v>1633</v>
      </c>
    </row>
    <row r="1623" customFormat="false" ht="13.8" hidden="false" customHeight="false" outlineLevel="0" collapsed="false">
      <c r="A1623" s="0" t="s">
        <v>3683</v>
      </c>
      <c r="B1623" s="0" t="s">
        <v>3684</v>
      </c>
      <c r="C1623" s="0" t="s">
        <v>31</v>
      </c>
      <c r="D1623" s="0" t="s">
        <v>413</v>
      </c>
    </row>
    <row r="1624" customFormat="false" ht="13.8" hidden="false" customHeight="false" outlineLevel="0" collapsed="false">
      <c r="A1624" s="0" t="s">
        <v>3685</v>
      </c>
      <c r="B1624" s="0" t="s">
        <v>3686</v>
      </c>
      <c r="C1624" s="0" t="s">
        <v>31</v>
      </c>
      <c r="D1624" s="0" t="s">
        <v>2629</v>
      </c>
    </row>
    <row r="1625" customFormat="false" ht="13.8" hidden="false" customHeight="false" outlineLevel="0" collapsed="false">
      <c r="A1625" s="0" t="s">
        <v>3687</v>
      </c>
      <c r="B1625" s="0" t="s">
        <v>3688</v>
      </c>
      <c r="C1625" s="0" t="s">
        <v>31</v>
      </c>
      <c r="D1625" s="0" t="s">
        <v>19</v>
      </c>
    </row>
    <row r="1626" customFormat="false" ht="13.8" hidden="false" customHeight="false" outlineLevel="0" collapsed="false">
      <c r="A1626" s="0" t="s">
        <v>3689</v>
      </c>
      <c r="B1626" s="0" t="s">
        <v>3690</v>
      </c>
      <c r="C1626" s="0" t="s">
        <v>31</v>
      </c>
      <c r="D1626" s="0" t="s">
        <v>3691</v>
      </c>
    </row>
    <row r="1627" customFormat="false" ht="13.8" hidden="false" customHeight="false" outlineLevel="0" collapsed="false">
      <c r="A1627" s="0" t="s">
        <v>3692</v>
      </c>
      <c r="B1627" s="0" t="s">
        <v>3693</v>
      </c>
      <c r="C1627" s="0" t="s">
        <v>31</v>
      </c>
      <c r="D1627" s="0" t="s">
        <v>1957</v>
      </c>
    </row>
    <row r="1628" customFormat="false" ht="13.8" hidden="false" customHeight="false" outlineLevel="0" collapsed="false">
      <c r="A1628" s="0" t="s">
        <v>3694</v>
      </c>
      <c r="B1628" s="0" t="s">
        <v>3695</v>
      </c>
      <c r="C1628" s="0" t="s">
        <v>31</v>
      </c>
      <c r="D1628" s="0" t="s">
        <v>1651</v>
      </c>
    </row>
    <row r="1629" customFormat="false" ht="13.8" hidden="false" customHeight="false" outlineLevel="0" collapsed="false">
      <c r="A1629" s="0" t="s">
        <v>3696</v>
      </c>
      <c r="B1629" s="0" t="s">
        <v>3697</v>
      </c>
      <c r="C1629" s="0" t="s">
        <v>31</v>
      </c>
      <c r="D1629" s="0" t="s">
        <v>413</v>
      </c>
    </row>
    <row r="1630" customFormat="false" ht="13.8" hidden="false" customHeight="false" outlineLevel="0" collapsed="false">
      <c r="A1630" s="0" t="s">
        <v>3698</v>
      </c>
      <c r="B1630" s="0" t="s">
        <v>3699</v>
      </c>
      <c r="C1630" s="0" t="s">
        <v>31</v>
      </c>
      <c r="D1630" s="0" t="s">
        <v>3190</v>
      </c>
    </row>
    <row r="1631" customFormat="false" ht="13.8" hidden="false" customHeight="false" outlineLevel="0" collapsed="false">
      <c r="A1631" s="0" t="s">
        <v>3700</v>
      </c>
      <c r="B1631" s="0" t="s">
        <v>3701</v>
      </c>
      <c r="C1631" s="0" t="s">
        <v>31</v>
      </c>
      <c r="D1631" s="0" t="s">
        <v>2878</v>
      </c>
    </row>
    <row r="1632" customFormat="false" ht="13.8" hidden="false" customHeight="false" outlineLevel="0" collapsed="false">
      <c r="A1632" s="0" t="s">
        <v>3702</v>
      </c>
      <c r="B1632" s="0" t="s">
        <v>3703</v>
      </c>
      <c r="C1632" s="0" t="s">
        <v>31</v>
      </c>
      <c r="D1632" s="0" t="s">
        <v>3628</v>
      </c>
    </row>
    <row r="1633" customFormat="false" ht="13.8" hidden="false" customHeight="false" outlineLevel="0" collapsed="false">
      <c r="A1633" s="0" t="s">
        <v>3704</v>
      </c>
      <c r="B1633" s="0" t="s">
        <v>3705</v>
      </c>
      <c r="C1633" s="0" t="s">
        <v>31</v>
      </c>
      <c r="D1633" s="0" t="s">
        <v>413</v>
      </c>
    </row>
    <row r="1634" customFormat="false" ht="13.8" hidden="false" customHeight="false" outlineLevel="0" collapsed="false">
      <c r="A1634" s="0" t="s">
        <v>3706</v>
      </c>
      <c r="B1634" s="0" t="s">
        <v>3707</v>
      </c>
      <c r="C1634" s="0" t="s">
        <v>31</v>
      </c>
      <c r="D1634" s="0" t="s">
        <v>413</v>
      </c>
    </row>
    <row r="1635" customFormat="false" ht="13.8" hidden="false" customHeight="false" outlineLevel="0" collapsed="false">
      <c r="A1635" s="0" t="s">
        <v>3708</v>
      </c>
      <c r="B1635" s="0" t="s">
        <v>3709</v>
      </c>
      <c r="C1635" s="0" t="s">
        <v>31</v>
      </c>
      <c r="D1635" s="0" t="s">
        <v>2444</v>
      </c>
    </row>
    <row r="1636" customFormat="false" ht="13.8" hidden="false" customHeight="false" outlineLevel="0" collapsed="false">
      <c r="A1636" s="0" t="s">
        <v>3710</v>
      </c>
      <c r="B1636" s="0" t="s">
        <v>3498</v>
      </c>
      <c r="C1636" s="0" t="s">
        <v>31</v>
      </c>
      <c r="D1636" s="0" t="s">
        <v>3711</v>
      </c>
    </row>
    <row r="1637" customFormat="false" ht="13.8" hidden="false" customHeight="false" outlineLevel="0" collapsed="false">
      <c r="A1637" s="0" t="s">
        <v>3712</v>
      </c>
      <c r="B1637" s="0" t="s">
        <v>3713</v>
      </c>
      <c r="C1637" s="0" t="s">
        <v>31</v>
      </c>
      <c r="D1637" s="0" t="s">
        <v>1592</v>
      </c>
    </row>
    <row r="1638" customFormat="false" ht="13.8" hidden="false" customHeight="false" outlineLevel="0" collapsed="false">
      <c r="A1638" s="0" t="s">
        <v>3714</v>
      </c>
      <c r="B1638" s="0" t="s">
        <v>3715</v>
      </c>
      <c r="C1638" s="0" t="s">
        <v>31</v>
      </c>
      <c r="D1638" s="0" t="s">
        <v>1957</v>
      </c>
    </row>
    <row r="1639" customFormat="false" ht="13.8" hidden="false" customHeight="false" outlineLevel="0" collapsed="false">
      <c r="A1639" s="0" t="s">
        <v>3716</v>
      </c>
      <c r="B1639" s="0" t="s">
        <v>3717</v>
      </c>
      <c r="C1639" s="0" t="s">
        <v>31</v>
      </c>
      <c r="D1639" s="0" t="s">
        <v>2492</v>
      </c>
    </row>
    <row r="1640" customFormat="false" ht="13.8" hidden="false" customHeight="false" outlineLevel="0" collapsed="false">
      <c r="A1640" s="0" t="s">
        <v>3718</v>
      </c>
      <c r="B1640" s="0" t="s">
        <v>3719</v>
      </c>
      <c r="C1640" s="0" t="s">
        <v>31</v>
      </c>
      <c r="D1640" s="0" t="s">
        <v>2054</v>
      </c>
    </row>
    <row r="1641" customFormat="false" ht="13.8" hidden="false" customHeight="false" outlineLevel="0" collapsed="false">
      <c r="A1641" s="0" t="s">
        <v>3720</v>
      </c>
      <c r="B1641" s="0" t="s">
        <v>3721</v>
      </c>
      <c r="C1641" s="0" t="s">
        <v>31</v>
      </c>
      <c r="D1641" s="0" t="s">
        <v>279</v>
      </c>
    </row>
    <row r="1642" customFormat="false" ht="13.8" hidden="false" customHeight="false" outlineLevel="0" collapsed="false">
      <c r="A1642" s="0" t="s">
        <v>3722</v>
      </c>
      <c r="B1642" s="0" t="s">
        <v>3723</v>
      </c>
      <c r="C1642" s="0" t="s">
        <v>31</v>
      </c>
      <c r="D1642" s="0" t="s">
        <v>19</v>
      </c>
    </row>
    <row r="1643" customFormat="false" ht="13.8" hidden="false" customHeight="false" outlineLevel="0" collapsed="false">
      <c r="A1643" s="0" t="s">
        <v>3725</v>
      </c>
      <c r="B1643" s="0" t="s">
        <v>3726</v>
      </c>
      <c r="C1643" s="0" t="s">
        <v>31</v>
      </c>
      <c r="D1643" s="0" t="s">
        <v>2356</v>
      </c>
    </row>
    <row r="1644" customFormat="false" ht="13.8" hidden="false" customHeight="false" outlineLevel="0" collapsed="false">
      <c r="A1644" s="0" t="s">
        <v>3727</v>
      </c>
      <c r="B1644" s="0" t="s">
        <v>3728</v>
      </c>
      <c r="C1644" s="0" t="s">
        <v>31</v>
      </c>
      <c r="D1644" s="0" t="s">
        <v>1592</v>
      </c>
    </row>
    <row r="1645" customFormat="false" ht="13.8" hidden="false" customHeight="false" outlineLevel="0" collapsed="false">
      <c r="A1645" s="0" t="s">
        <v>3729</v>
      </c>
      <c r="B1645" s="0" t="s">
        <v>3730</v>
      </c>
      <c r="C1645" s="0" t="s">
        <v>31</v>
      </c>
      <c r="D1645" s="0" t="s">
        <v>1592</v>
      </c>
    </row>
    <row r="1646" customFormat="false" ht="13.8" hidden="false" customHeight="false" outlineLevel="0" collapsed="false">
      <c r="A1646" s="0" t="s">
        <v>3731</v>
      </c>
      <c r="B1646" s="0" t="s">
        <v>801</v>
      </c>
      <c r="C1646" s="0" t="s">
        <v>31</v>
      </c>
      <c r="D1646" s="0" t="s">
        <v>19</v>
      </c>
    </row>
    <row r="1647" customFormat="false" ht="13.8" hidden="false" customHeight="false" outlineLevel="0" collapsed="false">
      <c r="A1647" s="0" t="s">
        <v>3732</v>
      </c>
      <c r="B1647" s="0" t="s">
        <v>3733</v>
      </c>
      <c r="C1647" s="0" t="s">
        <v>31</v>
      </c>
      <c r="D1647" s="0" t="s">
        <v>3523</v>
      </c>
    </row>
    <row r="1648" customFormat="false" ht="13.8" hidden="false" customHeight="false" outlineLevel="0" collapsed="false">
      <c r="A1648" s="0" t="s">
        <v>3734</v>
      </c>
      <c r="B1648" s="0" t="s">
        <v>3735</v>
      </c>
      <c r="C1648" s="0" t="s">
        <v>31</v>
      </c>
      <c r="D1648" s="0" t="s">
        <v>413</v>
      </c>
    </row>
    <row r="1649" customFormat="false" ht="13.8" hidden="false" customHeight="false" outlineLevel="0" collapsed="false">
      <c r="A1649" s="0" t="s">
        <v>3736</v>
      </c>
      <c r="B1649" s="0" t="s">
        <v>3737</v>
      </c>
      <c r="C1649" s="0" t="s">
        <v>31</v>
      </c>
      <c r="D1649" s="0" t="s">
        <v>413</v>
      </c>
    </row>
    <row r="1650" customFormat="false" ht="13.8" hidden="false" customHeight="false" outlineLevel="0" collapsed="false">
      <c r="A1650" s="0" t="s">
        <v>3738</v>
      </c>
      <c r="B1650" s="0" t="s">
        <v>3739</v>
      </c>
      <c r="C1650" s="0" t="s">
        <v>31</v>
      </c>
      <c r="D1650" s="0" t="s">
        <v>2072</v>
      </c>
    </row>
    <row r="1651" customFormat="false" ht="13.8" hidden="false" customHeight="false" outlineLevel="0" collapsed="false">
      <c r="A1651" s="0" t="s">
        <v>3740</v>
      </c>
      <c r="B1651" s="0" t="s">
        <v>3741</v>
      </c>
      <c r="C1651" s="0" t="s">
        <v>31</v>
      </c>
      <c r="D1651" s="0" t="s">
        <v>2492</v>
      </c>
    </row>
    <row r="1652" customFormat="false" ht="13.8" hidden="false" customHeight="false" outlineLevel="0" collapsed="false">
      <c r="A1652" s="0" t="s">
        <v>3742</v>
      </c>
      <c r="B1652" s="0" t="s">
        <v>3743</v>
      </c>
      <c r="C1652" s="0" t="s">
        <v>31</v>
      </c>
      <c r="D1652" s="0" t="s">
        <v>413</v>
      </c>
    </row>
    <row r="1653" customFormat="false" ht="13.8" hidden="false" customHeight="false" outlineLevel="0" collapsed="false">
      <c r="A1653" s="0" t="s">
        <v>3744</v>
      </c>
      <c r="B1653" s="0" t="s">
        <v>3745</v>
      </c>
      <c r="C1653" s="0" t="s">
        <v>31</v>
      </c>
      <c r="D1653" s="0" t="s">
        <v>413</v>
      </c>
    </row>
    <row r="1654" customFormat="false" ht="13.8" hidden="false" customHeight="false" outlineLevel="0" collapsed="false">
      <c r="A1654" s="0" t="s">
        <v>3747</v>
      </c>
      <c r="B1654" s="0" t="s">
        <v>3748</v>
      </c>
      <c r="C1654" s="0" t="s">
        <v>31</v>
      </c>
      <c r="D1654" s="0" t="s">
        <v>19</v>
      </c>
    </row>
    <row r="1655" customFormat="false" ht="13.8" hidden="false" customHeight="false" outlineLevel="0" collapsed="false">
      <c r="A1655" s="0" t="s">
        <v>3750</v>
      </c>
      <c r="B1655" s="0" t="s">
        <v>3751</v>
      </c>
      <c r="C1655" s="0" t="s">
        <v>31</v>
      </c>
      <c r="D1655" s="0" t="s">
        <v>1572</v>
      </c>
    </row>
    <row r="1656" customFormat="false" ht="13.8" hidden="false" customHeight="false" outlineLevel="0" collapsed="false">
      <c r="A1656" s="0" t="s">
        <v>3752</v>
      </c>
      <c r="B1656" s="0" t="s">
        <v>3753</v>
      </c>
      <c r="C1656" s="0" t="s">
        <v>31</v>
      </c>
      <c r="D1656" s="0" t="s">
        <v>2356</v>
      </c>
    </row>
    <row r="1657" customFormat="false" ht="13.8" hidden="false" customHeight="false" outlineLevel="0" collapsed="false">
      <c r="A1657" s="0" t="s">
        <v>3754</v>
      </c>
      <c r="B1657" s="0" t="s">
        <v>3755</v>
      </c>
      <c r="C1657" s="0" t="s">
        <v>31</v>
      </c>
      <c r="D1657" s="0" t="s">
        <v>1592</v>
      </c>
    </row>
    <row r="1658" customFormat="false" ht="13.8" hidden="false" customHeight="false" outlineLevel="0" collapsed="false">
      <c r="A1658" s="0" t="s">
        <v>3756</v>
      </c>
      <c r="B1658" s="0" t="s">
        <v>3757</v>
      </c>
      <c r="C1658" s="0" t="s">
        <v>31</v>
      </c>
      <c r="D1658" s="0" t="s">
        <v>1704</v>
      </c>
    </row>
    <row r="1659" customFormat="false" ht="13.8" hidden="false" customHeight="false" outlineLevel="0" collapsed="false">
      <c r="A1659" s="0" t="s">
        <v>3758</v>
      </c>
      <c r="B1659" s="0" t="s">
        <v>3759</v>
      </c>
      <c r="C1659" s="0" t="s">
        <v>31</v>
      </c>
      <c r="D1659" s="0" t="s">
        <v>1957</v>
      </c>
    </row>
    <row r="1660" customFormat="false" ht="13.8" hidden="false" customHeight="false" outlineLevel="0" collapsed="false">
      <c r="A1660" s="0" t="s">
        <v>3760</v>
      </c>
      <c r="B1660" s="0" t="s">
        <v>3761</v>
      </c>
      <c r="C1660" s="0" t="s">
        <v>31</v>
      </c>
      <c r="D1660" s="0" t="s">
        <v>1651</v>
      </c>
    </row>
    <row r="1661" customFormat="false" ht="13.8" hidden="false" customHeight="false" outlineLevel="0" collapsed="false">
      <c r="A1661" s="0" t="s">
        <v>3762</v>
      </c>
      <c r="B1661" s="0" t="s">
        <v>3763</v>
      </c>
      <c r="C1661" s="0" t="s">
        <v>31</v>
      </c>
      <c r="D1661" s="0" t="s">
        <v>413</v>
      </c>
    </row>
    <row r="1662" customFormat="false" ht="13.8" hidden="false" customHeight="false" outlineLevel="0" collapsed="false">
      <c r="A1662" s="0" t="s">
        <v>3765</v>
      </c>
      <c r="B1662" s="0" t="s">
        <v>3766</v>
      </c>
      <c r="C1662" s="0" t="s">
        <v>31</v>
      </c>
      <c r="D1662" s="0" t="s">
        <v>1572</v>
      </c>
    </row>
    <row r="1663" customFormat="false" ht="13.8" hidden="false" customHeight="false" outlineLevel="0" collapsed="false">
      <c r="A1663" s="0" t="s">
        <v>3767</v>
      </c>
      <c r="B1663" s="0" t="s">
        <v>3768</v>
      </c>
      <c r="C1663" s="0" t="s">
        <v>31</v>
      </c>
      <c r="D1663" s="0" t="s">
        <v>1957</v>
      </c>
    </row>
    <row r="1664" customFormat="false" ht="13.8" hidden="false" customHeight="false" outlineLevel="0" collapsed="false">
      <c r="A1664" s="0" t="s">
        <v>3769</v>
      </c>
      <c r="B1664" s="0" t="s">
        <v>3770</v>
      </c>
      <c r="C1664" s="0" t="s">
        <v>31</v>
      </c>
      <c r="D1664" s="0" t="s">
        <v>16</v>
      </c>
    </row>
    <row r="1665" customFormat="false" ht="13.8" hidden="false" customHeight="false" outlineLevel="0" collapsed="false">
      <c r="A1665" s="0" t="s">
        <v>3771</v>
      </c>
      <c r="B1665" s="0" t="s">
        <v>3772</v>
      </c>
      <c r="C1665" s="0" t="s">
        <v>31</v>
      </c>
      <c r="D1665" s="0" t="s">
        <v>1704</v>
      </c>
    </row>
    <row r="1666" customFormat="false" ht="13.8" hidden="false" customHeight="false" outlineLevel="0" collapsed="false">
      <c r="A1666" s="0" t="s">
        <v>3773</v>
      </c>
      <c r="B1666" s="0" t="s">
        <v>3774</v>
      </c>
      <c r="C1666" s="0" t="s">
        <v>31</v>
      </c>
      <c r="D1666" s="0" t="s">
        <v>1704</v>
      </c>
    </row>
    <row r="1667" customFormat="false" ht="13.8" hidden="false" customHeight="false" outlineLevel="0" collapsed="false">
      <c r="A1667" s="0" t="s">
        <v>3775</v>
      </c>
      <c r="B1667" s="0" t="s">
        <v>3776</v>
      </c>
      <c r="C1667" s="0" t="s">
        <v>31</v>
      </c>
      <c r="D1667" s="0" t="s">
        <v>413</v>
      </c>
    </row>
    <row r="1668" customFormat="false" ht="13.8" hidden="false" customHeight="false" outlineLevel="0" collapsed="false">
      <c r="A1668" s="0" t="s">
        <v>3777</v>
      </c>
      <c r="B1668" s="0" t="s">
        <v>2835</v>
      </c>
      <c r="C1668" s="0" t="s">
        <v>31</v>
      </c>
      <c r="D1668" s="0" t="s">
        <v>2492</v>
      </c>
    </row>
    <row r="1669" customFormat="false" ht="13.8" hidden="false" customHeight="false" outlineLevel="0" collapsed="false">
      <c r="A1669" s="0" t="s">
        <v>3778</v>
      </c>
      <c r="B1669" s="0" t="s">
        <v>3779</v>
      </c>
      <c r="C1669" s="0" t="s">
        <v>31</v>
      </c>
      <c r="D1669" s="0" t="s">
        <v>1699</v>
      </c>
    </row>
    <row r="1670" customFormat="false" ht="13.8" hidden="false" customHeight="false" outlineLevel="0" collapsed="false">
      <c r="A1670" s="0" t="s">
        <v>3780</v>
      </c>
      <c r="B1670" s="0" t="s">
        <v>3781</v>
      </c>
      <c r="C1670" s="0" t="s">
        <v>31</v>
      </c>
      <c r="D1670" s="0" t="s">
        <v>1699</v>
      </c>
    </row>
    <row r="1671" customFormat="false" ht="13.8" hidden="false" customHeight="false" outlineLevel="0" collapsed="false">
      <c r="A1671" s="0" t="s">
        <v>3782</v>
      </c>
      <c r="B1671" s="0" t="s">
        <v>3783</v>
      </c>
      <c r="C1671" s="0" t="s">
        <v>31</v>
      </c>
      <c r="D1671" s="0" t="s">
        <v>1924</v>
      </c>
    </row>
    <row r="1672" customFormat="false" ht="13.8" hidden="false" customHeight="false" outlineLevel="0" collapsed="false">
      <c r="A1672" s="0" t="s">
        <v>3784</v>
      </c>
      <c r="B1672" s="0" t="s">
        <v>3785</v>
      </c>
      <c r="C1672" s="0" t="s">
        <v>31</v>
      </c>
      <c r="D1672" s="0" t="s">
        <v>1704</v>
      </c>
    </row>
    <row r="1673" customFormat="false" ht="13.8" hidden="false" customHeight="false" outlineLevel="0" collapsed="false">
      <c r="A1673" s="0" t="s">
        <v>3786</v>
      </c>
      <c r="B1673" s="0" t="s">
        <v>3787</v>
      </c>
      <c r="C1673" s="0" t="s">
        <v>31</v>
      </c>
      <c r="D1673" s="0" t="s">
        <v>2552</v>
      </c>
    </row>
    <row r="1674" customFormat="false" ht="13.8" hidden="false" customHeight="false" outlineLevel="0" collapsed="false">
      <c r="A1674" s="0" t="s">
        <v>3788</v>
      </c>
      <c r="B1674" s="0" t="s">
        <v>3789</v>
      </c>
      <c r="C1674" s="0" t="s">
        <v>31</v>
      </c>
      <c r="D1674" s="0" t="s">
        <v>413</v>
      </c>
    </row>
    <row r="1675" customFormat="false" ht="13.8" hidden="false" customHeight="false" outlineLevel="0" collapsed="false">
      <c r="A1675" s="0" t="s">
        <v>3790</v>
      </c>
      <c r="B1675" s="0" t="s">
        <v>3791</v>
      </c>
      <c r="C1675" s="3" t="s">
        <v>31</v>
      </c>
      <c r="D1675" s="0" t="s">
        <v>3674</v>
      </c>
    </row>
    <row r="1676" customFormat="false" ht="13.8" hidden="false" customHeight="false" outlineLevel="0" collapsed="false">
      <c r="A1676" s="0" t="s">
        <v>3792</v>
      </c>
      <c r="B1676" s="0" t="s">
        <v>801</v>
      </c>
      <c r="C1676" s="0" t="s">
        <v>31</v>
      </c>
      <c r="D1676" s="0" t="s">
        <v>1699</v>
      </c>
    </row>
    <row r="1677" customFormat="false" ht="13.8" hidden="false" customHeight="false" outlineLevel="0" collapsed="false">
      <c r="A1677" s="0" t="s">
        <v>3793</v>
      </c>
      <c r="B1677" s="0" t="s">
        <v>3794</v>
      </c>
      <c r="C1677" s="0" t="s">
        <v>31</v>
      </c>
      <c r="D1677" s="0" t="s">
        <v>3628</v>
      </c>
    </row>
    <row r="1678" customFormat="false" ht="13.8" hidden="false" customHeight="false" outlineLevel="0" collapsed="false">
      <c r="A1678" s="0" t="s">
        <v>3795</v>
      </c>
      <c r="B1678" s="0" t="s">
        <v>3796</v>
      </c>
      <c r="C1678" s="0" t="s">
        <v>31</v>
      </c>
      <c r="D1678" s="0" t="s">
        <v>2492</v>
      </c>
    </row>
    <row r="1679" customFormat="false" ht="13.8" hidden="false" customHeight="false" outlineLevel="0" collapsed="false">
      <c r="A1679" s="0" t="s">
        <v>3797</v>
      </c>
      <c r="B1679" s="0" t="s">
        <v>3798</v>
      </c>
      <c r="C1679" s="0" t="s">
        <v>31</v>
      </c>
      <c r="D1679" s="0" t="s">
        <v>2687</v>
      </c>
    </row>
    <row r="1680" customFormat="false" ht="13.8" hidden="false" customHeight="false" outlineLevel="0" collapsed="false">
      <c r="A1680" s="0" t="s">
        <v>3799</v>
      </c>
      <c r="B1680" s="0" t="s">
        <v>3800</v>
      </c>
      <c r="C1680" s="0" t="s">
        <v>31</v>
      </c>
      <c r="D1680" s="0" t="s">
        <v>413</v>
      </c>
    </row>
    <row r="1681" customFormat="false" ht="13.8" hidden="false" customHeight="false" outlineLevel="0" collapsed="false">
      <c r="A1681" s="0" t="s">
        <v>3801</v>
      </c>
      <c r="B1681" s="0" t="s">
        <v>3802</v>
      </c>
      <c r="C1681" s="0" t="s">
        <v>31</v>
      </c>
      <c r="D1681" s="0" t="s">
        <v>279</v>
      </c>
    </row>
    <row r="1682" customFormat="false" ht="13.8" hidden="false" customHeight="false" outlineLevel="0" collapsed="false">
      <c r="A1682" s="0" t="s">
        <v>3803</v>
      </c>
      <c r="B1682" s="0" t="s">
        <v>3804</v>
      </c>
      <c r="C1682" s="0" t="s">
        <v>31</v>
      </c>
      <c r="D1682" s="0" t="s">
        <v>1592</v>
      </c>
    </row>
    <row r="1683" customFormat="false" ht="13.8" hidden="false" customHeight="false" outlineLevel="0" collapsed="false">
      <c r="A1683" s="0" t="s">
        <v>3805</v>
      </c>
      <c r="B1683" s="0" t="s">
        <v>3806</v>
      </c>
      <c r="C1683" s="0" t="s">
        <v>31</v>
      </c>
      <c r="D1683" s="0" t="s">
        <v>1704</v>
      </c>
    </row>
    <row r="1684" customFormat="false" ht="13.8" hidden="false" customHeight="false" outlineLevel="0" collapsed="false">
      <c r="A1684" s="0" t="s">
        <v>3807</v>
      </c>
      <c r="B1684" s="0" t="s">
        <v>3808</v>
      </c>
      <c r="C1684" s="0" t="s">
        <v>31</v>
      </c>
      <c r="D1684" s="0" t="s">
        <v>413</v>
      </c>
    </row>
    <row r="1685" customFormat="false" ht="13.8" hidden="false" customHeight="false" outlineLevel="0" collapsed="false">
      <c r="A1685" s="0" t="s">
        <v>3809</v>
      </c>
      <c r="B1685" s="0" t="s">
        <v>3810</v>
      </c>
      <c r="C1685" s="0" t="s">
        <v>31</v>
      </c>
      <c r="D1685" s="0" t="s">
        <v>1699</v>
      </c>
    </row>
    <row r="1686" customFormat="false" ht="13.8" hidden="false" customHeight="false" outlineLevel="0" collapsed="false">
      <c r="A1686" s="0" t="s">
        <v>3811</v>
      </c>
      <c r="B1686" s="0" t="s">
        <v>3343</v>
      </c>
      <c r="C1686" s="0" t="s">
        <v>31</v>
      </c>
      <c r="D1686" s="0" t="s">
        <v>1704</v>
      </c>
    </row>
    <row r="1687" customFormat="false" ht="13.8" hidden="false" customHeight="false" outlineLevel="0" collapsed="false">
      <c r="A1687" s="0" t="s">
        <v>3812</v>
      </c>
      <c r="B1687" s="0" t="s">
        <v>3813</v>
      </c>
      <c r="C1687" s="0" t="s">
        <v>31</v>
      </c>
      <c r="D1687" s="0" t="s">
        <v>413</v>
      </c>
    </row>
    <row r="1688" customFormat="false" ht="13.8" hidden="false" customHeight="false" outlineLevel="0" collapsed="false">
      <c r="A1688" s="0" t="s">
        <v>3814</v>
      </c>
      <c r="B1688" s="0" t="s">
        <v>3815</v>
      </c>
      <c r="C1688" s="0" t="s">
        <v>31</v>
      </c>
      <c r="D1688" s="0" t="s">
        <v>413</v>
      </c>
    </row>
    <row r="1689" customFormat="false" ht="13.8" hidden="false" customHeight="false" outlineLevel="0" collapsed="false">
      <c r="A1689" s="0" t="s">
        <v>3816</v>
      </c>
      <c r="B1689" s="0" t="s">
        <v>3817</v>
      </c>
      <c r="C1689" s="0" t="s">
        <v>31</v>
      </c>
      <c r="D1689" s="0" t="s">
        <v>2878</v>
      </c>
    </row>
    <row r="1690" customFormat="false" ht="13.8" hidden="false" customHeight="false" outlineLevel="0" collapsed="false">
      <c r="A1690" s="0" t="s">
        <v>3818</v>
      </c>
      <c r="B1690" s="0" t="s">
        <v>3819</v>
      </c>
      <c r="C1690" s="0" t="s">
        <v>31</v>
      </c>
      <c r="D1690" s="0" t="s">
        <v>2072</v>
      </c>
    </row>
    <row r="1691" customFormat="false" ht="13.8" hidden="false" customHeight="false" outlineLevel="0" collapsed="false">
      <c r="A1691" s="0" t="s">
        <v>3820</v>
      </c>
      <c r="B1691" s="0" t="s">
        <v>3821</v>
      </c>
      <c r="C1691" s="0" t="s">
        <v>31</v>
      </c>
      <c r="D1691" s="0" t="s">
        <v>413</v>
      </c>
    </row>
    <row r="1692" customFormat="false" ht="13.8" hidden="false" customHeight="false" outlineLevel="0" collapsed="false">
      <c r="A1692" s="0" t="s">
        <v>3822</v>
      </c>
      <c r="B1692" s="0" t="s">
        <v>3823</v>
      </c>
      <c r="C1692" s="0" t="s">
        <v>31</v>
      </c>
      <c r="D1692" s="0" t="s">
        <v>69</v>
      </c>
    </row>
    <row r="1693" customFormat="false" ht="13.8" hidden="false" customHeight="false" outlineLevel="0" collapsed="false">
      <c r="A1693" s="0" t="s">
        <v>3824</v>
      </c>
      <c r="B1693" s="0" t="s">
        <v>3825</v>
      </c>
      <c r="C1693" s="0" t="s">
        <v>31</v>
      </c>
      <c r="D1693" s="0" t="s">
        <v>1924</v>
      </c>
    </row>
    <row r="1694" customFormat="false" ht="13.8" hidden="false" customHeight="false" outlineLevel="0" collapsed="false">
      <c r="A1694" s="0" t="s">
        <v>3826</v>
      </c>
      <c r="B1694" s="0" t="s">
        <v>3827</v>
      </c>
      <c r="C1694" s="0" t="s">
        <v>31</v>
      </c>
      <c r="D1694" s="0" t="s">
        <v>413</v>
      </c>
    </row>
    <row r="1695" customFormat="false" ht="13.8" hidden="false" customHeight="false" outlineLevel="0" collapsed="false">
      <c r="A1695" s="0" t="s">
        <v>3828</v>
      </c>
      <c r="B1695" s="0" t="s">
        <v>3829</v>
      </c>
      <c r="C1695" s="0" t="s">
        <v>31</v>
      </c>
      <c r="D1695" s="0" t="s">
        <v>1704</v>
      </c>
    </row>
    <row r="1696" customFormat="false" ht="13.8" hidden="false" customHeight="false" outlineLevel="0" collapsed="false">
      <c r="A1696" s="0" t="s">
        <v>3830</v>
      </c>
      <c r="B1696" s="0" t="s">
        <v>3831</v>
      </c>
      <c r="C1696" s="0" t="s">
        <v>31</v>
      </c>
      <c r="D1696" s="0" t="s">
        <v>413</v>
      </c>
    </row>
    <row r="1697" customFormat="false" ht="13.8" hidden="false" customHeight="false" outlineLevel="0" collapsed="false">
      <c r="A1697" s="0" t="s">
        <v>3832</v>
      </c>
      <c r="B1697" s="0" t="s">
        <v>3833</v>
      </c>
      <c r="C1697" s="0" t="s">
        <v>31</v>
      </c>
      <c r="D1697" s="0" t="s">
        <v>2072</v>
      </c>
    </row>
    <row r="1698" customFormat="false" ht="13.8" hidden="false" customHeight="false" outlineLevel="0" collapsed="false">
      <c r="A1698" s="0" t="s">
        <v>3834</v>
      </c>
      <c r="B1698" s="0" t="s">
        <v>3835</v>
      </c>
      <c r="C1698" s="0" t="s">
        <v>31</v>
      </c>
      <c r="D1698" s="0" t="s">
        <v>2072</v>
      </c>
    </row>
    <row r="1699" customFormat="false" ht="13.8" hidden="false" customHeight="false" outlineLevel="0" collapsed="false">
      <c r="A1699" s="0" t="s">
        <v>3836</v>
      </c>
      <c r="B1699" s="0" t="s">
        <v>3837</v>
      </c>
      <c r="C1699" s="0" t="s">
        <v>31</v>
      </c>
      <c r="D1699" s="0" t="s">
        <v>413</v>
      </c>
    </row>
    <row r="1700" customFormat="false" ht="13.8" hidden="false" customHeight="false" outlineLevel="0" collapsed="false">
      <c r="A1700" s="0" t="s">
        <v>3838</v>
      </c>
      <c r="B1700" s="0" t="s">
        <v>3358</v>
      </c>
      <c r="C1700" s="0" t="s">
        <v>31</v>
      </c>
      <c r="D1700" s="0" t="s">
        <v>2072</v>
      </c>
    </row>
    <row r="1701" customFormat="false" ht="13.8" hidden="false" customHeight="false" outlineLevel="0" collapsed="false">
      <c r="A1701" s="0" t="s">
        <v>3839</v>
      </c>
      <c r="B1701" s="0" t="s">
        <v>3320</v>
      </c>
      <c r="C1701" s="0" t="s">
        <v>31</v>
      </c>
      <c r="D1701" s="0" t="s">
        <v>1699</v>
      </c>
    </row>
    <row r="1702" customFormat="false" ht="13.8" hidden="false" customHeight="false" outlineLevel="0" collapsed="false">
      <c r="A1702" s="0" t="s">
        <v>3840</v>
      </c>
      <c r="B1702" s="0" t="s">
        <v>3841</v>
      </c>
      <c r="C1702" s="0" t="s">
        <v>31</v>
      </c>
      <c r="D1702" s="0" t="s">
        <v>1924</v>
      </c>
    </row>
    <row r="1703" customFormat="false" ht="13.8" hidden="false" customHeight="false" outlineLevel="0" collapsed="false">
      <c r="A1703" s="0" t="s">
        <v>3842</v>
      </c>
      <c r="B1703" s="0" t="s">
        <v>3843</v>
      </c>
      <c r="C1703" s="0" t="s">
        <v>31</v>
      </c>
      <c r="D1703" s="0" t="s">
        <v>1592</v>
      </c>
    </row>
    <row r="1704" customFormat="false" ht="13.8" hidden="false" customHeight="false" outlineLevel="0" collapsed="false">
      <c r="A1704" s="0" t="s">
        <v>3844</v>
      </c>
      <c r="B1704" s="0" t="s">
        <v>3845</v>
      </c>
      <c r="C1704" s="0" t="s">
        <v>31</v>
      </c>
      <c r="D1704" s="0" t="s">
        <v>2552</v>
      </c>
    </row>
    <row r="1705" customFormat="false" ht="13.8" hidden="false" customHeight="false" outlineLevel="0" collapsed="false">
      <c r="A1705" s="0" t="s">
        <v>3846</v>
      </c>
      <c r="B1705" s="0" t="s">
        <v>3847</v>
      </c>
      <c r="C1705" s="0" t="s">
        <v>31</v>
      </c>
      <c r="D1705" s="0" t="s">
        <v>1527</v>
      </c>
    </row>
    <row r="1706" customFormat="false" ht="13.8" hidden="false" customHeight="false" outlineLevel="0" collapsed="false">
      <c r="A1706" s="0" t="s">
        <v>3848</v>
      </c>
      <c r="B1706" s="0" t="s">
        <v>3849</v>
      </c>
      <c r="C1706" s="0" t="s">
        <v>31</v>
      </c>
      <c r="D1706" s="0" t="s">
        <v>200</v>
      </c>
    </row>
    <row r="1707" customFormat="false" ht="13.8" hidden="false" customHeight="false" outlineLevel="0" collapsed="false">
      <c r="A1707" s="0" t="s">
        <v>3850</v>
      </c>
      <c r="B1707" s="0" t="s">
        <v>3168</v>
      </c>
      <c r="C1707" s="0" t="s">
        <v>31</v>
      </c>
      <c r="D1707" s="0" t="s">
        <v>413</v>
      </c>
    </row>
    <row r="1708" customFormat="false" ht="13.8" hidden="false" customHeight="false" outlineLevel="0" collapsed="false">
      <c r="A1708" s="0" t="s">
        <v>3851</v>
      </c>
      <c r="B1708" s="0" t="s">
        <v>3852</v>
      </c>
      <c r="C1708" s="0" t="s">
        <v>31</v>
      </c>
      <c r="D1708" s="0" t="s">
        <v>1527</v>
      </c>
    </row>
    <row r="1709" customFormat="false" ht="13.8" hidden="false" customHeight="false" outlineLevel="0" collapsed="false">
      <c r="A1709" s="0" t="s">
        <v>3853</v>
      </c>
      <c r="B1709" s="0" t="s">
        <v>3854</v>
      </c>
      <c r="C1709" s="0" t="s">
        <v>31</v>
      </c>
      <c r="D1709" s="0" t="s">
        <v>3020</v>
      </c>
    </row>
    <row r="1710" customFormat="false" ht="13.8" hidden="false" customHeight="false" outlineLevel="0" collapsed="false">
      <c r="A1710" s="0" t="s">
        <v>3855</v>
      </c>
      <c r="B1710" s="0" t="s">
        <v>3856</v>
      </c>
      <c r="C1710" s="0" t="s">
        <v>31</v>
      </c>
      <c r="D1710" s="0" t="s">
        <v>2871</v>
      </c>
    </row>
    <row r="1711" customFormat="false" ht="13.8" hidden="false" customHeight="false" outlineLevel="0" collapsed="false">
      <c r="A1711" s="0" t="s">
        <v>3857</v>
      </c>
      <c r="B1711" s="0" t="s">
        <v>3858</v>
      </c>
      <c r="C1711" s="0" t="s">
        <v>31</v>
      </c>
      <c r="D1711" s="0" t="s">
        <v>413</v>
      </c>
    </row>
    <row r="1712" customFormat="false" ht="13.8" hidden="false" customHeight="false" outlineLevel="0" collapsed="false">
      <c r="A1712" s="0" t="s">
        <v>3859</v>
      </c>
      <c r="B1712" s="0" t="s">
        <v>3860</v>
      </c>
      <c r="C1712" s="0" t="s">
        <v>31</v>
      </c>
      <c r="D1712" s="0" t="s">
        <v>413</v>
      </c>
    </row>
    <row r="1713" customFormat="false" ht="13.8" hidden="false" customHeight="false" outlineLevel="0" collapsed="false">
      <c r="A1713" s="0" t="s">
        <v>3861</v>
      </c>
      <c r="B1713" s="0" t="s">
        <v>3862</v>
      </c>
      <c r="C1713" s="0" t="s">
        <v>31</v>
      </c>
      <c r="D1713" s="0" t="s">
        <v>2552</v>
      </c>
    </row>
    <row r="1714" customFormat="false" ht="13.8" hidden="false" customHeight="false" outlineLevel="0" collapsed="false">
      <c r="A1714" s="0" t="s">
        <v>3863</v>
      </c>
      <c r="B1714" s="0" t="s">
        <v>3864</v>
      </c>
      <c r="C1714" s="0" t="s">
        <v>31</v>
      </c>
      <c r="D1714" s="0" t="s">
        <v>2492</v>
      </c>
    </row>
    <row r="1715" customFormat="false" ht="13.8" hidden="false" customHeight="false" outlineLevel="0" collapsed="false">
      <c r="A1715" s="0" t="s">
        <v>3865</v>
      </c>
      <c r="B1715" s="0" t="s">
        <v>3866</v>
      </c>
      <c r="C1715" s="0" t="s">
        <v>31</v>
      </c>
      <c r="D1715" s="0" t="s">
        <v>2386</v>
      </c>
    </row>
    <row r="1716" customFormat="false" ht="13.8" hidden="false" customHeight="false" outlineLevel="0" collapsed="false">
      <c r="A1716" s="0" t="s">
        <v>3867</v>
      </c>
      <c r="B1716" s="0" t="s">
        <v>3868</v>
      </c>
      <c r="C1716" s="0" t="s">
        <v>31</v>
      </c>
      <c r="D1716" s="0" t="s">
        <v>2492</v>
      </c>
    </row>
    <row r="1717" customFormat="false" ht="13.8" hidden="false" customHeight="false" outlineLevel="0" collapsed="false">
      <c r="A1717" s="0" t="s">
        <v>3869</v>
      </c>
      <c r="B1717" s="0" t="s">
        <v>3870</v>
      </c>
      <c r="C1717" s="0" t="s">
        <v>31</v>
      </c>
      <c r="D1717" s="0" t="s">
        <v>19</v>
      </c>
    </row>
    <row r="1718" customFormat="false" ht="13.8" hidden="false" customHeight="false" outlineLevel="0" collapsed="false">
      <c r="A1718" s="0" t="s">
        <v>3871</v>
      </c>
      <c r="B1718" s="0" t="s">
        <v>3872</v>
      </c>
      <c r="C1718" s="0" t="s">
        <v>31</v>
      </c>
      <c r="D1718" s="0" t="s">
        <v>19</v>
      </c>
    </row>
    <row r="1719" customFormat="false" ht="13.8" hidden="false" customHeight="false" outlineLevel="0" collapsed="false">
      <c r="A1719" s="0" t="s">
        <v>3873</v>
      </c>
      <c r="B1719" s="0" t="s">
        <v>3874</v>
      </c>
      <c r="C1719" s="0" t="s">
        <v>31</v>
      </c>
      <c r="D1719" s="0" t="s">
        <v>1704</v>
      </c>
    </row>
    <row r="1720" customFormat="false" ht="13.8" hidden="false" customHeight="false" outlineLevel="0" collapsed="false">
      <c r="A1720" s="0" t="s">
        <v>3875</v>
      </c>
      <c r="B1720" s="0" t="s">
        <v>3876</v>
      </c>
      <c r="C1720" s="0" t="s">
        <v>31</v>
      </c>
      <c r="D1720" s="0" t="s">
        <v>2072</v>
      </c>
    </row>
    <row r="1721" customFormat="false" ht="13.8" hidden="false" customHeight="false" outlineLevel="0" collapsed="false">
      <c r="A1721" s="0" t="s">
        <v>3877</v>
      </c>
      <c r="B1721" s="0" t="s">
        <v>3878</v>
      </c>
      <c r="C1721" s="0" t="s">
        <v>31</v>
      </c>
      <c r="D1721" s="0" t="s">
        <v>1651</v>
      </c>
    </row>
    <row r="1722" customFormat="false" ht="13.8" hidden="false" customHeight="false" outlineLevel="0" collapsed="false">
      <c r="A1722" s="0" t="s">
        <v>3879</v>
      </c>
      <c r="B1722" s="0" t="s">
        <v>3880</v>
      </c>
      <c r="C1722" s="0" t="s">
        <v>31</v>
      </c>
      <c r="D1722" s="0" t="s">
        <v>2072</v>
      </c>
    </row>
    <row r="1723" customFormat="false" ht="13.8" hidden="false" customHeight="false" outlineLevel="0" collapsed="false">
      <c r="A1723" s="0" t="s">
        <v>3881</v>
      </c>
      <c r="B1723" s="0" t="s">
        <v>3882</v>
      </c>
      <c r="C1723" s="0" t="s">
        <v>31</v>
      </c>
      <c r="D1723" s="0" t="s">
        <v>1592</v>
      </c>
    </row>
    <row r="1724" customFormat="false" ht="13.8" hidden="false" customHeight="false" outlineLevel="0" collapsed="false">
      <c r="A1724" s="0" t="s">
        <v>3883</v>
      </c>
      <c r="B1724" s="0" t="s">
        <v>3884</v>
      </c>
      <c r="C1724" s="0" t="s">
        <v>31</v>
      </c>
      <c r="D1724" s="0" t="s">
        <v>413</v>
      </c>
    </row>
    <row r="1725" customFormat="false" ht="13.8" hidden="false" customHeight="false" outlineLevel="0" collapsed="false">
      <c r="A1725" s="0" t="s">
        <v>3886</v>
      </c>
      <c r="B1725" s="0" t="s">
        <v>3887</v>
      </c>
      <c r="C1725" s="0" t="s">
        <v>31</v>
      </c>
      <c r="D1725" s="0" t="s">
        <v>1651</v>
      </c>
    </row>
    <row r="1726" customFormat="false" ht="13.8" hidden="false" customHeight="false" outlineLevel="0" collapsed="false">
      <c r="A1726" s="0" t="s">
        <v>3888</v>
      </c>
      <c r="B1726" s="0" t="s">
        <v>3889</v>
      </c>
      <c r="C1726" s="0" t="s">
        <v>31</v>
      </c>
      <c r="D1726" s="0" t="s">
        <v>3890</v>
      </c>
    </row>
    <row r="1727" customFormat="false" ht="13.8" hidden="false" customHeight="false" outlineLevel="0" collapsed="false">
      <c r="A1727" s="0" t="s">
        <v>3891</v>
      </c>
      <c r="B1727" s="0" t="s">
        <v>3892</v>
      </c>
      <c r="C1727" s="0" t="s">
        <v>31</v>
      </c>
      <c r="D1727" s="0" t="s">
        <v>2492</v>
      </c>
    </row>
    <row r="1728" customFormat="false" ht="13.8" hidden="false" customHeight="false" outlineLevel="0" collapsed="false">
      <c r="A1728" s="0" t="s">
        <v>3893</v>
      </c>
      <c r="B1728" s="0" t="s">
        <v>3894</v>
      </c>
      <c r="C1728" s="0" t="s">
        <v>31</v>
      </c>
      <c r="D1728" s="0" t="s">
        <v>3895</v>
      </c>
    </row>
    <row r="1729" customFormat="false" ht="13.8" hidden="false" customHeight="false" outlineLevel="0" collapsed="false">
      <c r="A1729" s="0" t="s">
        <v>3896</v>
      </c>
      <c r="B1729" s="0" t="s">
        <v>3897</v>
      </c>
      <c r="C1729" s="0" t="s">
        <v>31</v>
      </c>
      <c r="D1729" s="0" t="s">
        <v>2492</v>
      </c>
    </row>
    <row r="1730" customFormat="false" ht="13.8" hidden="false" customHeight="false" outlineLevel="0" collapsed="false">
      <c r="A1730" s="0" t="s">
        <v>3898</v>
      </c>
      <c r="B1730" s="0" t="s">
        <v>3899</v>
      </c>
      <c r="C1730" s="0" t="s">
        <v>31</v>
      </c>
      <c r="D1730" s="0" t="s">
        <v>16</v>
      </c>
    </row>
    <row r="1731" customFormat="false" ht="13.8" hidden="false" customHeight="false" outlineLevel="0" collapsed="false">
      <c r="A1731" s="0" t="s">
        <v>3900</v>
      </c>
      <c r="B1731" s="0" t="s">
        <v>3901</v>
      </c>
      <c r="C1731" s="0" t="s">
        <v>31</v>
      </c>
      <c r="D1731" s="0" t="s">
        <v>413</v>
      </c>
    </row>
    <row r="1732" customFormat="false" ht="13.8" hidden="false" customHeight="false" outlineLevel="0" collapsed="false">
      <c r="A1732" s="0" t="s">
        <v>3902</v>
      </c>
      <c r="B1732" s="0" t="s">
        <v>3903</v>
      </c>
      <c r="C1732" s="0" t="s">
        <v>31</v>
      </c>
      <c r="D1732" s="0" t="s">
        <v>2492</v>
      </c>
    </row>
    <row r="1733" customFormat="false" ht="13.8" hidden="false" customHeight="false" outlineLevel="0" collapsed="false">
      <c r="A1733" s="0" t="s">
        <v>3904</v>
      </c>
      <c r="B1733" s="0" t="s">
        <v>3905</v>
      </c>
      <c r="C1733" s="0" t="s">
        <v>31</v>
      </c>
      <c r="D1733" s="0" t="s">
        <v>2492</v>
      </c>
    </row>
    <row r="1734" customFormat="false" ht="13.8" hidden="false" customHeight="false" outlineLevel="0" collapsed="false">
      <c r="A1734" s="0" t="s">
        <v>3906</v>
      </c>
      <c r="B1734" s="0" t="s">
        <v>3907</v>
      </c>
      <c r="C1734" s="0" t="s">
        <v>31</v>
      </c>
      <c r="D1734" s="0" t="s">
        <v>19</v>
      </c>
    </row>
    <row r="1735" customFormat="false" ht="13.8" hidden="false" customHeight="false" outlineLevel="0" collapsed="false">
      <c r="A1735" s="0" t="s">
        <v>3908</v>
      </c>
      <c r="B1735" s="0" t="s">
        <v>3909</v>
      </c>
      <c r="C1735" s="0" t="s">
        <v>31</v>
      </c>
      <c r="D1735" s="0" t="s">
        <v>413</v>
      </c>
    </row>
    <row r="1736" customFormat="false" ht="13.8" hidden="false" customHeight="false" outlineLevel="0" collapsed="false">
      <c r="A1736" s="0" t="s">
        <v>3910</v>
      </c>
      <c r="B1736" s="0" t="s">
        <v>3911</v>
      </c>
      <c r="C1736" s="0" t="s">
        <v>31</v>
      </c>
      <c r="D1736" s="0" t="s">
        <v>413</v>
      </c>
    </row>
    <row r="1737" customFormat="false" ht="13.8" hidden="false" customHeight="false" outlineLevel="0" collapsed="false">
      <c r="A1737" s="0" t="s">
        <v>3912</v>
      </c>
      <c r="B1737" s="0" t="s">
        <v>3913</v>
      </c>
      <c r="C1737" s="0" t="s">
        <v>31</v>
      </c>
      <c r="D1737" s="0" t="s">
        <v>3469</v>
      </c>
    </row>
    <row r="1738" customFormat="false" ht="13.8" hidden="false" customHeight="false" outlineLevel="0" collapsed="false">
      <c r="A1738" s="0" t="s">
        <v>3914</v>
      </c>
      <c r="B1738" s="0" t="s">
        <v>3915</v>
      </c>
      <c r="C1738" s="0" t="s">
        <v>31</v>
      </c>
      <c r="D1738" s="0" t="s">
        <v>413</v>
      </c>
    </row>
    <row r="1739" customFormat="false" ht="13.8" hidden="false" customHeight="false" outlineLevel="0" collapsed="false">
      <c r="A1739" s="0" t="s">
        <v>3916</v>
      </c>
      <c r="B1739" s="0" t="s">
        <v>3917</v>
      </c>
      <c r="C1739" s="0" t="s">
        <v>31</v>
      </c>
      <c r="D1739" s="0" t="s">
        <v>19</v>
      </c>
    </row>
    <row r="1740" customFormat="false" ht="13.8" hidden="false" customHeight="false" outlineLevel="0" collapsed="false">
      <c r="A1740" s="0" t="s">
        <v>3918</v>
      </c>
      <c r="B1740" s="0" t="s">
        <v>3919</v>
      </c>
      <c r="C1740" s="0" t="s">
        <v>31</v>
      </c>
      <c r="D1740" s="0" t="s">
        <v>3261</v>
      </c>
    </row>
    <row r="1741" customFormat="false" ht="13.8" hidden="false" customHeight="false" outlineLevel="0" collapsed="false">
      <c r="A1741" s="0" t="s">
        <v>3920</v>
      </c>
      <c r="B1741" s="0" t="s">
        <v>3921</v>
      </c>
      <c r="C1741" s="0" t="s">
        <v>31</v>
      </c>
      <c r="D1741" s="0" t="s">
        <v>1592</v>
      </c>
    </row>
    <row r="1742" customFormat="false" ht="13.8" hidden="false" customHeight="false" outlineLevel="0" collapsed="false">
      <c r="A1742" s="0" t="s">
        <v>3922</v>
      </c>
      <c r="B1742" s="0" t="s">
        <v>3923</v>
      </c>
      <c r="C1742" s="0" t="s">
        <v>31</v>
      </c>
      <c r="D1742" s="0" t="s">
        <v>19</v>
      </c>
    </row>
    <row r="1743" customFormat="false" ht="13.8" hidden="false" customHeight="false" outlineLevel="0" collapsed="false">
      <c r="A1743" s="0" t="s">
        <v>3924</v>
      </c>
      <c r="B1743" s="0" t="s">
        <v>3925</v>
      </c>
      <c r="C1743" s="0" t="s">
        <v>31</v>
      </c>
      <c r="D1743" s="0" t="s">
        <v>3691</v>
      </c>
    </row>
    <row r="1744" customFormat="false" ht="13.8" hidden="false" customHeight="false" outlineLevel="0" collapsed="false">
      <c r="A1744" s="0" t="s">
        <v>3926</v>
      </c>
      <c r="B1744" s="0" t="s">
        <v>3927</v>
      </c>
      <c r="C1744" s="0" t="s">
        <v>31</v>
      </c>
      <c r="D1744" s="0" t="s">
        <v>1737</v>
      </c>
    </row>
    <row r="1745" customFormat="false" ht="13.8" hidden="false" customHeight="false" outlineLevel="0" collapsed="false">
      <c r="A1745" s="0" t="s">
        <v>3928</v>
      </c>
      <c r="B1745" s="0" t="s">
        <v>3929</v>
      </c>
      <c r="C1745" s="0" t="s">
        <v>31</v>
      </c>
      <c r="D1745" s="0" t="s">
        <v>3691</v>
      </c>
    </row>
    <row r="1746" customFormat="false" ht="13.8" hidden="false" customHeight="false" outlineLevel="0" collapsed="false">
      <c r="A1746" s="0" t="s">
        <v>3930</v>
      </c>
      <c r="B1746" s="0" t="s">
        <v>3931</v>
      </c>
      <c r="C1746" s="0" t="s">
        <v>31</v>
      </c>
      <c r="D1746" s="0" t="s">
        <v>1699</v>
      </c>
    </row>
    <row r="1747" customFormat="false" ht="13.8" hidden="false" customHeight="false" outlineLevel="0" collapsed="false">
      <c r="A1747" s="0" t="s">
        <v>3932</v>
      </c>
      <c r="B1747" s="0" t="s">
        <v>3933</v>
      </c>
      <c r="C1747" s="0" t="s">
        <v>31</v>
      </c>
      <c r="D1747" s="0" t="s">
        <v>413</v>
      </c>
    </row>
    <row r="1748" customFormat="false" ht="13.8" hidden="false" customHeight="false" outlineLevel="0" collapsed="false">
      <c r="A1748" s="0" t="s">
        <v>3934</v>
      </c>
      <c r="B1748" s="0" t="s">
        <v>3935</v>
      </c>
      <c r="C1748" s="0" t="s">
        <v>31</v>
      </c>
      <c r="D1748" s="0" t="s">
        <v>2072</v>
      </c>
    </row>
    <row r="1749" customFormat="false" ht="13.8" hidden="false" customHeight="false" outlineLevel="0" collapsed="false">
      <c r="A1749" s="0" t="s">
        <v>3936</v>
      </c>
      <c r="B1749" s="0" t="s">
        <v>2394</v>
      </c>
      <c r="C1749" s="0" t="s">
        <v>31</v>
      </c>
      <c r="D1749" s="0" t="s">
        <v>19</v>
      </c>
    </row>
    <row r="1750" customFormat="false" ht="13.8" hidden="false" customHeight="false" outlineLevel="0" collapsed="false">
      <c r="A1750" s="0" t="s">
        <v>3938</v>
      </c>
      <c r="B1750" s="0" t="s">
        <v>3939</v>
      </c>
      <c r="C1750" s="0" t="s">
        <v>31</v>
      </c>
      <c r="D1750" s="0" t="s">
        <v>413</v>
      </c>
    </row>
    <row r="1751" customFormat="false" ht="13.8" hidden="false" customHeight="false" outlineLevel="0" collapsed="false">
      <c r="A1751" s="0" t="s">
        <v>3940</v>
      </c>
      <c r="B1751" s="0" t="s">
        <v>3941</v>
      </c>
      <c r="C1751" s="0" t="s">
        <v>31</v>
      </c>
      <c r="D1751" s="0" t="s">
        <v>2878</v>
      </c>
    </row>
    <row r="1752" customFormat="false" ht="13.8" hidden="false" customHeight="false" outlineLevel="0" collapsed="false">
      <c r="A1752" s="0" t="s">
        <v>3942</v>
      </c>
      <c r="B1752" s="0" t="s">
        <v>3943</v>
      </c>
      <c r="C1752" s="0" t="s">
        <v>31</v>
      </c>
      <c r="D1752" s="0" t="s">
        <v>1540</v>
      </c>
    </row>
    <row r="1753" customFormat="false" ht="13.8" hidden="false" customHeight="false" outlineLevel="0" collapsed="false">
      <c r="A1753" s="0" t="s">
        <v>3944</v>
      </c>
      <c r="B1753" s="0" t="s">
        <v>3945</v>
      </c>
      <c r="C1753" s="0" t="s">
        <v>31</v>
      </c>
      <c r="D1753" s="0" t="s">
        <v>413</v>
      </c>
    </row>
    <row r="1754" customFormat="false" ht="13.8" hidden="false" customHeight="false" outlineLevel="0" collapsed="false">
      <c r="A1754" s="0" t="s">
        <v>3946</v>
      </c>
      <c r="B1754" s="0" t="s">
        <v>3947</v>
      </c>
      <c r="C1754" s="0" t="s">
        <v>31</v>
      </c>
      <c r="D1754" s="0" t="s">
        <v>1699</v>
      </c>
    </row>
    <row r="1755" customFormat="false" ht="13.8" hidden="false" customHeight="false" outlineLevel="0" collapsed="false">
      <c r="A1755" s="0" t="s">
        <v>3948</v>
      </c>
      <c r="B1755" s="0" t="s">
        <v>3949</v>
      </c>
      <c r="C1755" s="0" t="s">
        <v>31</v>
      </c>
      <c r="D1755" s="3" t="s">
        <v>1924</v>
      </c>
    </row>
    <row r="1756" customFormat="false" ht="13.8" hidden="false" customHeight="false" outlineLevel="0" collapsed="false">
      <c r="A1756" s="0" t="s">
        <v>3950</v>
      </c>
      <c r="B1756" s="0" t="s">
        <v>3951</v>
      </c>
      <c r="C1756" s="0" t="s">
        <v>31</v>
      </c>
      <c r="D1756" s="0" t="s">
        <v>1592</v>
      </c>
    </row>
    <row r="1757" customFormat="false" ht="13.8" hidden="false" customHeight="false" outlineLevel="0" collapsed="false">
      <c r="A1757" s="0" t="s">
        <v>3952</v>
      </c>
      <c r="B1757" s="0" t="s">
        <v>3953</v>
      </c>
      <c r="C1757" s="0" t="s">
        <v>31</v>
      </c>
      <c r="D1757" s="0" t="s">
        <v>19</v>
      </c>
    </row>
    <row r="1758" customFormat="false" ht="13.8" hidden="false" customHeight="false" outlineLevel="0" collapsed="false">
      <c r="A1758" s="0" t="s">
        <v>3954</v>
      </c>
      <c r="B1758" s="0" t="s">
        <v>3955</v>
      </c>
      <c r="C1758" s="0" t="s">
        <v>31</v>
      </c>
      <c r="D1758" s="0" t="s">
        <v>1924</v>
      </c>
    </row>
    <row r="1759" customFormat="false" ht="13.8" hidden="false" customHeight="false" outlineLevel="0" collapsed="false">
      <c r="A1759" s="0" t="s">
        <v>3956</v>
      </c>
      <c r="B1759" s="0" t="s">
        <v>3957</v>
      </c>
      <c r="C1759" s="0" t="s">
        <v>31</v>
      </c>
      <c r="D1759" s="0" t="s">
        <v>413</v>
      </c>
    </row>
    <row r="1760" customFormat="false" ht="13.8" hidden="false" customHeight="false" outlineLevel="0" collapsed="false">
      <c r="A1760" s="0" t="s">
        <v>3958</v>
      </c>
      <c r="B1760" s="0" t="s">
        <v>3959</v>
      </c>
      <c r="C1760" s="0" t="s">
        <v>31</v>
      </c>
      <c r="D1760" s="0" t="s">
        <v>2492</v>
      </c>
    </row>
    <row r="1761" customFormat="false" ht="13.8" hidden="false" customHeight="false" outlineLevel="0" collapsed="false">
      <c r="A1761" s="0" t="s">
        <v>3960</v>
      </c>
      <c r="B1761" s="0" t="s">
        <v>3961</v>
      </c>
      <c r="C1761" s="0" t="s">
        <v>31</v>
      </c>
      <c r="D1761" s="0" t="s">
        <v>19</v>
      </c>
    </row>
    <row r="1762" customFormat="false" ht="13.8" hidden="false" customHeight="false" outlineLevel="0" collapsed="false">
      <c r="A1762" s="0" t="s">
        <v>3963</v>
      </c>
      <c r="B1762" s="0" t="s">
        <v>3964</v>
      </c>
      <c r="C1762" s="0" t="s">
        <v>31</v>
      </c>
      <c r="D1762" s="0" t="s">
        <v>19</v>
      </c>
    </row>
    <row r="1763" customFormat="false" ht="13.8" hidden="false" customHeight="false" outlineLevel="0" collapsed="false">
      <c r="A1763" s="0" t="s">
        <v>3966</v>
      </c>
      <c r="B1763" s="0" t="s">
        <v>3967</v>
      </c>
      <c r="C1763" s="0" t="s">
        <v>31</v>
      </c>
      <c r="D1763" s="0" t="s">
        <v>1592</v>
      </c>
    </row>
    <row r="1764" customFormat="false" ht="13.8" hidden="false" customHeight="false" outlineLevel="0" collapsed="false">
      <c r="A1764" s="0" t="s">
        <v>3968</v>
      </c>
      <c r="B1764" s="0" t="s">
        <v>3969</v>
      </c>
      <c r="C1764" s="0" t="s">
        <v>31</v>
      </c>
      <c r="D1764" s="0" t="s">
        <v>1704</v>
      </c>
    </row>
    <row r="1765" customFormat="false" ht="13.8" hidden="false" customHeight="false" outlineLevel="0" collapsed="false">
      <c r="A1765" s="0" t="s">
        <v>3971</v>
      </c>
      <c r="B1765" s="0" t="s">
        <v>3972</v>
      </c>
      <c r="C1765" s="0" t="s">
        <v>31</v>
      </c>
      <c r="D1765" s="0" t="s">
        <v>413</v>
      </c>
    </row>
    <row r="1766" customFormat="false" ht="13.8" hidden="false" customHeight="false" outlineLevel="0" collapsed="false">
      <c r="A1766" s="0" t="s">
        <v>3973</v>
      </c>
      <c r="B1766" s="0" t="s">
        <v>3974</v>
      </c>
      <c r="C1766" s="0" t="s">
        <v>31</v>
      </c>
      <c r="D1766" s="0" t="s">
        <v>2356</v>
      </c>
    </row>
    <row r="1767" customFormat="false" ht="13.8" hidden="false" customHeight="false" outlineLevel="0" collapsed="false">
      <c r="A1767" s="0" t="s">
        <v>3975</v>
      </c>
      <c r="B1767" s="0" t="s">
        <v>3976</v>
      </c>
      <c r="C1767" s="0" t="s">
        <v>31</v>
      </c>
      <c r="D1767" s="0" t="s">
        <v>1957</v>
      </c>
    </row>
    <row r="1768" customFormat="false" ht="13.8" hidden="false" customHeight="false" outlineLevel="0" collapsed="false">
      <c r="A1768" s="0" t="s">
        <v>3977</v>
      </c>
      <c r="B1768" s="0" t="s">
        <v>3802</v>
      </c>
      <c r="C1768" s="0" t="s">
        <v>31</v>
      </c>
      <c r="D1768" s="0" t="s">
        <v>19</v>
      </c>
    </row>
    <row r="1769" customFormat="false" ht="13.8" hidden="false" customHeight="false" outlineLevel="0" collapsed="false">
      <c r="A1769" s="0" t="s">
        <v>3979</v>
      </c>
      <c r="B1769" s="0" t="s">
        <v>3980</v>
      </c>
      <c r="C1769" s="0" t="s">
        <v>31</v>
      </c>
      <c r="D1769" s="0" t="s">
        <v>2072</v>
      </c>
    </row>
    <row r="1770" customFormat="false" ht="13.8" hidden="false" customHeight="false" outlineLevel="0" collapsed="false">
      <c r="A1770" s="0" t="s">
        <v>3981</v>
      </c>
      <c r="B1770" s="0" t="s">
        <v>3982</v>
      </c>
      <c r="C1770" s="0" t="s">
        <v>31</v>
      </c>
      <c r="D1770" s="0" t="s">
        <v>413</v>
      </c>
    </row>
    <row r="1771" customFormat="false" ht="13.8" hidden="false" customHeight="false" outlineLevel="0" collapsed="false">
      <c r="A1771" s="0" t="s">
        <v>3983</v>
      </c>
      <c r="B1771" s="0" t="s">
        <v>3984</v>
      </c>
      <c r="C1771" s="0" t="s">
        <v>31</v>
      </c>
      <c r="D1771" s="0" t="s">
        <v>1957</v>
      </c>
    </row>
    <row r="1772" customFormat="false" ht="13.8" hidden="false" customHeight="false" outlineLevel="0" collapsed="false">
      <c r="A1772" s="0" t="s">
        <v>3985</v>
      </c>
      <c r="B1772" s="0" t="s">
        <v>3986</v>
      </c>
      <c r="C1772" s="0" t="s">
        <v>31</v>
      </c>
      <c r="D1772" s="0" t="s">
        <v>413</v>
      </c>
    </row>
    <row r="1773" customFormat="false" ht="13.8" hidden="false" customHeight="false" outlineLevel="0" collapsed="false">
      <c r="A1773" s="0" t="s">
        <v>3987</v>
      </c>
      <c r="B1773" s="0" t="s">
        <v>3988</v>
      </c>
      <c r="C1773" s="0" t="s">
        <v>31</v>
      </c>
      <c r="D1773" s="0" t="s">
        <v>1699</v>
      </c>
    </row>
    <row r="1774" customFormat="false" ht="13.8" hidden="false" customHeight="false" outlineLevel="0" collapsed="false">
      <c r="A1774" s="0" t="s">
        <v>3989</v>
      </c>
      <c r="B1774" s="0" t="s">
        <v>3990</v>
      </c>
      <c r="C1774" s="0" t="s">
        <v>31</v>
      </c>
      <c r="D1774" s="0" t="s">
        <v>2072</v>
      </c>
    </row>
    <row r="1775" customFormat="false" ht="13.8" hidden="false" customHeight="false" outlineLevel="0" collapsed="false">
      <c r="A1775" s="0" t="s">
        <v>3991</v>
      </c>
      <c r="B1775" s="0" t="s">
        <v>3992</v>
      </c>
      <c r="C1775" s="0" t="s">
        <v>31</v>
      </c>
      <c r="D1775" s="0" t="s">
        <v>3993</v>
      </c>
    </row>
    <row r="1776" customFormat="false" ht="13.8" hidden="false" customHeight="false" outlineLevel="0" collapsed="false">
      <c r="A1776" s="0" t="s">
        <v>3994</v>
      </c>
      <c r="B1776" s="0" t="s">
        <v>3995</v>
      </c>
      <c r="C1776" s="0" t="s">
        <v>31</v>
      </c>
      <c r="D1776" s="0" t="s">
        <v>19</v>
      </c>
    </row>
    <row r="1777" customFormat="false" ht="13.8" hidden="false" customHeight="false" outlineLevel="0" collapsed="false">
      <c r="A1777" s="0" t="s">
        <v>3996</v>
      </c>
      <c r="B1777" s="0" t="s">
        <v>3997</v>
      </c>
      <c r="C1777" s="0" t="s">
        <v>31</v>
      </c>
      <c r="D1777" s="0" t="s">
        <v>19</v>
      </c>
    </row>
    <row r="1778" customFormat="false" ht="13.8" hidden="false" customHeight="false" outlineLevel="0" collapsed="false">
      <c r="A1778" s="0" t="s">
        <v>3998</v>
      </c>
      <c r="B1778" s="0" t="s">
        <v>3999</v>
      </c>
      <c r="C1778" s="0" t="s">
        <v>31</v>
      </c>
      <c r="D1778" s="0" t="s">
        <v>2054</v>
      </c>
    </row>
    <row r="1779" customFormat="false" ht="13.8" hidden="false" customHeight="false" outlineLevel="0" collapsed="false">
      <c r="A1779" s="0" t="s">
        <v>4000</v>
      </c>
      <c r="B1779" s="0" t="s">
        <v>801</v>
      </c>
      <c r="C1779" s="0" t="s">
        <v>31</v>
      </c>
      <c r="D1779" s="0" t="s">
        <v>19</v>
      </c>
    </row>
    <row r="1780" customFormat="false" ht="13.8" hidden="false" customHeight="false" outlineLevel="0" collapsed="false">
      <c r="A1780" s="0" t="s">
        <v>4001</v>
      </c>
      <c r="B1780" s="0" t="s">
        <v>4002</v>
      </c>
      <c r="C1780" s="0" t="s">
        <v>31</v>
      </c>
      <c r="D1780" s="0" t="s">
        <v>413</v>
      </c>
    </row>
    <row r="1781" customFormat="false" ht="13.8" hidden="false" customHeight="false" outlineLevel="0" collapsed="false">
      <c r="A1781" s="0" t="s">
        <v>4003</v>
      </c>
      <c r="B1781" s="0" t="s">
        <v>4004</v>
      </c>
      <c r="C1781" s="0" t="s">
        <v>31</v>
      </c>
      <c r="D1781" s="0" t="s">
        <v>2386</v>
      </c>
    </row>
    <row r="1782" customFormat="false" ht="13.8" hidden="false" customHeight="false" outlineLevel="0" collapsed="false">
      <c r="A1782" s="0" t="s">
        <v>4005</v>
      </c>
      <c r="B1782" s="0" t="s">
        <v>4006</v>
      </c>
      <c r="C1782" s="0" t="s">
        <v>31</v>
      </c>
      <c r="D1782" s="0" t="s">
        <v>1957</v>
      </c>
    </row>
    <row r="1783" customFormat="false" ht="13.8" hidden="false" customHeight="false" outlineLevel="0" collapsed="false">
      <c r="A1783" s="0" t="s">
        <v>4007</v>
      </c>
      <c r="B1783" s="0" t="s">
        <v>4008</v>
      </c>
      <c r="C1783" s="0" t="s">
        <v>31</v>
      </c>
      <c r="D1783" s="0" t="s">
        <v>3890</v>
      </c>
    </row>
    <row r="1784" customFormat="false" ht="13.8" hidden="false" customHeight="false" outlineLevel="0" collapsed="false">
      <c r="A1784" s="0" t="s">
        <v>4009</v>
      </c>
      <c r="B1784" s="0" t="s">
        <v>4010</v>
      </c>
      <c r="C1784" s="0" t="s">
        <v>31</v>
      </c>
      <c r="D1784" s="0" t="s">
        <v>1704</v>
      </c>
    </row>
    <row r="1785" customFormat="false" ht="13.8" hidden="false" customHeight="false" outlineLevel="0" collapsed="false">
      <c r="A1785" s="0" t="s">
        <v>4011</v>
      </c>
      <c r="B1785" s="0" t="s">
        <v>4012</v>
      </c>
      <c r="C1785" s="0" t="s">
        <v>31</v>
      </c>
      <c r="D1785" s="0" t="s">
        <v>1704</v>
      </c>
    </row>
    <row r="1786" customFormat="false" ht="13.8" hidden="false" customHeight="false" outlineLevel="0" collapsed="false">
      <c r="A1786" s="0" t="s">
        <v>4013</v>
      </c>
      <c r="B1786" s="0" t="s">
        <v>4014</v>
      </c>
      <c r="C1786" s="0" t="s">
        <v>31</v>
      </c>
      <c r="D1786" s="0" t="s">
        <v>16</v>
      </c>
    </row>
    <row r="1787" customFormat="false" ht="13.8" hidden="false" customHeight="false" outlineLevel="0" collapsed="false">
      <c r="A1787" s="0" t="s">
        <v>4015</v>
      </c>
      <c r="B1787" s="0" t="s">
        <v>4016</v>
      </c>
      <c r="C1787" s="0" t="s">
        <v>31</v>
      </c>
      <c r="D1787" s="0" t="s">
        <v>3691</v>
      </c>
    </row>
    <row r="1788" customFormat="false" ht="13.8" hidden="false" customHeight="false" outlineLevel="0" collapsed="false">
      <c r="A1788" s="0" t="s">
        <v>4017</v>
      </c>
      <c r="B1788" s="0" t="s">
        <v>4018</v>
      </c>
      <c r="C1788" s="0" t="s">
        <v>31</v>
      </c>
      <c r="D1788" s="0" t="s">
        <v>1699</v>
      </c>
    </row>
    <row r="1789" customFormat="false" ht="13.8" hidden="false" customHeight="false" outlineLevel="0" collapsed="false">
      <c r="A1789" s="0" t="s">
        <v>4019</v>
      </c>
      <c r="B1789" s="0" t="s">
        <v>4020</v>
      </c>
      <c r="C1789" s="0" t="s">
        <v>31</v>
      </c>
      <c r="D1789" s="0" t="s">
        <v>413</v>
      </c>
    </row>
    <row r="1790" customFormat="false" ht="13.8" hidden="false" customHeight="false" outlineLevel="0" collapsed="false">
      <c r="A1790" s="0" t="s">
        <v>4021</v>
      </c>
      <c r="B1790" s="0" t="s">
        <v>4022</v>
      </c>
      <c r="C1790" s="0" t="s">
        <v>31</v>
      </c>
      <c r="D1790" s="0" t="s">
        <v>1957</v>
      </c>
    </row>
    <row r="1791" customFormat="false" ht="13.8" hidden="false" customHeight="false" outlineLevel="0" collapsed="false">
      <c r="A1791" s="0" t="s">
        <v>4023</v>
      </c>
      <c r="B1791" s="0" t="s">
        <v>4024</v>
      </c>
      <c r="C1791" s="0" t="s">
        <v>31</v>
      </c>
      <c r="D1791" s="0" t="s">
        <v>2552</v>
      </c>
    </row>
    <row r="1792" customFormat="false" ht="13.8" hidden="false" customHeight="false" outlineLevel="0" collapsed="false">
      <c r="A1792" s="0" t="s">
        <v>4025</v>
      </c>
      <c r="B1792" s="0" t="s">
        <v>4026</v>
      </c>
      <c r="C1792" s="0" t="s">
        <v>31</v>
      </c>
      <c r="D1792" s="0" t="s">
        <v>3261</v>
      </c>
    </row>
    <row r="1793" customFormat="false" ht="13.8" hidden="false" customHeight="false" outlineLevel="0" collapsed="false">
      <c r="A1793" s="0" t="s">
        <v>4027</v>
      </c>
      <c r="B1793" s="0" t="s">
        <v>4028</v>
      </c>
      <c r="C1793" s="0" t="s">
        <v>31</v>
      </c>
      <c r="D1793" s="0" t="s">
        <v>1924</v>
      </c>
    </row>
    <row r="1794" customFormat="false" ht="13.8" hidden="false" customHeight="false" outlineLevel="0" collapsed="false">
      <c r="A1794" s="0" t="s">
        <v>4029</v>
      </c>
      <c r="B1794" s="0" t="s">
        <v>4004</v>
      </c>
      <c r="C1794" s="0" t="s">
        <v>31</v>
      </c>
      <c r="D1794" s="0" t="s">
        <v>2072</v>
      </c>
    </row>
    <row r="1795" customFormat="false" ht="13.8" hidden="false" customHeight="false" outlineLevel="0" collapsed="false">
      <c r="A1795" s="0" t="s">
        <v>4030</v>
      </c>
      <c r="B1795" s="0" t="s">
        <v>4031</v>
      </c>
      <c r="C1795" s="0" t="s">
        <v>31</v>
      </c>
      <c r="D1795" s="0" t="s">
        <v>2701</v>
      </c>
    </row>
    <row r="1796" customFormat="false" ht="13.8" hidden="false" customHeight="false" outlineLevel="0" collapsed="false">
      <c r="A1796" s="0" t="s">
        <v>4032</v>
      </c>
      <c r="B1796" s="0" t="s">
        <v>4033</v>
      </c>
      <c r="C1796" s="0" t="s">
        <v>31</v>
      </c>
      <c r="D1796" s="0" t="s">
        <v>2386</v>
      </c>
    </row>
    <row r="1797" customFormat="false" ht="13.8" hidden="false" customHeight="false" outlineLevel="0" collapsed="false">
      <c r="A1797" s="0" t="s">
        <v>4034</v>
      </c>
      <c r="B1797" s="0" t="s">
        <v>4035</v>
      </c>
      <c r="C1797" s="0" t="s">
        <v>31</v>
      </c>
      <c r="D1797" s="0" t="s">
        <v>1957</v>
      </c>
    </row>
    <row r="1798" customFormat="false" ht="13.8" hidden="false" customHeight="false" outlineLevel="0" collapsed="false">
      <c r="A1798" s="0" t="s">
        <v>4036</v>
      </c>
      <c r="B1798" s="0" t="s">
        <v>4037</v>
      </c>
      <c r="C1798" s="0" t="s">
        <v>31</v>
      </c>
      <c r="D1798" s="0" t="s">
        <v>2492</v>
      </c>
    </row>
    <row r="1799" customFormat="false" ht="13.8" hidden="false" customHeight="false" outlineLevel="0" collapsed="false">
      <c r="A1799" s="0" t="s">
        <v>4038</v>
      </c>
      <c r="B1799" s="0" t="s">
        <v>4039</v>
      </c>
      <c r="C1799" s="0" t="s">
        <v>31</v>
      </c>
      <c r="D1799" s="0" t="s">
        <v>4040</v>
      </c>
    </row>
    <row r="1800" customFormat="false" ht="13.8" hidden="false" customHeight="false" outlineLevel="0" collapsed="false">
      <c r="A1800" s="0" t="s">
        <v>4041</v>
      </c>
      <c r="B1800" s="0" t="s">
        <v>4042</v>
      </c>
      <c r="C1800" s="0" t="s">
        <v>31</v>
      </c>
      <c r="D1800" s="0" t="s">
        <v>1592</v>
      </c>
    </row>
    <row r="1801" customFormat="false" ht="13.8" hidden="false" customHeight="false" outlineLevel="0" collapsed="false">
      <c r="A1801" s="0" t="s">
        <v>4043</v>
      </c>
      <c r="B1801" s="0" t="s">
        <v>4044</v>
      </c>
      <c r="C1801" s="0" t="s">
        <v>31</v>
      </c>
      <c r="D1801" s="0" t="s">
        <v>19</v>
      </c>
    </row>
    <row r="1802" customFormat="false" ht="13.8" hidden="false" customHeight="false" outlineLevel="0" collapsed="false">
      <c r="A1802" s="0" t="s">
        <v>4045</v>
      </c>
      <c r="B1802" s="0" t="s">
        <v>4046</v>
      </c>
      <c r="C1802" s="0" t="s">
        <v>31</v>
      </c>
      <c r="D1802" s="0" t="s">
        <v>1704</v>
      </c>
    </row>
    <row r="1803" customFormat="false" ht="13.8" hidden="false" customHeight="false" outlineLevel="0" collapsed="false">
      <c r="A1803" s="0" t="s">
        <v>4047</v>
      </c>
      <c r="B1803" s="0" t="s">
        <v>4048</v>
      </c>
      <c r="C1803" s="0" t="s">
        <v>31</v>
      </c>
      <c r="D1803" s="0" t="s">
        <v>4049</v>
      </c>
    </row>
    <row r="1804" customFormat="false" ht="13.8" hidden="false" customHeight="false" outlineLevel="0" collapsed="false">
      <c r="A1804" s="0" t="s">
        <v>4050</v>
      </c>
      <c r="B1804" s="0" t="s">
        <v>4051</v>
      </c>
      <c r="C1804" s="0" t="s">
        <v>31</v>
      </c>
      <c r="D1804" s="0" t="s">
        <v>2072</v>
      </c>
    </row>
    <row r="1805" customFormat="false" ht="13.8" hidden="false" customHeight="false" outlineLevel="0" collapsed="false">
      <c r="A1805" s="0" t="s">
        <v>4052</v>
      </c>
      <c r="B1805" s="0" t="s">
        <v>4053</v>
      </c>
      <c r="C1805" s="0" t="s">
        <v>31</v>
      </c>
      <c r="D1805" s="0" t="s">
        <v>69</v>
      </c>
    </row>
    <row r="1806" customFormat="false" ht="13.8" hidden="false" customHeight="false" outlineLevel="0" collapsed="false">
      <c r="A1806" s="0" t="s">
        <v>4054</v>
      </c>
      <c r="B1806" s="0" t="s">
        <v>4055</v>
      </c>
      <c r="C1806" s="0" t="s">
        <v>31</v>
      </c>
      <c r="D1806" s="0" t="s">
        <v>19</v>
      </c>
    </row>
    <row r="1807" customFormat="false" ht="13.8" hidden="false" customHeight="false" outlineLevel="0" collapsed="false">
      <c r="A1807" s="0" t="s">
        <v>4056</v>
      </c>
      <c r="B1807" s="0" t="s">
        <v>4057</v>
      </c>
      <c r="C1807" s="0" t="s">
        <v>31</v>
      </c>
      <c r="D1807" s="0" t="s">
        <v>2386</v>
      </c>
    </row>
    <row r="1808" customFormat="false" ht="13.8" hidden="false" customHeight="false" outlineLevel="0" collapsed="false">
      <c r="A1808" s="0" t="s">
        <v>4058</v>
      </c>
      <c r="B1808" s="0" t="s">
        <v>4059</v>
      </c>
      <c r="C1808" s="0" t="s">
        <v>31</v>
      </c>
      <c r="D1808" s="0" t="s">
        <v>413</v>
      </c>
    </row>
    <row r="1809" customFormat="false" ht="13.8" hidden="false" customHeight="false" outlineLevel="0" collapsed="false">
      <c r="A1809" s="0" t="s">
        <v>4060</v>
      </c>
      <c r="B1809" s="0" t="s">
        <v>4061</v>
      </c>
      <c r="C1809" s="0" t="s">
        <v>31</v>
      </c>
      <c r="D1809" s="0" t="s">
        <v>1957</v>
      </c>
    </row>
    <row r="1810" customFormat="false" ht="13.8" hidden="false" customHeight="false" outlineLevel="0" collapsed="false">
      <c r="A1810" s="0" t="s">
        <v>4062</v>
      </c>
      <c r="B1810" s="0" t="s">
        <v>4063</v>
      </c>
      <c r="C1810" s="0" t="s">
        <v>31</v>
      </c>
      <c r="D1810" s="0" t="s">
        <v>1704</v>
      </c>
    </row>
    <row r="1811" customFormat="false" ht="13.8" hidden="false" customHeight="false" outlineLevel="0" collapsed="false">
      <c r="A1811" s="0" t="s">
        <v>4064</v>
      </c>
      <c r="B1811" s="0" t="s">
        <v>4065</v>
      </c>
      <c r="C1811" s="0" t="s">
        <v>31</v>
      </c>
      <c r="D1811" s="0" t="s">
        <v>69</v>
      </c>
    </row>
    <row r="1812" customFormat="false" ht="13.8" hidden="false" customHeight="false" outlineLevel="0" collapsed="false">
      <c r="A1812" s="0" t="s">
        <v>4066</v>
      </c>
      <c r="B1812" s="0" t="s">
        <v>4067</v>
      </c>
      <c r="C1812" s="0" t="s">
        <v>31</v>
      </c>
      <c r="D1812" s="0" t="s">
        <v>1592</v>
      </c>
    </row>
    <row r="1813" customFormat="false" ht="13.8" hidden="false" customHeight="false" outlineLevel="0" collapsed="false">
      <c r="A1813" s="0" t="s">
        <v>4068</v>
      </c>
      <c r="B1813" s="0" t="s">
        <v>4069</v>
      </c>
      <c r="C1813" s="0" t="s">
        <v>31</v>
      </c>
      <c r="D1813" s="0" t="s">
        <v>2678</v>
      </c>
    </row>
    <row r="1814" customFormat="false" ht="13.8" hidden="false" customHeight="false" outlineLevel="0" collapsed="false">
      <c r="A1814" s="0" t="s">
        <v>4070</v>
      </c>
      <c r="B1814" s="0" t="s">
        <v>4071</v>
      </c>
      <c r="C1814" s="0" t="s">
        <v>31</v>
      </c>
      <c r="D1814" s="0" t="s">
        <v>413</v>
      </c>
    </row>
    <row r="1815" customFormat="false" ht="13.8" hidden="false" customHeight="false" outlineLevel="0" collapsed="false">
      <c r="A1815" s="0" t="s">
        <v>4072</v>
      </c>
      <c r="B1815" s="0" t="s">
        <v>4073</v>
      </c>
      <c r="C1815" s="0" t="s">
        <v>31</v>
      </c>
      <c r="D1815" s="0" t="s">
        <v>19</v>
      </c>
    </row>
    <row r="1816" customFormat="false" ht="13.8" hidden="false" customHeight="false" outlineLevel="0" collapsed="false">
      <c r="A1816" s="0" t="s">
        <v>4074</v>
      </c>
      <c r="B1816" s="0" t="s">
        <v>4075</v>
      </c>
      <c r="C1816" s="0" t="s">
        <v>31</v>
      </c>
      <c r="D1816" s="0" t="s">
        <v>2871</v>
      </c>
    </row>
    <row r="1817" customFormat="false" ht="13.8" hidden="false" customHeight="false" outlineLevel="0" collapsed="false">
      <c r="A1817" s="0" t="s">
        <v>4076</v>
      </c>
      <c r="B1817" s="0" t="s">
        <v>4077</v>
      </c>
      <c r="C1817" s="0" t="s">
        <v>31</v>
      </c>
      <c r="D1817" s="0" t="s">
        <v>2364</v>
      </c>
    </row>
    <row r="1818" customFormat="false" ht="13.8" hidden="false" customHeight="false" outlineLevel="0" collapsed="false">
      <c r="A1818" s="0" t="s">
        <v>4078</v>
      </c>
      <c r="B1818" s="0" t="s">
        <v>4079</v>
      </c>
      <c r="C1818" s="0" t="s">
        <v>31</v>
      </c>
      <c r="D1818" s="0" t="s">
        <v>2552</v>
      </c>
    </row>
    <row r="1819" customFormat="false" ht="13.8" hidden="false" customHeight="false" outlineLevel="0" collapsed="false">
      <c r="A1819" s="0" t="s">
        <v>4080</v>
      </c>
      <c r="B1819" s="0" t="s">
        <v>4081</v>
      </c>
      <c r="C1819" s="0" t="s">
        <v>31</v>
      </c>
      <c r="D1819" s="0" t="s">
        <v>1592</v>
      </c>
    </row>
    <row r="1820" customFormat="false" ht="13.8" hidden="false" customHeight="false" outlineLevel="0" collapsed="false">
      <c r="A1820" s="0" t="s">
        <v>4082</v>
      </c>
      <c r="B1820" s="0" t="s">
        <v>4083</v>
      </c>
      <c r="C1820" s="0" t="s">
        <v>31</v>
      </c>
      <c r="D1820" s="0" t="s">
        <v>413</v>
      </c>
    </row>
    <row r="1821" customFormat="false" ht="13.8" hidden="false" customHeight="false" outlineLevel="0" collapsed="false">
      <c r="A1821" s="0" t="s">
        <v>4084</v>
      </c>
      <c r="B1821" s="0" t="s">
        <v>4085</v>
      </c>
      <c r="C1821" s="0" t="s">
        <v>31</v>
      </c>
      <c r="D1821" s="0" t="s">
        <v>19</v>
      </c>
    </row>
    <row r="1822" customFormat="false" ht="13.8" hidden="false" customHeight="false" outlineLevel="0" collapsed="false">
      <c r="A1822" s="0" t="s">
        <v>4086</v>
      </c>
      <c r="B1822" s="0" t="s">
        <v>3232</v>
      </c>
      <c r="C1822" s="0" t="s">
        <v>31</v>
      </c>
      <c r="D1822" s="0" t="s">
        <v>1704</v>
      </c>
    </row>
    <row r="1823" customFormat="false" ht="13.8" hidden="false" customHeight="false" outlineLevel="0" collapsed="false">
      <c r="A1823" s="0" t="s">
        <v>4087</v>
      </c>
      <c r="B1823" s="0" t="s">
        <v>4088</v>
      </c>
      <c r="C1823" s="0" t="s">
        <v>31</v>
      </c>
      <c r="D1823" s="0" t="s">
        <v>2871</v>
      </c>
    </row>
    <row r="1824" customFormat="false" ht="13.8" hidden="false" customHeight="false" outlineLevel="0" collapsed="false">
      <c r="A1824" s="0" t="s">
        <v>4089</v>
      </c>
      <c r="B1824" s="0" t="s">
        <v>4090</v>
      </c>
      <c r="C1824" s="0" t="s">
        <v>31</v>
      </c>
      <c r="D1824" s="0" t="s">
        <v>1592</v>
      </c>
    </row>
    <row r="1825" customFormat="false" ht="13.8" hidden="false" customHeight="false" outlineLevel="0" collapsed="false">
      <c r="A1825" s="0" t="s">
        <v>4091</v>
      </c>
      <c r="B1825" s="0" t="s">
        <v>4092</v>
      </c>
      <c r="C1825" s="0" t="s">
        <v>31</v>
      </c>
      <c r="D1825" s="0" t="s">
        <v>3276</v>
      </c>
    </row>
    <row r="1826" customFormat="false" ht="13.8" hidden="false" customHeight="false" outlineLevel="0" collapsed="false">
      <c r="A1826" s="0" t="s">
        <v>4093</v>
      </c>
      <c r="B1826" s="0" t="s">
        <v>4094</v>
      </c>
      <c r="C1826" s="0" t="s">
        <v>31</v>
      </c>
      <c r="D1826" s="0" t="s">
        <v>1540</v>
      </c>
    </row>
    <row r="1827" customFormat="false" ht="13.8" hidden="false" customHeight="false" outlineLevel="0" collapsed="false">
      <c r="A1827" s="0" t="s">
        <v>4095</v>
      </c>
      <c r="B1827" s="0" t="s">
        <v>4096</v>
      </c>
      <c r="C1827" s="0" t="s">
        <v>31</v>
      </c>
      <c r="D1827" s="0" t="s">
        <v>413</v>
      </c>
    </row>
    <row r="1828" customFormat="false" ht="13.8" hidden="false" customHeight="false" outlineLevel="0" collapsed="false">
      <c r="A1828" s="0" t="s">
        <v>4097</v>
      </c>
      <c r="B1828" s="0" t="s">
        <v>4098</v>
      </c>
      <c r="C1828" s="0" t="s">
        <v>31</v>
      </c>
      <c r="D1828" s="0" t="s">
        <v>16</v>
      </c>
    </row>
    <row r="1829" customFormat="false" ht="13.8" hidden="false" customHeight="false" outlineLevel="0" collapsed="false">
      <c r="A1829" s="0" t="s">
        <v>4099</v>
      </c>
      <c r="B1829" s="0" t="s">
        <v>4100</v>
      </c>
      <c r="C1829" s="0" t="s">
        <v>31</v>
      </c>
      <c r="D1829" s="0" t="s">
        <v>1704</v>
      </c>
    </row>
    <row r="1830" customFormat="false" ht="13.8" hidden="false" customHeight="false" outlineLevel="0" collapsed="false">
      <c r="A1830" s="0" t="s">
        <v>4101</v>
      </c>
      <c r="B1830" s="0" t="s">
        <v>4102</v>
      </c>
      <c r="C1830" s="0" t="s">
        <v>31</v>
      </c>
      <c r="D1830" s="0" t="s">
        <v>413</v>
      </c>
    </row>
    <row r="1831" customFormat="false" ht="13.8" hidden="false" customHeight="false" outlineLevel="0" collapsed="false">
      <c r="A1831" s="0" t="s">
        <v>4103</v>
      </c>
      <c r="B1831" s="0" t="s">
        <v>4104</v>
      </c>
      <c r="C1831" s="0" t="s">
        <v>31</v>
      </c>
      <c r="D1831" s="0" t="s">
        <v>1704</v>
      </c>
    </row>
    <row r="1832" customFormat="false" ht="13.8" hidden="false" customHeight="false" outlineLevel="0" collapsed="false">
      <c r="A1832" s="0" t="s">
        <v>4105</v>
      </c>
      <c r="B1832" s="0" t="s">
        <v>4106</v>
      </c>
      <c r="C1832" s="0" t="s">
        <v>31</v>
      </c>
      <c r="D1832" s="0" t="s">
        <v>1924</v>
      </c>
    </row>
    <row r="1833" customFormat="false" ht="13.8" hidden="false" customHeight="false" outlineLevel="0" collapsed="false">
      <c r="A1833" s="0" t="s">
        <v>4107</v>
      </c>
      <c r="B1833" s="0" t="s">
        <v>3757</v>
      </c>
      <c r="C1833" s="0" t="s">
        <v>31</v>
      </c>
      <c r="D1833" s="0" t="s">
        <v>2871</v>
      </c>
    </row>
    <row r="1834" customFormat="false" ht="13.8" hidden="false" customHeight="false" outlineLevel="0" collapsed="false">
      <c r="A1834" s="0" t="s">
        <v>4108</v>
      </c>
      <c r="B1834" s="0" t="s">
        <v>4109</v>
      </c>
      <c r="C1834" s="0" t="s">
        <v>31</v>
      </c>
      <c r="D1834" s="0" t="s">
        <v>2356</v>
      </c>
    </row>
    <row r="1835" customFormat="false" ht="13.8" hidden="false" customHeight="false" outlineLevel="0" collapsed="false">
      <c r="A1835" s="0" t="s">
        <v>4110</v>
      </c>
      <c r="B1835" s="0" t="s">
        <v>4111</v>
      </c>
      <c r="C1835" s="0" t="s">
        <v>31</v>
      </c>
      <c r="D1835" s="0" t="s">
        <v>69</v>
      </c>
    </row>
    <row r="1836" customFormat="false" ht="13.8" hidden="false" customHeight="false" outlineLevel="0" collapsed="false">
      <c r="A1836" s="0" t="s">
        <v>4112</v>
      </c>
      <c r="B1836" s="0" t="s">
        <v>4113</v>
      </c>
      <c r="C1836" s="0" t="s">
        <v>31</v>
      </c>
      <c r="D1836" s="0" t="s">
        <v>1704</v>
      </c>
    </row>
    <row r="1837" customFormat="false" ht="13.8" hidden="false" customHeight="false" outlineLevel="0" collapsed="false">
      <c r="A1837" s="0" t="s">
        <v>4114</v>
      </c>
      <c r="B1837" s="0" t="s">
        <v>4115</v>
      </c>
      <c r="C1837" s="0" t="s">
        <v>31</v>
      </c>
      <c r="D1837" s="0" t="s">
        <v>1924</v>
      </c>
    </row>
    <row r="1838" customFormat="false" ht="13.8" hidden="false" customHeight="false" outlineLevel="0" collapsed="false">
      <c r="A1838" s="0" t="s">
        <v>4116</v>
      </c>
      <c r="B1838" s="0" t="s">
        <v>4117</v>
      </c>
      <c r="C1838" s="0" t="s">
        <v>31</v>
      </c>
      <c r="D1838" s="0" t="s">
        <v>1704</v>
      </c>
    </row>
    <row r="1839" customFormat="false" ht="13.8" hidden="false" customHeight="false" outlineLevel="0" collapsed="false">
      <c r="A1839" s="0" t="s">
        <v>4118</v>
      </c>
      <c r="B1839" s="0" t="s">
        <v>4119</v>
      </c>
      <c r="C1839" s="0" t="s">
        <v>31</v>
      </c>
      <c r="D1839" s="0" t="s">
        <v>413</v>
      </c>
    </row>
    <row r="1840" customFormat="false" ht="13.8" hidden="false" customHeight="false" outlineLevel="0" collapsed="false">
      <c r="A1840" s="0" t="s">
        <v>4120</v>
      </c>
      <c r="B1840" s="0" t="s">
        <v>4121</v>
      </c>
      <c r="C1840" s="0" t="s">
        <v>31</v>
      </c>
      <c r="D1840" s="0" t="s">
        <v>1508</v>
      </c>
    </row>
    <row r="1841" customFormat="false" ht="13.8" hidden="false" customHeight="false" outlineLevel="0" collapsed="false">
      <c r="A1841" s="0" t="s">
        <v>4122</v>
      </c>
      <c r="B1841" s="0" t="s">
        <v>3947</v>
      </c>
      <c r="C1841" s="0" t="s">
        <v>31</v>
      </c>
      <c r="D1841" s="0" t="s">
        <v>1704</v>
      </c>
    </row>
    <row r="1842" customFormat="false" ht="13.8" hidden="false" customHeight="false" outlineLevel="0" collapsed="false">
      <c r="A1842" s="0" t="s">
        <v>4123</v>
      </c>
      <c r="B1842" s="0" t="s">
        <v>4124</v>
      </c>
      <c r="C1842" s="0" t="s">
        <v>31</v>
      </c>
      <c r="D1842" s="0" t="s">
        <v>413</v>
      </c>
    </row>
    <row r="1843" customFormat="false" ht="13.8" hidden="false" customHeight="false" outlineLevel="0" collapsed="false">
      <c r="A1843" s="0" t="s">
        <v>4125</v>
      </c>
      <c r="B1843" s="0" t="s">
        <v>4126</v>
      </c>
      <c r="C1843" s="0" t="s">
        <v>31</v>
      </c>
      <c r="D1843" s="0" t="s">
        <v>2356</v>
      </c>
    </row>
    <row r="1844" customFormat="false" ht="13.8" hidden="false" customHeight="false" outlineLevel="0" collapsed="false">
      <c r="A1844" s="0" t="s">
        <v>4127</v>
      </c>
      <c r="B1844" s="0" t="s">
        <v>4128</v>
      </c>
      <c r="C1844" s="0" t="s">
        <v>31</v>
      </c>
      <c r="D1844" s="0" t="s">
        <v>19</v>
      </c>
    </row>
    <row r="1845" customFormat="false" ht="13.8" hidden="false" customHeight="false" outlineLevel="0" collapsed="false">
      <c r="A1845" s="0" t="s">
        <v>4131</v>
      </c>
      <c r="B1845" s="0" t="s">
        <v>4132</v>
      </c>
      <c r="C1845" s="0" t="s">
        <v>31</v>
      </c>
      <c r="D1845" s="0" t="s">
        <v>1527</v>
      </c>
    </row>
    <row r="1846" customFormat="false" ht="13.8" hidden="false" customHeight="false" outlineLevel="0" collapsed="false">
      <c r="A1846" s="0" t="s">
        <v>4133</v>
      </c>
      <c r="B1846" s="0" t="s">
        <v>4134</v>
      </c>
      <c r="C1846" s="0" t="s">
        <v>31</v>
      </c>
      <c r="D1846" s="0" t="s">
        <v>1924</v>
      </c>
    </row>
    <row r="1847" customFormat="false" ht="13.8" hidden="false" customHeight="false" outlineLevel="0" collapsed="false">
      <c r="A1847" s="0" t="s">
        <v>4135</v>
      </c>
      <c r="B1847" s="0" t="s">
        <v>4136</v>
      </c>
      <c r="C1847" s="0" t="s">
        <v>31</v>
      </c>
      <c r="D1847" s="0" t="s">
        <v>2871</v>
      </c>
    </row>
    <row r="1848" customFormat="false" ht="13.8" hidden="false" customHeight="false" outlineLevel="0" collapsed="false">
      <c r="A1848" s="0" t="s">
        <v>4137</v>
      </c>
      <c r="B1848" s="0" t="s">
        <v>4138</v>
      </c>
      <c r="C1848" s="0" t="s">
        <v>31</v>
      </c>
      <c r="D1848" s="0" t="s">
        <v>413</v>
      </c>
    </row>
    <row r="1849" customFormat="false" ht="13.8" hidden="false" customHeight="false" outlineLevel="0" collapsed="false">
      <c r="A1849" s="0" t="s">
        <v>4140</v>
      </c>
      <c r="B1849" s="0" t="s">
        <v>4141</v>
      </c>
      <c r="C1849" s="0" t="s">
        <v>31</v>
      </c>
      <c r="D1849" s="0" t="s">
        <v>2678</v>
      </c>
    </row>
    <row r="1850" customFormat="false" ht="13.8" hidden="false" customHeight="false" outlineLevel="0" collapsed="false">
      <c r="A1850" s="0" t="s">
        <v>4142</v>
      </c>
      <c r="B1850" s="0" t="s">
        <v>4143</v>
      </c>
      <c r="C1850" s="0" t="s">
        <v>31</v>
      </c>
      <c r="D1850" s="0" t="s">
        <v>3628</v>
      </c>
    </row>
    <row r="1851" customFormat="false" ht="13.8" hidden="false" customHeight="false" outlineLevel="0" collapsed="false">
      <c r="A1851" s="0" t="s">
        <v>4144</v>
      </c>
      <c r="B1851" s="0" t="s">
        <v>4145</v>
      </c>
      <c r="C1851" s="0" t="s">
        <v>31</v>
      </c>
      <c r="D1851" s="0" t="s">
        <v>1957</v>
      </c>
    </row>
    <row r="1852" customFormat="false" ht="13.8" hidden="false" customHeight="false" outlineLevel="0" collapsed="false">
      <c r="A1852" s="0" t="s">
        <v>4146</v>
      </c>
      <c r="B1852" s="0" t="s">
        <v>4147</v>
      </c>
      <c r="C1852" s="0" t="s">
        <v>31</v>
      </c>
      <c r="D1852" s="0" t="s">
        <v>2492</v>
      </c>
    </row>
    <row r="1853" customFormat="false" ht="13.8" hidden="false" customHeight="false" outlineLevel="0" collapsed="false">
      <c r="A1853" s="0" t="s">
        <v>4148</v>
      </c>
      <c r="B1853" s="0" t="s">
        <v>4149</v>
      </c>
      <c r="C1853" s="0" t="s">
        <v>31</v>
      </c>
      <c r="D1853" s="0" t="s">
        <v>16</v>
      </c>
    </row>
    <row r="1854" customFormat="false" ht="13.8" hidden="false" customHeight="false" outlineLevel="0" collapsed="false">
      <c r="A1854" s="0" t="s">
        <v>4150</v>
      </c>
      <c r="B1854" s="0" t="s">
        <v>4151</v>
      </c>
      <c r="C1854" s="0" t="s">
        <v>31</v>
      </c>
      <c r="D1854" s="0" t="s">
        <v>1699</v>
      </c>
    </row>
    <row r="1855" customFormat="false" ht="13.8" hidden="false" customHeight="false" outlineLevel="0" collapsed="false">
      <c r="A1855" s="0" t="s">
        <v>4152</v>
      </c>
      <c r="B1855" s="0" t="s">
        <v>4153</v>
      </c>
      <c r="C1855" s="0" t="s">
        <v>31</v>
      </c>
      <c r="D1855" s="0" t="s">
        <v>3276</v>
      </c>
    </row>
    <row r="1856" customFormat="false" ht="13.8" hidden="false" customHeight="false" outlineLevel="0" collapsed="false">
      <c r="A1856" s="0" t="s">
        <v>4154</v>
      </c>
      <c r="B1856" s="0" t="s">
        <v>4155</v>
      </c>
      <c r="C1856" s="0" t="s">
        <v>31</v>
      </c>
      <c r="D1856" s="0" t="s">
        <v>2878</v>
      </c>
    </row>
    <row r="1857" customFormat="false" ht="13.8" hidden="false" customHeight="false" outlineLevel="0" collapsed="false">
      <c r="A1857" s="0" t="s">
        <v>4156</v>
      </c>
      <c r="B1857" s="0" t="s">
        <v>4157</v>
      </c>
      <c r="C1857" s="0" t="s">
        <v>31</v>
      </c>
      <c r="D1857" s="0" t="s">
        <v>2871</v>
      </c>
    </row>
    <row r="1858" customFormat="false" ht="13.8" hidden="false" customHeight="false" outlineLevel="0" collapsed="false">
      <c r="A1858" s="0" t="s">
        <v>4158</v>
      </c>
      <c r="B1858" s="0" t="s">
        <v>4159</v>
      </c>
      <c r="C1858" s="0" t="s">
        <v>31</v>
      </c>
      <c r="D1858" s="0" t="s">
        <v>19</v>
      </c>
    </row>
    <row r="1859" customFormat="false" ht="13.8" hidden="false" customHeight="false" outlineLevel="0" collapsed="false">
      <c r="A1859" s="0" t="s">
        <v>4160</v>
      </c>
      <c r="B1859" s="0" t="s">
        <v>4161</v>
      </c>
      <c r="C1859" s="0" t="s">
        <v>31</v>
      </c>
      <c r="D1859" s="0" t="s">
        <v>3628</v>
      </c>
    </row>
    <row r="1860" customFormat="false" ht="13.8" hidden="false" customHeight="false" outlineLevel="0" collapsed="false">
      <c r="A1860" s="0" t="s">
        <v>4162</v>
      </c>
      <c r="B1860" s="0" t="s">
        <v>4163</v>
      </c>
      <c r="C1860" s="0" t="s">
        <v>31</v>
      </c>
      <c r="D1860" s="0" t="s">
        <v>1704</v>
      </c>
    </row>
    <row r="1861" customFormat="false" ht="13.8" hidden="false" customHeight="false" outlineLevel="0" collapsed="false">
      <c r="A1861" s="0" t="s">
        <v>4164</v>
      </c>
      <c r="B1861" s="0" t="s">
        <v>3931</v>
      </c>
      <c r="C1861" s="0" t="s">
        <v>31</v>
      </c>
      <c r="D1861" s="0" t="s">
        <v>1699</v>
      </c>
    </row>
    <row r="1862" customFormat="false" ht="13.8" hidden="false" customHeight="false" outlineLevel="0" collapsed="false">
      <c r="A1862" s="0" t="s">
        <v>4165</v>
      </c>
      <c r="B1862" s="0" t="s">
        <v>4166</v>
      </c>
      <c r="C1862" s="0" t="s">
        <v>31</v>
      </c>
      <c r="D1862" s="0" t="s">
        <v>1592</v>
      </c>
    </row>
    <row r="1863" customFormat="false" ht="13.8" hidden="false" customHeight="false" outlineLevel="0" collapsed="false">
      <c r="A1863" s="0" t="s">
        <v>4167</v>
      </c>
      <c r="B1863" s="0" t="s">
        <v>4168</v>
      </c>
      <c r="C1863" s="0" t="s">
        <v>31</v>
      </c>
      <c r="D1863" s="0" t="s">
        <v>2386</v>
      </c>
    </row>
    <row r="1864" customFormat="false" ht="13.8" hidden="false" customHeight="false" outlineLevel="0" collapsed="false">
      <c r="A1864" s="0" t="s">
        <v>4169</v>
      </c>
      <c r="B1864" s="0" t="s">
        <v>4170</v>
      </c>
      <c r="C1864" s="0" t="s">
        <v>31</v>
      </c>
      <c r="D1864" s="0" t="s">
        <v>19</v>
      </c>
    </row>
    <row r="1865" customFormat="false" ht="13.8" hidden="false" customHeight="false" outlineLevel="0" collapsed="false">
      <c r="A1865" s="0" t="s">
        <v>4171</v>
      </c>
      <c r="B1865" s="0" t="s">
        <v>4172</v>
      </c>
      <c r="C1865" s="0" t="s">
        <v>31</v>
      </c>
      <c r="D1865" s="0" t="s">
        <v>1651</v>
      </c>
    </row>
    <row r="1866" customFormat="false" ht="13.8" hidden="false" customHeight="false" outlineLevel="0" collapsed="false">
      <c r="A1866" s="0" t="s">
        <v>4173</v>
      </c>
      <c r="B1866" s="0" t="s">
        <v>4174</v>
      </c>
      <c r="C1866" s="0" t="s">
        <v>31</v>
      </c>
      <c r="D1866" s="0" t="s">
        <v>2552</v>
      </c>
    </row>
    <row r="1867" customFormat="false" ht="13.8" hidden="false" customHeight="false" outlineLevel="0" collapsed="false">
      <c r="A1867" s="0" t="s">
        <v>4175</v>
      </c>
      <c r="B1867" s="0" t="s">
        <v>4176</v>
      </c>
      <c r="C1867" s="0" t="s">
        <v>31</v>
      </c>
      <c r="D1867" s="0" t="s">
        <v>4177</v>
      </c>
    </row>
    <row r="1868" customFormat="false" ht="13.8" hidden="false" customHeight="false" outlineLevel="0" collapsed="false">
      <c r="A1868" s="0" t="s">
        <v>4178</v>
      </c>
      <c r="B1868" s="0" t="s">
        <v>4179</v>
      </c>
      <c r="C1868" s="0" t="s">
        <v>31</v>
      </c>
      <c r="D1868" s="0" t="s">
        <v>1540</v>
      </c>
    </row>
    <row r="1869" customFormat="false" ht="13.8" hidden="false" customHeight="false" outlineLevel="0" collapsed="false">
      <c r="A1869" s="0" t="s">
        <v>4180</v>
      </c>
      <c r="B1869" s="0" t="s">
        <v>4181</v>
      </c>
      <c r="C1869" s="0" t="s">
        <v>31</v>
      </c>
      <c r="D1869" s="0" t="s">
        <v>19</v>
      </c>
    </row>
    <row r="1870" customFormat="false" ht="13.8" hidden="false" customHeight="false" outlineLevel="0" collapsed="false">
      <c r="A1870" s="0" t="s">
        <v>4182</v>
      </c>
      <c r="B1870" s="0" t="s">
        <v>4183</v>
      </c>
      <c r="C1870" s="0" t="s">
        <v>31</v>
      </c>
      <c r="D1870" s="0" t="s">
        <v>1957</v>
      </c>
    </row>
    <row r="1871" customFormat="false" ht="13.8" hidden="false" customHeight="false" outlineLevel="0" collapsed="false">
      <c r="A1871" s="0" t="s">
        <v>4184</v>
      </c>
      <c r="B1871" s="0" t="s">
        <v>4185</v>
      </c>
      <c r="C1871" s="0" t="s">
        <v>31</v>
      </c>
      <c r="D1871" s="0" t="s">
        <v>2072</v>
      </c>
    </row>
    <row r="1872" customFormat="false" ht="13.8" hidden="false" customHeight="false" outlineLevel="0" collapsed="false">
      <c r="A1872" s="0" t="s">
        <v>4186</v>
      </c>
      <c r="B1872" s="0" t="s">
        <v>4187</v>
      </c>
      <c r="C1872" s="0" t="s">
        <v>31</v>
      </c>
      <c r="D1872" s="0" t="s">
        <v>69</v>
      </c>
    </row>
    <row r="1873" customFormat="false" ht="13.8" hidden="false" customHeight="false" outlineLevel="0" collapsed="false">
      <c r="A1873" s="0" t="s">
        <v>4188</v>
      </c>
      <c r="B1873" s="0" t="s">
        <v>4189</v>
      </c>
      <c r="C1873" s="0" t="s">
        <v>31</v>
      </c>
      <c r="D1873" s="0" t="s">
        <v>1704</v>
      </c>
    </row>
    <row r="1874" customFormat="false" ht="13.8" hidden="false" customHeight="false" outlineLevel="0" collapsed="false">
      <c r="A1874" s="0" t="s">
        <v>4190</v>
      </c>
      <c r="B1874" s="0" t="s">
        <v>4191</v>
      </c>
      <c r="C1874" s="0" t="s">
        <v>31</v>
      </c>
      <c r="D1874" s="0" t="s">
        <v>413</v>
      </c>
    </row>
    <row r="1875" customFormat="false" ht="13.8" hidden="false" customHeight="false" outlineLevel="0" collapsed="false">
      <c r="A1875" s="0" t="s">
        <v>4193</v>
      </c>
      <c r="B1875" s="0" t="s">
        <v>4194</v>
      </c>
      <c r="C1875" s="0" t="s">
        <v>31</v>
      </c>
      <c r="D1875" s="0" t="s">
        <v>3469</v>
      </c>
    </row>
    <row r="1876" customFormat="false" ht="13.8" hidden="false" customHeight="false" outlineLevel="0" collapsed="false">
      <c r="A1876" s="0" t="s">
        <v>4195</v>
      </c>
      <c r="B1876" s="0" t="s">
        <v>4196</v>
      </c>
      <c r="C1876" s="0" t="s">
        <v>31</v>
      </c>
      <c r="D1876" s="0" t="s">
        <v>1704</v>
      </c>
    </row>
    <row r="1877" customFormat="false" ht="13.8" hidden="false" customHeight="false" outlineLevel="0" collapsed="false">
      <c r="A1877" s="0" t="s">
        <v>4197</v>
      </c>
      <c r="B1877" s="0" t="s">
        <v>4198</v>
      </c>
      <c r="C1877" s="0" t="s">
        <v>31</v>
      </c>
      <c r="D1877" s="0" t="s">
        <v>2871</v>
      </c>
    </row>
    <row r="1878" customFormat="false" ht="13.8" hidden="false" customHeight="false" outlineLevel="0" collapsed="false">
      <c r="A1878" s="0" t="s">
        <v>4199</v>
      </c>
      <c r="B1878" s="0" t="s">
        <v>4200</v>
      </c>
      <c r="C1878" s="0" t="s">
        <v>31</v>
      </c>
      <c r="D1878" s="0" t="s">
        <v>413</v>
      </c>
    </row>
    <row r="1879" customFormat="false" ht="13.8" hidden="false" customHeight="false" outlineLevel="0" collapsed="false">
      <c r="A1879" s="0" t="s">
        <v>4202</v>
      </c>
      <c r="B1879" s="0" t="s">
        <v>4203</v>
      </c>
      <c r="C1879" s="0" t="s">
        <v>31</v>
      </c>
      <c r="D1879" s="0" t="s">
        <v>2878</v>
      </c>
    </row>
    <row r="1880" customFormat="false" ht="13.8" hidden="false" customHeight="false" outlineLevel="0" collapsed="false">
      <c r="A1880" s="0" t="s">
        <v>4204</v>
      </c>
      <c r="B1880" s="0" t="s">
        <v>4205</v>
      </c>
      <c r="C1880" s="0" t="s">
        <v>31</v>
      </c>
      <c r="D1880" s="0" t="s">
        <v>413</v>
      </c>
    </row>
    <row r="1881" customFormat="false" ht="13.8" hidden="false" customHeight="false" outlineLevel="0" collapsed="false">
      <c r="A1881" s="0" t="s">
        <v>4206</v>
      </c>
      <c r="B1881" s="0" t="s">
        <v>4207</v>
      </c>
      <c r="C1881" s="0" t="s">
        <v>31</v>
      </c>
      <c r="D1881" s="0" t="s">
        <v>3523</v>
      </c>
    </row>
    <row r="1882" customFormat="false" ht="13.8" hidden="false" customHeight="false" outlineLevel="0" collapsed="false">
      <c r="A1882" s="0" t="s">
        <v>4208</v>
      </c>
      <c r="B1882" s="0" t="s">
        <v>4209</v>
      </c>
      <c r="C1882" s="0" t="s">
        <v>31</v>
      </c>
      <c r="D1882" s="0" t="s">
        <v>413</v>
      </c>
    </row>
    <row r="1883" customFormat="false" ht="13.8" hidden="false" customHeight="false" outlineLevel="0" collapsed="false">
      <c r="A1883" s="0" t="s">
        <v>4210</v>
      </c>
      <c r="B1883" s="0" t="s">
        <v>4211</v>
      </c>
      <c r="C1883" s="0" t="s">
        <v>31</v>
      </c>
      <c r="D1883" s="0" t="s">
        <v>2598</v>
      </c>
    </row>
    <row r="1884" customFormat="false" ht="13.8" hidden="false" customHeight="false" outlineLevel="0" collapsed="false">
      <c r="A1884" s="0" t="s">
        <v>4212</v>
      </c>
      <c r="B1884" s="0" t="s">
        <v>4213</v>
      </c>
      <c r="C1884" s="0" t="s">
        <v>31</v>
      </c>
      <c r="D1884" s="0" t="s">
        <v>2072</v>
      </c>
    </row>
    <row r="1885" customFormat="false" ht="13.8" hidden="false" customHeight="false" outlineLevel="0" collapsed="false">
      <c r="A1885" s="0" t="s">
        <v>4214</v>
      </c>
      <c r="B1885" s="0" t="s">
        <v>4215</v>
      </c>
      <c r="C1885" s="0" t="s">
        <v>31</v>
      </c>
      <c r="D1885" s="0" t="s">
        <v>19</v>
      </c>
    </row>
    <row r="1886" customFormat="false" ht="13.8" hidden="false" customHeight="false" outlineLevel="0" collapsed="false">
      <c r="A1886" s="0" t="s">
        <v>4216</v>
      </c>
      <c r="B1886" s="0" t="s">
        <v>4217</v>
      </c>
      <c r="C1886" s="0" t="s">
        <v>31</v>
      </c>
      <c r="D1886" s="0" t="s">
        <v>3711</v>
      </c>
    </row>
    <row r="1887" customFormat="false" ht="13.8" hidden="false" customHeight="false" outlineLevel="0" collapsed="false">
      <c r="A1887" s="0" t="s">
        <v>4218</v>
      </c>
      <c r="B1887" s="0" t="s">
        <v>4219</v>
      </c>
      <c r="C1887" s="0" t="s">
        <v>31</v>
      </c>
      <c r="D1887" s="0" t="s">
        <v>3276</v>
      </c>
    </row>
    <row r="1888" customFormat="false" ht="13.8" hidden="false" customHeight="false" outlineLevel="0" collapsed="false">
      <c r="A1888" s="0" t="s">
        <v>4220</v>
      </c>
      <c r="B1888" s="0" t="s">
        <v>4061</v>
      </c>
      <c r="C1888" s="0" t="s">
        <v>31</v>
      </c>
      <c r="D1888" s="0" t="s">
        <v>1699</v>
      </c>
    </row>
    <row r="1889" customFormat="false" ht="13.8" hidden="false" customHeight="false" outlineLevel="0" collapsed="false">
      <c r="A1889" s="0" t="s">
        <v>4221</v>
      </c>
      <c r="B1889" s="0" t="s">
        <v>4222</v>
      </c>
      <c r="C1889" s="0" t="s">
        <v>31</v>
      </c>
      <c r="D1889" s="0" t="s">
        <v>413</v>
      </c>
    </row>
    <row r="1890" customFormat="false" ht="13.8" hidden="false" customHeight="false" outlineLevel="0" collapsed="false">
      <c r="A1890" s="0" t="s">
        <v>4223</v>
      </c>
      <c r="B1890" s="0" t="s">
        <v>4224</v>
      </c>
      <c r="C1890" s="0" t="s">
        <v>31</v>
      </c>
      <c r="D1890" s="0" t="s">
        <v>1572</v>
      </c>
    </row>
    <row r="1891" customFormat="false" ht="13.8" hidden="false" customHeight="false" outlineLevel="0" collapsed="false">
      <c r="A1891" s="0" t="s">
        <v>4225</v>
      </c>
      <c r="B1891" s="0" t="s">
        <v>4226</v>
      </c>
      <c r="C1891" s="0" t="s">
        <v>31</v>
      </c>
      <c r="D1891" s="0" t="s">
        <v>413</v>
      </c>
    </row>
    <row r="1892" customFormat="false" ht="13.8" hidden="false" customHeight="false" outlineLevel="0" collapsed="false">
      <c r="A1892" s="0" t="s">
        <v>4227</v>
      </c>
      <c r="B1892" s="0" t="s">
        <v>4228</v>
      </c>
      <c r="C1892" s="0" t="s">
        <v>31</v>
      </c>
      <c r="D1892" s="0" t="s">
        <v>1508</v>
      </c>
    </row>
    <row r="1893" customFormat="false" ht="13.8" hidden="false" customHeight="false" outlineLevel="0" collapsed="false">
      <c r="A1893" s="0" t="s">
        <v>4229</v>
      </c>
      <c r="B1893" s="0" t="s">
        <v>4230</v>
      </c>
      <c r="C1893" s="0" t="s">
        <v>31</v>
      </c>
      <c r="D1893" s="0" t="s">
        <v>4231</v>
      </c>
    </row>
    <row r="1894" customFormat="false" ht="13.8" hidden="false" customHeight="false" outlineLevel="0" collapsed="false">
      <c r="A1894" s="0" t="s">
        <v>4232</v>
      </c>
      <c r="B1894" s="0" t="s">
        <v>4233</v>
      </c>
      <c r="C1894" s="0" t="s">
        <v>31</v>
      </c>
      <c r="D1894" s="0" t="s">
        <v>69</v>
      </c>
    </row>
    <row r="1895" customFormat="false" ht="13.8" hidden="false" customHeight="false" outlineLevel="0" collapsed="false">
      <c r="A1895" s="0" t="s">
        <v>4234</v>
      </c>
      <c r="B1895" s="0" t="s">
        <v>4235</v>
      </c>
      <c r="C1895" s="0" t="s">
        <v>31</v>
      </c>
      <c r="D1895" s="0" t="s">
        <v>2552</v>
      </c>
    </row>
    <row r="1896" customFormat="false" ht="13.8" hidden="false" customHeight="false" outlineLevel="0" collapsed="false">
      <c r="A1896" s="0" t="s">
        <v>4236</v>
      </c>
      <c r="B1896" s="0" t="s">
        <v>4237</v>
      </c>
      <c r="C1896" s="0" t="s">
        <v>31</v>
      </c>
      <c r="D1896" s="0" t="s">
        <v>4238</v>
      </c>
    </row>
    <row r="1897" customFormat="false" ht="13.8" hidden="false" customHeight="false" outlineLevel="0" collapsed="false">
      <c r="A1897" s="0" t="s">
        <v>4239</v>
      </c>
      <c r="B1897" s="0" t="s">
        <v>4240</v>
      </c>
      <c r="C1897" s="0" t="s">
        <v>31</v>
      </c>
      <c r="D1897" s="0" t="s">
        <v>3711</v>
      </c>
    </row>
    <row r="1898" customFormat="false" ht="13.8" hidden="false" customHeight="false" outlineLevel="0" collapsed="false">
      <c r="A1898" s="0" t="s">
        <v>4241</v>
      </c>
      <c r="B1898" s="0" t="s">
        <v>4242</v>
      </c>
      <c r="C1898" s="0" t="s">
        <v>31</v>
      </c>
      <c r="D1898" s="0" t="s">
        <v>2678</v>
      </c>
    </row>
    <row r="1899" customFormat="false" ht="13.8" hidden="false" customHeight="false" outlineLevel="0" collapsed="false">
      <c r="A1899" s="0" t="s">
        <v>4243</v>
      </c>
      <c r="B1899" s="0" t="s">
        <v>4244</v>
      </c>
      <c r="C1899" s="0" t="s">
        <v>31</v>
      </c>
      <c r="D1899" s="0" t="s">
        <v>2871</v>
      </c>
    </row>
    <row r="1900" customFormat="false" ht="13.8" hidden="false" customHeight="false" outlineLevel="0" collapsed="false">
      <c r="A1900" s="0" t="s">
        <v>4245</v>
      </c>
      <c r="B1900" s="0" t="s">
        <v>4246</v>
      </c>
      <c r="C1900" s="0" t="s">
        <v>31</v>
      </c>
      <c r="D1900" s="0" t="s">
        <v>413</v>
      </c>
    </row>
    <row r="1901" customFormat="false" ht="13.8" hidden="false" customHeight="false" outlineLevel="0" collapsed="false">
      <c r="A1901" s="0" t="s">
        <v>4247</v>
      </c>
      <c r="B1901" s="0" t="s">
        <v>4248</v>
      </c>
      <c r="C1901" s="0" t="s">
        <v>31</v>
      </c>
      <c r="D1901" s="0" t="s">
        <v>3711</v>
      </c>
    </row>
    <row r="1902" customFormat="false" ht="13.8" hidden="false" customHeight="false" outlineLevel="0" collapsed="false">
      <c r="A1902" s="0" t="s">
        <v>4249</v>
      </c>
      <c r="B1902" s="0" t="s">
        <v>4250</v>
      </c>
      <c r="C1902" s="0" t="s">
        <v>31</v>
      </c>
      <c r="D1902" s="0" t="s">
        <v>2871</v>
      </c>
    </row>
    <row r="1903" customFormat="false" ht="13.8" hidden="false" customHeight="false" outlineLevel="0" collapsed="false">
      <c r="A1903" s="0" t="s">
        <v>4251</v>
      </c>
      <c r="B1903" s="0" t="s">
        <v>4252</v>
      </c>
      <c r="C1903" s="0" t="s">
        <v>31</v>
      </c>
      <c r="D1903" s="0" t="s">
        <v>413</v>
      </c>
    </row>
    <row r="1904" customFormat="false" ht="13.8" hidden="false" customHeight="false" outlineLevel="0" collapsed="false">
      <c r="A1904" s="0" t="s">
        <v>4253</v>
      </c>
      <c r="B1904" s="0" t="s">
        <v>4254</v>
      </c>
      <c r="C1904" s="0" t="s">
        <v>31</v>
      </c>
      <c r="D1904" s="0" t="s">
        <v>2072</v>
      </c>
    </row>
    <row r="1905" customFormat="false" ht="13.8" hidden="false" customHeight="false" outlineLevel="0" collapsed="false">
      <c r="A1905" s="0" t="s">
        <v>4255</v>
      </c>
      <c r="B1905" s="0" t="s">
        <v>4256</v>
      </c>
      <c r="C1905" s="0" t="s">
        <v>31</v>
      </c>
      <c r="D1905" s="0" t="s">
        <v>413</v>
      </c>
    </row>
    <row r="1906" customFormat="false" ht="13.8" hidden="false" customHeight="false" outlineLevel="0" collapsed="false">
      <c r="A1906" s="0" t="s">
        <v>4257</v>
      </c>
      <c r="B1906" s="0" t="s">
        <v>4258</v>
      </c>
      <c r="C1906" s="0" t="s">
        <v>31</v>
      </c>
      <c r="D1906" s="0" t="s">
        <v>1704</v>
      </c>
    </row>
    <row r="1907" customFormat="false" ht="13.8" hidden="false" customHeight="false" outlineLevel="0" collapsed="false">
      <c r="A1907" s="0" t="s">
        <v>4259</v>
      </c>
      <c r="B1907" s="0" t="s">
        <v>4260</v>
      </c>
      <c r="C1907" s="0" t="s">
        <v>31</v>
      </c>
      <c r="D1907" s="0" t="s">
        <v>1527</v>
      </c>
    </row>
    <row r="1908" customFormat="false" ht="13.8" hidden="false" customHeight="false" outlineLevel="0" collapsed="false">
      <c r="A1908" s="0" t="s">
        <v>4261</v>
      </c>
      <c r="B1908" s="0" t="s">
        <v>4262</v>
      </c>
      <c r="C1908" s="0" t="s">
        <v>31</v>
      </c>
      <c r="D1908" s="0" t="s">
        <v>2701</v>
      </c>
    </row>
    <row r="1909" customFormat="false" ht="13.8" hidden="false" customHeight="false" outlineLevel="0" collapsed="false">
      <c r="A1909" s="0" t="s">
        <v>4263</v>
      </c>
      <c r="B1909" s="0" t="s">
        <v>4264</v>
      </c>
      <c r="C1909" s="0" t="s">
        <v>31</v>
      </c>
      <c r="D1909" s="0" t="s">
        <v>2552</v>
      </c>
    </row>
    <row r="1910" customFormat="false" ht="13.8" hidden="false" customHeight="false" outlineLevel="0" collapsed="false">
      <c r="A1910" s="0" t="s">
        <v>4265</v>
      </c>
      <c r="B1910" s="0" t="s">
        <v>4266</v>
      </c>
      <c r="C1910" s="0" t="s">
        <v>31</v>
      </c>
      <c r="D1910" s="0" t="s">
        <v>2878</v>
      </c>
    </row>
    <row r="1911" customFormat="false" ht="13.8" hidden="false" customHeight="false" outlineLevel="0" collapsed="false">
      <c r="A1911" s="0" t="s">
        <v>4267</v>
      </c>
      <c r="B1911" s="0" t="s">
        <v>4268</v>
      </c>
      <c r="C1911" s="0" t="s">
        <v>31</v>
      </c>
      <c r="D1911" s="0" t="s">
        <v>3276</v>
      </c>
    </row>
    <row r="1912" customFormat="false" ht="13.8" hidden="false" customHeight="false" outlineLevel="0" collapsed="false">
      <c r="A1912" s="0" t="s">
        <v>4269</v>
      </c>
      <c r="B1912" s="0" t="s">
        <v>4270</v>
      </c>
      <c r="C1912" s="0" t="s">
        <v>31</v>
      </c>
      <c r="D1912" s="0" t="s">
        <v>1657</v>
      </c>
    </row>
    <row r="1913" customFormat="false" ht="13.8" hidden="false" customHeight="false" outlineLevel="0" collapsed="false">
      <c r="A1913" s="0" t="s">
        <v>4271</v>
      </c>
      <c r="B1913" s="0" t="s">
        <v>4272</v>
      </c>
      <c r="C1913" s="0" t="s">
        <v>31</v>
      </c>
      <c r="D1913" s="0" t="s">
        <v>3628</v>
      </c>
    </row>
    <row r="1914" customFormat="false" ht="13.8" hidden="false" customHeight="false" outlineLevel="0" collapsed="false">
      <c r="A1914" s="0" t="s">
        <v>4273</v>
      </c>
      <c r="B1914" s="0" t="s">
        <v>4274</v>
      </c>
      <c r="C1914" s="0" t="s">
        <v>31</v>
      </c>
      <c r="D1914" s="0" t="s">
        <v>413</v>
      </c>
    </row>
    <row r="1915" customFormat="false" ht="13.8" hidden="false" customHeight="false" outlineLevel="0" collapsed="false">
      <c r="A1915" s="0" t="s">
        <v>4275</v>
      </c>
      <c r="B1915" s="0" t="s">
        <v>4276</v>
      </c>
      <c r="C1915" s="0" t="s">
        <v>31</v>
      </c>
      <c r="D1915" s="0" t="s">
        <v>19</v>
      </c>
    </row>
    <row r="1916" customFormat="false" ht="13.8" hidden="false" customHeight="false" outlineLevel="0" collapsed="false">
      <c r="A1916" s="0" t="s">
        <v>4277</v>
      </c>
      <c r="B1916" s="0" t="s">
        <v>4278</v>
      </c>
      <c r="C1916" s="0" t="s">
        <v>31</v>
      </c>
      <c r="D1916" s="0" t="s">
        <v>1651</v>
      </c>
    </row>
    <row r="1917" customFormat="false" ht="13.8" hidden="false" customHeight="false" outlineLevel="0" collapsed="false">
      <c r="A1917" s="0" t="s">
        <v>4279</v>
      </c>
      <c r="B1917" s="0" t="s">
        <v>4280</v>
      </c>
      <c r="C1917" s="0" t="s">
        <v>31</v>
      </c>
      <c r="D1917" s="0" t="s">
        <v>2678</v>
      </c>
    </row>
    <row r="1918" customFormat="false" ht="13.8" hidden="false" customHeight="false" outlineLevel="0" collapsed="false">
      <c r="A1918" s="0" t="s">
        <v>4281</v>
      </c>
      <c r="B1918" s="0" t="s">
        <v>4282</v>
      </c>
      <c r="C1918" s="0" t="s">
        <v>31</v>
      </c>
      <c r="D1918" s="0" t="s">
        <v>1592</v>
      </c>
    </row>
    <row r="1919" customFormat="false" ht="13.8" hidden="false" customHeight="false" outlineLevel="0" collapsed="false">
      <c r="A1919" s="0" t="s">
        <v>4283</v>
      </c>
      <c r="B1919" s="0" t="s">
        <v>4284</v>
      </c>
      <c r="C1919" s="0" t="s">
        <v>31</v>
      </c>
      <c r="D1919" s="0" t="s">
        <v>69</v>
      </c>
    </row>
    <row r="1920" customFormat="false" ht="13.8" hidden="false" customHeight="false" outlineLevel="0" collapsed="false">
      <c r="A1920" s="0" t="s">
        <v>4285</v>
      </c>
      <c r="B1920" s="0" t="s">
        <v>4286</v>
      </c>
      <c r="C1920" s="0" t="s">
        <v>31</v>
      </c>
      <c r="D1920" s="0" t="s">
        <v>69</v>
      </c>
    </row>
    <row r="1921" customFormat="false" ht="13.8" hidden="false" customHeight="false" outlineLevel="0" collapsed="false">
      <c r="A1921" s="0" t="s">
        <v>4287</v>
      </c>
      <c r="B1921" s="0" t="s">
        <v>4288</v>
      </c>
      <c r="C1921" s="0" t="s">
        <v>31</v>
      </c>
      <c r="D1921" s="0" t="s">
        <v>3276</v>
      </c>
    </row>
    <row r="1922" customFormat="false" ht="13.8" hidden="false" customHeight="false" outlineLevel="0" collapsed="false">
      <c r="A1922" s="0" t="s">
        <v>4289</v>
      </c>
      <c r="B1922" s="0" t="s">
        <v>4290</v>
      </c>
      <c r="C1922" s="0" t="s">
        <v>31</v>
      </c>
      <c r="D1922" s="0" t="s">
        <v>1704</v>
      </c>
    </row>
    <row r="1923" customFormat="false" ht="13.8" hidden="false" customHeight="false" outlineLevel="0" collapsed="false">
      <c r="A1923" s="0" t="s">
        <v>4291</v>
      </c>
      <c r="B1923" s="0" t="s">
        <v>4292</v>
      </c>
      <c r="C1923" s="0" t="s">
        <v>31</v>
      </c>
      <c r="D1923" s="0" t="s">
        <v>19</v>
      </c>
    </row>
    <row r="1924" customFormat="false" ht="13.8" hidden="false" customHeight="false" outlineLevel="0" collapsed="false">
      <c r="A1924" s="0" t="s">
        <v>4293</v>
      </c>
      <c r="B1924" s="0" t="s">
        <v>4294</v>
      </c>
      <c r="C1924" s="0" t="s">
        <v>31</v>
      </c>
      <c r="D1924" s="0" t="s">
        <v>413</v>
      </c>
    </row>
    <row r="1925" customFormat="false" ht="13.8" hidden="false" customHeight="false" outlineLevel="0" collapsed="false">
      <c r="A1925" s="0" t="s">
        <v>4295</v>
      </c>
      <c r="B1925" s="0" t="s">
        <v>4296</v>
      </c>
      <c r="C1925" s="0" t="s">
        <v>31</v>
      </c>
      <c r="D1925" s="0" t="s">
        <v>1540</v>
      </c>
    </row>
    <row r="1926" customFormat="false" ht="13.8" hidden="false" customHeight="false" outlineLevel="0" collapsed="false">
      <c r="A1926" s="0" t="s">
        <v>4297</v>
      </c>
      <c r="B1926" s="0" t="s">
        <v>4298</v>
      </c>
      <c r="C1926" s="0" t="s">
        <v>31</v>
      </c>
      <c r="D1926" s="0" t="s">
        <v>19</v>
      </c>
    </row>
    <row r="1927" customFormat="false" ht="13.8" hidden="false" customHeight="false" outlineLevel="0" collapsed="false">
      <c r="A1927" s="0" t="s">
        <v>4299</v>
      </c>
      <c r="B1927" s="0" t="s">
        <v>4300</v>
      </c>
      <c r="C1927" s="0" t="s">
        <v>31</v>
      </c>
      <c r="D1927" s="0" t="s">
        <v>413</v>
      </c>
    </row>
    <row r="1928" customFormat="false" ht="13.8" hidden="false" customHeight="false" outlineLevel="0" collapsed="false">
      <c r="A1928" s="0" t="s">
        <v>4301</v>
      </c>
      <c r="B1928" s="0" t="s">
        <v>4302</v>
      </c>
      <c r="C1928" s="0" t="s">
        <v>31</v>
      </c>
      <c r="D1928" s="0" t="s">
        <v>3711</v>
      </c>
    </row>
    <row r="1929" customFormat="false" ht="13.8" hidden="false" customHeight="false" outlineLevel="0" collapsed="false">
      <c r="A1929" s="0" t="s">
        <v>4303</v>
      </c>
      <c r="B1929" s="0" t="s">
        <v>4304</v>
      </c>
      <c r="C1929" s="0" t="s">
        <v>31</v>
      </c>
      <c r="D1929" s="0" t="s">
        <v>2364</v>
      </c>
    </row>
    <row r="1930" customFormat="false" ht="13.8" hidden="false" customHeight="false" outlineLevel="0" collapsed="false">
      <c r="A1930" s="0" t="s">
        <v>4305</v>
      </c>
      <c r="B1930" s="0" t="s">
        <v>4306</v>
      </c>
      <c r="C1930" s="0" t="s">
        <v>31</v>
      </c>
      <c r="D1930" s="0" t="s">
        <v>413</v>
      </c>
    </row>
    <row r="1931" customFormat="false" ht="13.8" hidden="false" customHeight="false" outlineLevel="0" collapsed="false">
      <c r="A1931" s="0" t="s">
        <v>4307</v>
      </c>
      <c r="B1931" s="0" t="s">
        <v>4308</v>
      </c>
      <c r="C1931" s="0" t="s">
        <v>31</v>
      </c>
      <c r="D1931" s="0" t="s">
        <v>413</v>
      </c>
    </row>
    <row r="1932" customFormat="false" ht="13.8" hidden="false" customHeight="false" outlineLevel="0" collapsed="false">
      <c r="A1932" s="0" t="s">
        <v>4309</v>
      </c>
      <c r="B1932" s="0" t="s">
        <v>4310</v>
      </c>
      <c r="C1932" s="0" t="s">
        <v>31</v>
      </c>
      <c r="D1932" s="0" t="s">
        <v>1651</v>
      </c>
    </row>
    <row r="1933" customFormat="false" ht="13.8" hidden="false" customHeight="false" outlineLevel="0" collapsed="false">
      <c r="A1933" s="0" t="s">
        <v>4311</v>
      </c>
      <c r="B1933" s="0" t="s">
        <v>4312</v>
      </c>
      <c r="C1933" s="0" t="s">
        <v>31</v>
      </c>
      <c r="D1933" s="0" t="s">
        <v>2871</v>
      </c>
    </row>
    <row r="1934" customFormat="false" ht="13.8" hidden="false" customHeight="false" outlineLevel="0" collapsed="false">
      <c r="A1934" s="0" t="s">
        <v>4313</v>
      </c>
      <c r="B1934" s="0" t="s">
        <v>4314</v>
      </c>
      <c r="C1934" s="0" t="s">
        <v>31</v>
      </c>
      <c r="D1934" s="0" t="s">
        <v>69</v>
      </c>
    </row>
    <row r="1935" customFormat="false" ht="13.8" hidden="false" customHeight="false" outlineLevel="0" collapsed="false">
      <c r="A1935" s="0" t="s">
        <v>4315</v>
      </c>
      <c r="B1935" s="0" t="s">
        <v>4316</v>
      </c>
      <c r="C1935" s="0" t="s">
        <v>31</v>
      </c>
      <c r="D1935" s="0" t="s">
        <v>1657</v>
      </c>
    </row>
    <row r="1936" customFormat="false" ht="13.8" hidden="false" customHeight="false" outlineLevel="0" collapsed="false">
      <c r="A1936" s="0" t="s">
        <v>4317</v>
      </c>
      <c r="B1936" s="0" t="s">
        <v>4318</v>
      </c>
      <c r="C1936" s="0" t="s">
        <v>31</v>
      </c>
      <c r="D1936" s="0" t="s">
        <v>2871</v>
      </c>
    </row>
    <row r="1937" customFormat="false" ht="13.8" hidden="false" customHeight="false" outlineLevel="0" collapsed="false">
      <c r="A1937" s="0" t="s">
        <v>4319</v>
      </c>
      <c r="B1937" s="0" t="s">
        <v>4320</v>
      </c>
      <c r="C1937" s="0" t="s">
        <v>31</v>
      </c>
      <c r="D1937" s="0" t="s">
        <v>2356</v>
      </c>
    </row>
    <row r="1938" customFormat="false" ht="13.8" hidden="false" customHeight="false" outlineLevel="0" collapsed="false">
      <c r="A1938" s="0" t="s">
        <v>4321</v>
      </c>
      <c r="B1938" s="0" t="s">
        <v>4322</v>
      </c>
      <c r="C1938" s="0" t="s">
        <v>31</v>
      </c>
      <c r="D1938" s="0" t="s">
        <v>1527</v>
      </c>
    </row>
    <row r="1939" customFormat="false" ht="13.8" hidden="false" customHeight="false" outlineLevel="0" collapsed="false">
      <c r="A1939" s="0" t="s">
        <v>4323</v>
      </c>
      <c r="B1939" s="0" t="s">
        <v>4324</v>
      </c>
      <c r="C1939" s="0" t="s">
        <v>31</v>
      </c>
      <c r="D1939" s="0" t="s">
        <v>19</v>
      </c>
    </row>
    <row r="1940" customFormat="false" ht="13.8" hidden="false" customHeight="false" outlineLevel="0" collapsed="false">
      <c r="A1940" s="0" t="s">
        <v>4325</v>
      </c>
      <c r="B1940" s="0" t="s">
        <v>4326</v>
      </c>
      <c r="C1940" s="0" t="s">
        <v>31</v>
      </c>
      <c r="D1940" s="0" t="s">
        <v>2072</v>
      </c>
    </row>
    <row r="1941" customFormat="false" ht="13.8" hidden="false" customHeight="false" outlineLevel="0" collapsed="false">
      <c r="A1941" s="0" t="s">
        <v>4327</v>
      </c>
      <c r="B1941" s="0" t="s">
        <v>4328</v>
      </c>
      <c r="C1941" s="0" t="s">
        <v>31</v>
      </c>
      <c r="D1941" s="0" t="s">
        <v>1651</v>
      </c>
    </row>
    <row r="1942" customFormat="false" ht="13.8" hidden="false" customHeight="false" outlineLevel="0" collapsed="false">
      <c r="A1942" s="0" t="s">
        <v>4329</v>
      </c>
      <c r="B1942" s="0" t="s">
        <v>4330</v>
      </c>
      <c r="C1942" s="0" t="s">
        <v>31</v>
      </c>
      <c r="D1942" s="0" t="s">
        <v>3674</v>
      </c>
    </row>
    <row r="1943" customFormat="false" ht="13.8" hidden="false" customHeight="false" outlineLevel="0" collapsed="false">
      <c r="A1943" s="0" t="s">
        <v>4331</v>
      </c>
      <c r="B1943" s="0" t="s">
        <v>4332</v>
      </c>
      <c r="C1943" s="0" t="s">
        <v>31</v>
      </c>
      <c r="D1943" s="0" t="s">
        <v>4333</v>
      </c>
    </row>
    <row r="1944" customFormat="false" ht="13.8" hidden="false" customHeight="false" outlineLevel="0" collapsed="false">
      <c r="A1944" s="0" t="s">
        <v>4334</v>
      </c>
      <c r="B1944" s="0" t="s">
        <v>4335</v>
      </c>
      <c r="C1944" s="0" t="s">
        <v>31</v>
      </c>
      <c r="D1944" s="0" t="s">
        <v>1924</v>
      </c>
    </row>
    <row r="1945" customFormat="false" ht="13.8" hidden="false" customHeight="false" outlineLevel="0" collapsed="false">
      <c r="A1945" s="0" t="s">
        <v>4336</v>
      </c>
      <c r="B1945" s="0" t="s">
        <v>4337</v>
      </c>
      <c r="C1945" s="0" t="s">
        <v>31</v>
      </c>
      <c r="D1945" s="0" t="s">
        <v>1540</v>
      </c>
    </row>
    <row r="1946" customFormat="false" ht="13.8" hidden="false" customHeight="false" outlineLevel="0" collapsed="false">
      <c r="A1946" s="0" t="s">
        <v>4338</v>
      </c>
      <c r="B1946" s="0" t="s">
        <v>4339</v>
      </c>
      <c r="C1946" s="0" t="s">
        <v>31</v>
      </c>
      <c r="D1946" s="0" t="s">
        <v>1737</v>
      </c>
    </row>
    <row r="1947" customFormat="false" ht="13.8" hidden="false" customHeight="false" outlineLevel="0" collapsed="false">
      <c r="A1947" s="0" t="s">
        <v>4340</v>
      </c>
      <c r="B1947" s="0" t="s">
        <v>595</v>
      </c>
      <c r="C1947" s="0" t="s">
        <v>31</v>
      </c>
      <c r="D1947" s="0" t="s">
        <v>413</v>
      </c>
    </row>
    <row r="1948" customFormat="false" ht="13.8" hidden="false" customHeight="false" outlineLevel="0" collapsed="false">
      <c r="A1948" s="0" t="s">
        <v>4341</v>
      </c>
      <c r="B1948" s="0" t="s">
        <v>4342</v>
      </c>
      <c r="C1948" s="0" t="s">
        <v>31</v>
      </c>
      <c r="D1948" s="0" t="s">
        <v>19</v>
      </c>
    </row>
    <row r="1949" customFormat="false" ht="13.8" hidden="false" customHeight="false" outlineLevel="0" collapsed="false">
      <c r="A1949" s="0" t="s">
        <v>4343</v>
      </c>
      <c r="B1949" s="0" t="s">
        <v>4344</v>
      </c>
      <c r="C1949" s="0" t="s">
        <v>31</v>
      </c>
      <c r="D1949" s="0" t="s">
        <v>1651</v>
      </c>
    </row>
    <row r="1950" customFormat="false" ht="13.8" hidden="false" customHeight="false" outlineLevel="0" collapsed="false">
      <c r="A1950" s="0" t="s">
        <v>4345</v>
      </c>
      <c r="B1950" s="0" t="s">
        <v>4346</v>
      </c>
      <c r="C1950" s="0" t="s">
        <v>31</v>
      </c>
      <c r="D1950" s="0" t="s">
        <v>413</v>
      </c>
    </row>
    <row r="1951" customFormat="false" ht="13.8" hidden="false" customHeight="false" outlineLevel="0" collapsed="false">
      <c r="A1951" s="0" t="s">
        <v>4347</v>
      </c>
      <c r="B1951" s="0" t="s">
        <v>4348</v>
      </c>
      <c r="C1951" s="0" t="s">
        <v>31</v>
      </c>
      <c r="D1951" s="0" t="s">
        <v>1704</v>
      </c>
    </row>
    <row r="1952" customFormat="false" ht="13.8" hidden="false" customHeight="false" outlineLevel="0" collapsed="false">
      <c r="A1952" s="0" t="s">
        <v>4349</v>
      </c>
      <c r="B1952" s="0" t="s">
        <v>4350</v>
      </c>
      <c r="C1952" s="0" t="s">
        <v>31</v>
      </c>
      <c r="D1952" s="0" t="s">
        <v>1704</v>
      </c>
    </row>
    <row r="1953" customFormat="false" ht="13.8" hidden="false" customHeight="false" outlineLevel="0" collapsed="false">
      <c r="A1953" s="0" t="s">
        <v>4351</v>
      </c>
      <c r="B1953" s="0" t="s">
        <v>4352</v>
      </c>
      <c r="C1953" s="0" t="s">
        <v>31</v>
      </c>
      <c r="D1953" s="0" t="s">
        <v>1651</v>
      </c>
    </row>
    <row r="1954" customFormat="false" ht="13.8" hidden="false" customHeight="false" outlineLevel="0" collapsed="false">
      <c r="A1954" s="0" t="s">
        <v>4353</v>
      </c>
      <c r="B1954" s="0" t="s">
        <v>4354</v>
      </c>
      <c r="C1954" s="0" t="s">
        <v>31</v>
      </c>
      <c r="D1954" s="0" t="s">
        <v>2871</v>
      </c>
    </row>
    <row r="1955" customFormat="false" ht="13.8" hidden="false" customHeight="false" outlineLevel="0" collapsed="false">
      <c r="A1955" s="0" t="s">
        <v>4355</v>
      </c>
      <c r="B1955" s="0" t="s">
        <v>4356</v>
      </c>
      <c r="C1955" s="0" t="s">
        <v>31</v>
      </c>
      <c r="D1955" s="0" t="s">
        <v>413</v>
      </c>
    </row>
    <row r="1956" customFormat="false" ht="13.8" hidden="false" customHeight="false" outlineLevel="0" collapsed="false">
      <c r="A1956" s="0" t="s">
        <v>4357</v>
      </c>
      <c r="B1956" s="0" t="s">
        <v>4358</v>
      </c>
      <c r="C1956" s="0" t="s">
        <v>31</v>
      </c>
      <c r="D1956" s="0" t="s">
        <v>3020</v>
      </c>
    </row>
    <row r="1957" customFormat="false" ht="13.8" hidden="false" customHeight="false" outlineLevel="0" collapsed="false">
      <c r="A1957" s="0" t="s">
        <v>4359</v>
      </c>
      <c r="B1957" s="0" t="s">
        <v>4360</v>
      </c>
      <c r="C1957" s="0" t="s">
        <v>31</v>
      </c>
      <c r="D1957" s="0" t="s">
        <v>1592</v>
      </c>
    </row>
    <row r="1958" customFormat="false" ht="13.8" hidden="false" customHeight="false" outlineLevel="0" collapsed="false">
      <c r="A1958" s="0" t="s">
        <v>4361</v>
      </c>
      <c r="B1958" s="0" t="s">
        <v>4362</v>
      </c>
      <c r="C1958" s="0" t="s">
        <v>31</v>
      </c>
      <c r="D1958" s="0" t="s">
        <v>69</v>
      </c>
    </row>
    <row r="1959" customFormat="false" ht="13.8" hidden="false" customHeight="false" outlineLevel="0" collapsed="false">
      <c r="A1959" s="0" t="s">
        <v>4363</v>
      </c>
      <c r="B1959" s="0" t="s">
        <v>4364</v>
      </c>
      <c r="C1959" s="0" t="s">
        <v>31</v>
      </c>
      <c r="D1959" s="0" t="s">
        <v>19</v>
      </c>
    </row>
    <row r="1960" customFormat="false" ht="13.8" hidden="false" customHeight="false" outlineLevel="0" collapsed="false">
      <c r="A1960" s="0" t="s">
        <v>4365</v>
      </c>
      <c r="B1960" s="0" t="s">
        <v>4366</v>
      </c>
      <c r="C1960" s="0" t="s">
        <v>31</v>
      </c>
      <c r="D1960" s="0" t="s">
        <v>2072</v>
      </c>
    </row>
    <row r="1961" customFormat="false" ht="13.8" hidden="false" customHeight="false" outlineLevel="0" collapsed="false">
      <c r="A1961" s="0" t="s">
        <v>4367</v>
      </c>
      <c r="B1961" s="0" t="s">
        <v>4368</v>
      </c>
      <c r="C1961" s="0" t="s">
        <v>31</v>
      </c>
      <c r="D1961" s="0" t="s">
        <v>2072</v>
      </c>
    </row>
    <row r="1962" customFormat="false" ht="13.8" hidden="false" customHeight="false" outlineLevel="0" collapsed="false">
      <c r="A1962" s="0" t="s">
        <v>4369</v>
      </c>
      <c r="B1962" s="0" t="s">
        <v>4370</v>
      </c>
      <c r="C1962" s="0" t="s">
        <v>31</v>
      </c>
      <c r="D1962" s="0" t="s">
        <v>3523</v>
      </c>
    </row>
    <row r="1963" customFormat="false" ht="13.8" hidden="false" customHeight="false" outlineLevel="0" collapsed="false">
      <c r="A1963" s="0" t="s">
        <v>4371</v>
      </c>
      <c r="B1963" s="0" t="s">
        <v>4372</v>
      </c>
      <c r="C1963" s="0" t="s">
        <v>31</v>
      </c>
      <c r="D1963" s="0" t="s">
        <v>1957</v>
      </c>
    </row>
    <row r="1964" customFormat="false" ht="13.8" hidden="false" customHeight="false" outlineLevel="0" collapsed="false">
      <c r="A1964" s="0" t="s">
        <v>4373</v>
      </c>
      <c r="B1964" s="0" t="s">
        <v>4374</v>
      </c>
      <c r="C1964" s="0" t="s">
        <v>31</v>
      </c>
      <c r="D1964" s="0" t="s">
        <v>19</v>
      </c>
    </row>
    <row r="1965" customFormat="false" ht="13.8" hidden="false" customHeight="false" outlineLevel="0" collapsed="false">
      <c r="A1965" s="0" t="s">
        <v>4376</v>
      </c>
      <c r="B1965" s="0" t="s">
        <v>4377</v>
      </c>
      <c r="C1965" s="0" t="s">
        <v>31</v>
      </c>
      <c r="D1965" s="0" t="s">
        <v>2492</v>
      </c>
    </row>
    <row r="1966" customFormat="false" ht="13.8" hidden="false" customHeight="false" outlineLevel="0" collapsed="false">
      <c r="A1966" s="0" t="s">
        <v>4378</v>
      </c>
      <c r="B1966" s="0" t="s">
        <v>4379</v>
      </c>
      <c r="C1966" s="0" t="s">
        <v>31</v>
      </c>
      <c r="D1966" s="0" t="s">
        <v>1540</v>
      </c>
    </row>
    <row r="1967" customFormat="false" ht="13.8" hidden="false" customHeight="false" outlineLevel="0" collapsed="false">
      <c r="A1967" s="0" t="s">
        <v>4380</v>
      </c>
      <c r="B1967" s="0" t="s">
        <v>4381</v>
      </c>
      <c r="C1967" s="0" t="s">
        <v>31</v>
      </c>
      <c r="D1967" s="0" t="s">
        <v>413</v>
      </c>
    </row>
    <row r="1968" customFormat="false" ht="13.8" hidden="false" customHeight="false" outlineLevel="0" collapsed="false">
      <c r="A1968" s="0" t="s">
        <v>4382</v>
      </c>
      <c r="B1968" s="0" t="s">
        <v>4383</v>
      </c>
      <c r="C1968" s="0" t="s">
        <v>31</v>
      </c>
      <c r="D1968" s="0" t="s">
        <v>2701</v>
      </c>
    </row>
    <row r="1969" customFormat="false" ht="13.8" hidden="false" customHeight="false" outlineLevel="0" collapsed="false">
      <c r="A1969" s="0" t="s">
        <v>4384</v>
      </c>
      <c r="B1969" s="0" t="s">
        <v>4385</v>
      </c>
      <c r="C1969" s="0" t="s">
        <v>31</v>
      </c>
      <c r="D1969" s="0" t="s">
        <v>1704</v>
      </c>
    </row>
    <row r="1970" customFormat="false" ht="13.8" hidden="false" customHeight="false" outlineLevel="0" collapsed="false">
      <c r="A1970" s="0" t="s">
        <v>4386</v>
      </c>
      <c r="B1970" s="0" t="s">
        <v>4387</v>
      </c>
      <c r="C1970" s="0" t="s">
        <v>31</v>
      </c>
      <c r="D1970" s="0" t="s">
        <v>2871</v>
      </c>
    </row>
    <row r="1971" customFormat="false" ht="13.8" hidden="false" customHeight="false" outlineLevel="0" collapsed="false">
      <c r="A1971" s="0" t="s">
        <v>4388</v>
      </c>
      <c r="B1971" s="0" t="s">
        <v>4389</v>
      </c>
      <c r="C1971" s="0" t="s">
        <v>31</v>
      </c>
      <c r="D1971" s="0" t="s">
        <v>1957</v>
      </c>
    </row>
    <row r="1972" customFormat="false" ht="13.8" hidden="false" customHeight="false" outlineLevel="0" collapsed="false">
      <c r="A1972" s="0" t="s">
        <v>4390</v>
      </c>
      <c r="B1972" s="0" t="s">
        <v>4391</v>
      </c>
      <c r="C1972" s="0" t="s">
        <v>31</v>
      </c>
      <c r="D1972" s="0" t="s">
        <v>2878</v>
      </c>
    </row>
    <row r="1973" customFormat="false" ht="13.8" hidden="false" customHeight="false" outlineLevel="0" collapsed="false">
      <c r="A1973" s="0" t="s">
        <v>4392</v>
      </c>
      <c r="B1973" s="0" t="s">
        <v>4393</v>
      </c>
      <c r="C1973" s="0" t="s">
        <v>31</v>
      </c>
      <c r="D1973" s="0" t="s">
        <v>3711</v>
      </c>
    </row>
    <row r="1974" customFormat="false" ht="13.8" hidden="false" customHeight="false" outlineLevel="0" collapsed="false">
      <c r="A1974" s="0" t="s">
        <v>4394</v>
      </c>
      <c r="B1974" s="0" t="s">
        <v>4395</v>
      </c>
      <c r="C1974" s="0" t="s">
        <v>31</v>
      </c>
      <c r="D1974" s="0" t="s">
        <v>1957</v>
      </c>
    </row>
    <row r="1975" customFormat="false" ht="13.8" hidden="false" customHeight="false" outlineLevel="0" collapsed="false">
      <c r="A1975" s="0" t="s">
        <v>4396</v>
      </c>
      <c r="B1975" s="0" t="s">
        <v>4397</v>
      </c>
      <c r="C1975" s="0" t="s">
        <v>31</v>
      </c>
      <c r="D1975" s="0" t="s">
        <v>413</v>
      </c>
    </row>
    <row r="1976" customFormat="false" ht="13.8" hidden="false" customHeight="false" outlineLevel="0" collapsed="false">
      <c r="A1976" s="0" t="s">
        <v>4398</v>
      </c>
      <c r="B1976" s="0" t="s">
        <v>4399</v>
      </c>
      <c r="C1976" s="0" t="s">
        <v>31</v>
      </c>
      <c r="D1976" s="0" t="s">
        <v>19</v>
      </c>
    </row>
    <row r="1977" customFormat="false" ht="13.8" hidden="false" customHeight="false" outlineLevel="0" collapsed="false">
      <c r="A1977" s="0" t="s">
        <v>4400</v>
      </c>
      <c r="B1977" s="0" t="s">
        <v>4401</v>
      </c>
      <c r="C1977" s="0" t="s">
        <v>31</v>
      </c>
      <c r="D1977" s="0" t="s">
        <v>19</v>
      </c>
    </row>
    <row r="1978" customFormat="false" ht="13.8" hidden="false" customHeight="false" outlineLevel="0" collapsed="false">
      <c r="A1978" s="0" t="s">
        <v>4402</v>
      </c>
      <c r="B1978" s="0" t="s">
        <v>4403</v>
      </c>
      <c r="C1978" s="0" t="s">
        <v>31</v>
      </c>
      <c r="D1978" s="0" t="s">
        <v>1957</v>
      </c>
    </row>
    <row r="1979" customFormat="false" ht="13.8" hidden="false" customHeight="false" outlineLevel="0" collapsed="false">
      <c r="A1979" s="0" t="s">
        <v>4404</v>
      </c>
      <c r="B1979" s="0" t="s">
        <v>4405</v>
      </c>
      <c r="C1979" s="0" t="s">
        <v>31</v>
      </c>
      <c r="D1979" s="0" t="s">
        <v>3469</v>
      </c>
    </row>
    <row r="1980" customFormat="false" ht="13.8" hidden="false" customHeight="false" outlineLevel="0" collapsed="false">
      <c r="A1980" s="0" t="s">
        <v>4406</v>
      </c>
      <c r="B1980" s="0" t="s">
        <v>4407</v>
      </c>
      <c r="C1980" s="0" t="s">
        <v>31</v>
      </c>
      <c r="D1980" s="0" t="s">
        <v>3711</v>
      </c>
    </row>
    <row r="1981" customFormat="false" ht="13.8" hidden="false" customHeight="false" outlineLevel="0" collapsed="false">
      <c r="A1981" s="0" t="s">
        <v>4408</v>
      </c>
      <c r="B1981" s="0" t="s">
        <v>4409</v>
      </c>
      <c r="C1981" s="0" t="s">
        <v>31</v>
      </c>
      <c r="D1981" s="0" t="s">
        <v>413</v>
      </c>
    </row>
    <row r="1982" customFormat="false" ht="13.8" hidden="false" customHeight="false" outlineLevel="0" collapsed="false">
      <c r="A1982" s="0" t="s">
        <v>4410</v>
      </c>
      <c r="B1982" s="0" t="s">
        <v>4411</v>
      </c>
      <c r="C1982" s="0" t="s">
        <v>31</v>
      </c>
      <c r="D1982" s="0" t="s">
        <v>2072</v>
      </c>
    </row>
    <row r="1983" customFormat="false" ht="13.8" hidden="false" customHeight="false" outlineLevel="0" collapsed="false">
      <c r="A1983" s="0" t="s">
        <v>4412</v>
      </c>
      <c r="B1983" s="0" t="s">
        <v>4413</v>
      </c>
      <c r="C1983" s="0" t="s">
        <v>31</v>
      </c>
      <c r="D1983" s="0" t="s">
        <v>1508</v>
      </c>
    </row>
    <row r="1984" customFormat="false" ht="13.8" hidden="false" customHeight="false" outlineLevel="0" collapsed="false">
      <c r="A1984" s="0" t="s">
        <v>4414</v>
      </c>
      <c r="B1984" s="0" t="s">
        <v>4415</v>
      </c>
      <c r="C1984" s="0" t="s">
        <v>31</v>
      </c>
      <c r="D1984" s="0" t="s">
        <v>2356</v>
      </c>
    </row>
    <row r="1985" customFormat="false" ht="13.8" hidden="false" customHeight="false" outlineLevel="0" collapsed="false">
      <c r="A1985" s="0" t="s">
        <v>4416</v>
      </c>
      <c r="B1985" s="0" t="s">
        <v>4417</v>
      </c>
      <c r="C1985" s="0" t="s">
        <v>31</v>
      </c>
      <c r="D1985" s="0" t="s">
        <v>16</v>
      </c>
    </row>
    <row r="1986" customFormat="false" ht="13.8" hidden="false" customHeight="false" outlineLevel="0" collapsed="false">
      <c r="A1986" s="0" t="s">
        <v>4418</v>
      </c>
      <c r="B1986" s="0" t="s">
        <v>2318</v>
      </c>
      <c r="C1986" s="0" t="s">
        <v>31</v>
      </c>
      <c r="D1986" s="0" t="s">
        <v>19</v>
      </c>
    </row>
    <row r="1987" customFormat="false" ht="13.8" hidden="false" customHeight="false" outlineLevel="0" collapsed="false">
      <c r="A1987" s="0" t="s">
        <v>4419</v>
      </c>
      <c r="B1987" s="0" t="s">
        <v>4420</v>
      </c>
      <c r="C1987" s="0" t="s">
        <v>31</v>
      </c>
      <c r="D1987" s="0" t="s">
        <v>413</v>
      </c>
    </row>
    <row r="1988" customFormat="false" ht="13.8" hidden="false" customHeight="false" outlineLevel="0" collapsed="false">
      <c r="A1988" s="0" t="s">
        <v>4421</v>
      </c>
      <c r="B1988" s="0" t="s">
        <v>4422</v>
      </c>
      <c r="C1988" s="0" t="s">
        <v>31</v>
      </c>
      <c r="D1988" s="0" t="s">
        <v>2739</v>
      </c>
    </row>
    <row r="1989" customFormat="false" ht="13.8" hidden="false" customHeight="false" outlineLevel="0" collapsed="false">
      <c r="A1989" s="0" t="s">
        <v>4423</v>
      </c>
      <c r="B1989" s="0" t="s">
        <v>4424</v>
      </c>
      <c r="C1989" s="0" t="s">
        <v>31</v>
      </c>
      <c r="D1989" s="0" t="s">
        <v>2871</v>
      </c>
    </row>
    <row r="1990" customFormat="false" ht="13.8" hidden="false" customHeight="false" outlineLevel="0" collapsed="false">
      <c r="A1990" s="0" t="s">
        <v>4425</v>
      </c>
      <c r="B1990" s="0" t="s">
        <v>4426</v>
      </c>
      <c r="C1990" s="0" t="s">
        <v>31</v>
      </c>
      <c r="D1990" s="0" t="s">
        <v>1699</v>
      </c>
    </row>
    <row r="1991" customFormat="false" ht="13.8" hidden="false" customHeight="false" outlineLevel="0" collapsed="false">
      <c r="A1991" s="0" t="s">
        <v>4427</v>
      </c>
      <c r="B1991" s="0" t="s">
        <v>4428</v>
      </c>
      <c r="C1991" s="0" t="s">
        <v>31</v>
      </c>
      <c r="D1991" s="0" t="s">
        <v>1957</v>
      </c>
    </row>
    <row r="1992" customFormat="false" ht="13.8" hidden="false" customHeight="false" outlineLevel="0" collapsed="false">
      <c r="A1992" s="0" t="s">
        <v>4429</v>
      </c>
      <c r="B1992" s="0" t="s">
        <v>4430</v>
      </c>
      <c r="C1992" s="0" t="s">
        <v>31</v>
      </c>
      <c r="D1992" s="0" t="s">
        <v>3711</v>
      </c>
    </row>
    <row r="1993" customFormat="false" ht="13.8" hidden="false" customHeight="false" outlineLevel="0" collapsed="false">
      <c r="A1993" s="0" t="s">
        <v>4431</v>
      </c>
      <c r="B1993" s="0" t="s">
        <v>4432</v>
      </c>
      <c r="C1993" s="0" t="s">
        <v>31</v>
      </c>
      <c r="D1993" s="0" t="s">
        <v>2356</v>
      </c>
    </row>
    <row r="1994" customFormat="false" ht="13.8" hidden="false" customHeight="false" outlineLevel="0" collapsed="false">
      <c r="A1994" s="0" t="s">
        <v>4433</v>
      </c>
      <c r="B1994" s="0" t="s">
        <v>4434</v>
      </c>
      <c r="C1994" s="0" t="s">
        <v>31</v>
      </c>
      <c r="D1994" s="0" t="s">
        <v>3711</v>
      </c>
    </row>
    <row r="1995" customFormat="false" ht="13.8" hidden="false" customHeight="false" outlineLevel="0" collapsed="false">
      <c r="A1995" s="0" t="s">
        <v>4435</v>
      </c>
      <c r="B1995" s="0" t="s">
        <v>4420</v>
      </c>
      <c r="C1995" s="0" t="s">
        <v>31</v>
      </c>
      <c r="D1995" s="0" t="s">
        <v>413</v>
      </c>
    </row>
    <row r="1996" customFormat="false" ht="13.8" hidden="false" customHeight="false" outlineLevel="0" collapsed="false">
      <c r="A1996" s="0" t="s">
        <v>4436</v>
      </c>
      <c r="B1996" s="0" t="s">
        <v>4437</v>
      </c>
      <c r="C1996" s="0" t="s">
        <v>31</v>
      </c>
      <c r="D1996" s="0" t="s">
        <v>19</v>
      </c>
    </row>
    <row r="1997" customFormat="false" ht="13.8" hidden="false" customHeight="false" outlineLevel="0" collapsed="false">
      <c r="A1997" s="0" t="s">
        <v>4438</v>
      </c>
      <c r="B1997" s="0" t="s">
        <v>4439</v>
      </c>
      <c r="C1997" s="0" t="s">
        <v>31</v>
      </c>
      <c r="D1997" s="0" t="s">
        <v>1704</v>
      </c>
    </row>
    <row r="1998" customFormat="false" ht="13.8" hidden="false" customHeight="false" outlineLevel="0" collapsed="false">
      <c r="A1998" s="0" t="s">
        <v>4440</v>
      </c>
      <c r="B1998" s="0" t="s">
        <v>4441</v>
      </c>
      <c r="C1998" s="0" t="s">
        <v>31</v>
      </c>
      <c r="D1998" s="0" t="s">
        <v>1704</v>
      </c>
    </row>
    <row r="1999" customFormat="false" ht="13.8" hidden="false" customHeight="false" outlineLevel="0" collapsed="false">
      <c r="A1999" s="0" t="s">
        <v>4442</v>
      </c>
      <c r="B1999" s="0" t="s">
        <v>4443</v>
      </c>
      <c r="C1999" s="0" t="s">
        <v>31</v>
      </c>
      <c r="D1999" s="0" t="s">
        <v>1572</v>
      </c>
    </row>
    <row r="2000" customFormat="false" ht="13.8" hidden="false" customHeight="false" outlineLevel="0" collapsed="false">
      <c r="A2000" s="0" t="s">
        <v>4444</v>
      </c>
      <c r="B2000" s="0" t="s">
        <v>4445</v>
      </c>
      <c r="C2000" s="0" t="s">
        <v>31</v>
      </c>
      <c r="D2000" s="0" t="s">
        <v>2072</v>
      </c>
    </row>
    <row r="2001" customFormat="false" ht="13.8" hidden="false" customHeight="false" outlineLevel="0" collapsed="false">
      <c r="A2001" s="0" t="s">
        <v>4446</v>
      </c>
      <c r="B2001" s="0" t="s">
        <v>4447</v>
      </c>
      <c r="C2001" s="0" t="s">
        <v>31</v>
      </c>
      <c r="D2001" s="0" t="s">
        <v>413</v>
      </c>
    </row>
    <row r="2002" customFormat="false" ht="13.8" hidden="false" customHeight="false" outlineLevel="0" collapsed="false">
      <c r="A2002" s="0" t="s">
        <v>4448</v>
      </c>
      <c r="B2002" s="0" t="s">
        <v>4449</v>
      </c>
      <c r="C2002" s="0" t="s">
        <v>31</v>
      </c>
      <c r="D2002" s="0" t="s">
        <v>1508</v>
      </c>
    </row>
    <row r="2003" customFormat="false" ht="13.8" hidden="false" customHeight="false" outlineLevel="0" collapsed="false">
      <c r="A2003" s="0" t="s">
        <v>4450</v>
      </c>
      <c r="B2003" s="0" t="s">
        <v>4451</v>
      </c>
      <c r="C2003" s="0" t="s">
        <v>31</v>
      </c>
      <c r="D2003" s="0" t="s">
        <v>1957</v>
      </c>
    </row>
    <row r="2004" customFormat="false" ht="13.8" hidden="false" customHeight="false" outlineLevel="0" collapsed="false">
      <c r="A2004" s="0" t="s">
        <v>4452</v>
      </c>
      <c r="B2004" s="0" t="s">
        <v>4453</v>
      </c>
      <c r="C2004" s="0" t="s">
        <v>31</v>
      </c>
      <c r="D2004" s="0" t="s">
        <v>1704</v>
      </c>
    </row>
    <row r="2005" customFormat="false" ht="13.8" hidden="false" customHeight="false" outlineLevel="0" collapsed="false">
      <c r="A2005" s="0" t="s">
        <v>4454</v>
      </c>
      <c r="B2005" s="0" t="s">
        <v>4455</v>
      </c>
      <c r="C2005" s="0" t="s">
        <v>31</v>
      </c>
      <c r="D2005" s="0" t="s">
        <v>69</v>
      </c>
    </row>
    <row r="2006" customFormat="false" ht="13.8" hidden="false" customHeight="false" outlineLevel="0" collapsed="false">
      <c r="A2006" s="0" t="s">
        <v>4456</v>
      </c>
      <c r="B2006" s="0" t="s">
        <v>4457</v>
      </c>
      <c r="C2006" s="0" t="s">
        <v>31</v>
      </c>
      <c r="D2006" s="0" t="s">
        <v>1704</v>
      </c>
    </row>
    <row r="2007" customFormat="false" ht="13.8" hidden="false" customHeight="false" outlineLevel="0" collapsed="false">
      <c r="A2007" s="0" t="s">
        <v>4458</v>
      </c>
      <c r="B2007" s="0" t="s">
        <v>4459</v>
      </c>
      <c r="C2007" s="0" t="s">
        <v>31</v>
      </c>
      <c r="D2007" s="0" t="s">
        <v>1924</v>
      </c>
    </row>
    <row r="2008" customFormat="false" ht="13.8" hidden="false" customHeight="false" outlineLevel="0" collapsed="false">
      <c r="A2008" s="0" t="s">
        <v>4460</v>
      </c>
      <c r="B2008" s="0" t="s">
        <v>4461</v>
      </c>
      <c r="C2008" s="0" t="s">
        <v>31</v>
      </c>
      <c r="D2008" s="0" t="s">
        <v>413</v>
      </c>
    </row>
    <row r="2009" customFormat="false" ht="13.8" hidden="false" customHeight="false" outlineLevel="0" collapsed="false">
      <c r="A2009" s="0" t="s">
        <v>4462</v>
      </c>
      <c r="B2009" s="0" t="s">
        <v>4463</v>
      </c>
      <c r="C2009" s="0" t="s">
        <v>31</v>
      </c>
      <c r="D2009" s="0" t="s">
        <v>1957</v>
      </c>
    </row>
    <row r="2010" customFormat="false" ht="13.8" hidden="false" customHeight="false" outlineLevel="0" collapsed="false">
      <c r="A2010" s="0" t="s">
        <v>4464</v>
      </c>
      <c r="B2010" s="0" t="s">
        <v>4465</v>
      </c>
      <c r="C2010" s="0" t="s">
        <v>31</v>
      </c>
      <c r="D2010" s="0" t="s">
        <v>3691</v>
      </c>
    </row>
    <row r="2011" customFormat="false" ht="13.8" hidden="false" customHeight="false" outlineLevel="0" collapsed="false">
      <c r="A2011" s="0" t="s">
        <v>4466</v>
      </c>
      <c r="B2011" s="0" t="s">
        <v>4467</v>
      </c>
      <c r="C2011" s="0" t="s">
        <v>31</v>
      </c>
      <c r="D2011" s="0" t="s">
        <v>2552</v>
      </c>
    </row>
    <row r="2012" customFormat="false" ht="13.8" hidden="false" customHeight="false" outlineLevel="0" collapsed="false">
      <c r="A2012" s="0" t="s">
        <v>4468</v>
      </c>
      <c r="B2012" s="0" t="s">
        <v>2864</v>
      </c>
      <c r="C2012" s="0" t="s">
        <v>31</v>
      </c>
      <c r="D2012" s="0" t="s">
        <v>2905</v>
      </c>
    </row>
    <row r="2013" customFormat="false" ht="13.8" hidden="false" customHeight="false" outlineLevel="0" collapsed="false">
      <c r="A2013" s="0" t="s">
        <v>4469</v>
      </c>
      <c r="B2013" s="0" t="s">
        <v>4470</v>
      </c>
      <c r="C2013" s="0" t="s">
        <v>31</v>
      </c>
      <c r="D2013" s="0" t="s">
        <v>2356</v>
      </c>
    </row>
    <row r="2014" customFormat="false" ht="13.8" hidden="false" customHeight="false" outlineLevel="0" collapsed="false">
      <c r="A2014" s="0" t="s">
        <v>4471</v>
      </c>
      <c r="B2014" s="0" t="s">
        <v>4472</v>
      </c>
      <c r="C2014" s="0" t="s">
        <v>31</v>
      </c>
      <c r="D2014" s="0" t="s">
        <v>1592</v>
      </c>
    </row>
    <row r="2015" customFormat="false" ht="13.8" hidden="false" customHeight="false" outlineLevel="0" collapsed="false">
      <c r="A2015" s="0" t="s">
        <v>4473</v>
      </c>
      <c r="B2015" s="0" t="s">
        <v>4474</v>
      </c>
      <c r="C2015" s="0" t="s">
        <v>31</v>
      </c>
      <c r="D2015" s="0" t="s">
        <v>1651</v>
      </c>
    </row>
    <row r="2016" customFormat="false" ht="13.8" hidden="false" customHeight="false" outlineLevel="0" collapsed="false">
      <c r="A2016" s="0" t="s">
        <v>4475</v>
      </c>
      <c r="B2016" s="0" t="s">
        <v>4476</v>
      </c>
      <c r="C2016" s="0" t="s">
        <v>31</v>
      </c>
      <c r="D2016" s="0" t="s">
        <v>413</v>
      </c>
    </row>
    <row r="2017" customFormat="false" ht="13.8" hidden="false" customHeight="false" outlineLevel="0" collapsed="false">
      <c r="A2017" s="0" t="s">
        <v>4477</v>
      </c>
      <c r="B2017" s="0" t="s">
        <v>4478</v>
      </c>
      <c r="C2017" s="0" t="s">
        <v>31</v>
      </c>
      <c r="D2017" s="0" t="s">
        <v>3711</v>
      </c>
    </row>
    <row r="2018" customFormat="false" ht="13.8" hidden="false" customHeight="false" outlineLevel="0" collapsed="false">
      <c r="A2018" s="0" t="s">
        <v>4479</v>
      </c>
      <c r="B2018" s="0" t="s">
        <v>4480</v>
      </c>
      <c r="C2018" s="0" t="s">
        <v>31</v>
      </c>
      <c r="D2018" s="0" t="s">
        <v>2072</v>
      </c>
    </row>
    <row r="2019" customFormat="false" ht="13.8" hidden="false" customHeight="false" outlineLevel="0" collapsed="false">
      <c r="A2019" s="0" t="s">
        <v>4481</v>
      </c>
      <c r="B2019" s="0" t="s">
        <v>4482</v>
      </c>
      <c r="C2019" s="0" t="s">
        <v>31</v>
      </c>
      <c r="D2019" s="0" t="s">
        <v>2492</v>
      </c>
    </row>
    <row r="2020" customFormat="false" ht="13.8" hidden="false" customHeight="false" outlineLevel="0" collapsed="false">
      <c r="A2020" s="0" t="s">
        <v>4483</v>
      </c>
      <c r="B2020" s="0" t="s">
        <v>4484</v>
      </c>
      <c r="C2020" s="0" t="s">
        <v>31</v>
      </c>
      <c r="D2020" s="0" t="s">
        <v>413</v>
      </c>
    </row>
    <row r="2021" customFormat="false" ht="13.8" hidden="false" customHeight="false" outlineLevel="0" collapsed="false">
      <c r="A2021" s="0" t="s">
        <v>4485</v>
      </c>
      <c r="B2021" s="0" t="s">
        <v>4486</v>
      </c>
      <c r="C2021" s="0" t="s">
        <v>31</v>
      </c>
      <c r="D2021" s="0" t="s">
        <v>1508</v>
      </c>
    </row>
    <row r="2022" customFormat="false" ht="13.8" hidden="false" customHeight="false" outlineLevel="0" collapsed="false">
      <c r="A2022" s="0" t="s">
        <v>4487</v>
      </c>
      <c r="B2022" s="0" t="s">
        <v>4488</v>
      </c>
      <c r="C2022" s="0" t="s">
        <v>31</v>
      </c>
      <c r="D2022" s="0" t="s">
        <v>3711</v>
      </c>
    </row>
    <row r="2023" customFormat="false" ht="13.8" hidden="false" customHeight="false" outlineLevel="0" collapsed="false">
      <c r="A2023" s="0" t="s">
        <v>4489</v>
      </c>
      <c r="B2023" s="0" t="s">
        <v>4490</v>
      </c>
      <c r="C2023" s="0" t="s">
        <v>31</v>
      </c>
      <c r="D2023" s="0" t="s">
        <v>19</v>
      </c>
    </row>
    <row r="2024" customFormat="false" ht="13.8" hidden="false" customHeight="false" outlineLevel="0" collapsed="false">
      <c r="A2024" s="0" t="s">
        <v>4491</v>
      </c>
      <c r="B2024" s="0" t="s">
        <v>4492</v>
      </c>
      <c r="C2024" s="0" t="s">
        <v>31</v>
      </c>
      <c r="D2024" s="0" t="s">
        <v>2072</v>
      </c>
    </row>
    <row r="2025" customFormat="false" ht="13.8" hidden="false" customHeight="false" outlineLevel="0" collapsed="false">
      <c r="A2025" s="0" t="s">
        <v>4493</v>
      </c>
      <c r="B2025" s="0" t="s">
        <v>4372</v>
      </c>
      <c r="C2025" s="0" t="s">
        <v>31</v>
      </c>
      <c r="D2025" s="0" t="s">
        <v>3711</v>
      </c>
    </row>
    <row r="2026" customFormat="false" ht="13.8" hidden="false" customHeight="false" outlineLevel="0" collapsed="false">
      <c r="A2026" s="0" t="s">
        <v>4494</v>
      </c>
      <c r="B2026" s="0" t="s">
        <v>4495</v>
      </c>
      <c r="C2026" s="0" t="s">
        <v>31</v>
      </c>
      <c r="D2026" s="0" t="s">
        <v>1957</v>
      </c>
    </row>
    <row r="2027" customFormat="false" ht="13.8" hidden="false" customHeight="false" outlineLevel="0" collapsed="false">
      <c r="A2027" s="0" t="s">
        <v>4496</v>
      </c>
      <c r="B2027" s="0" t="s">
        <v>4497</v>
      </c>
      <c r="C2027" s="0" t="s">
        <v>31</v>
      </c>
      <c r="D2027" s="0" t="s">
        <v>1592</v>
      </c>
    </row>
    <row r="2028" customFormat="false" ht="13.8" hidden="false" customHeight="false" outlineLevel="0" collapsed="false">
      <c r="A2028" s="0" t="s">
        <v>4498</v>
      </c>
      <c r="B2028" s="0" t="s">
        <v>4499</v>
      </c>
      <c r="C2028" s="0" t="s">
        <v>31</v>
      </c>
      <c r="D2028" s="0" t="s">
        <v>1957</v>
      </c>
    </row>
    <row r="2029" customFormat="false" ht="13.8" hidden="false" customHeight="false" outlineLevel="0" collapsed="false">
      <c r="A2029" s="0" t="s">
        <v>4500</v>
      </c>
      <c r="B2029" s="0" t="s">
        <v>4501</v>
      </c>
      <c r="C2029" s="0" t="s">
        <v>31</v>
      </c>
      <c r="D2029" s="0" t="s">
        <v>2072</v>
      </c>
    </row>
    <row r="2030" customFormat="false" ht="13.8" hidden="false" customHeight="false" outlineLevel="0" collapsed="false">
      <c r="A2030" s="0" t="s">
        <v>4502</v>
      </c>
      <c r="B2030" s="0" t="s">
        <v>4503</v>
      </c>
      <c r="C2030" s="0" t="s">
        <v>31</v>
      </c>
      <c r="D2030" s="0" t="s">
        <v>19</v>
      </c>
    </row>
    <row r="2031" customFormat="false" ht="13.8" hidden="false" customHeight="false" outlineLevel="0" collapsed="false">
      <c r="A2031" s="0" t="s">
        <v>4504</v>
      </c>
      <c r="B2031" s="0" t="s">
        <v>4505</v>
      </c>
      <c r="C2031" s="0" t="s">
        <v>31</v>
      </c>
      <c r="D2031" s="0" t="s">
        <v>1651</v>
      </c>
    </row>
    <row r="2032" customFormat="false" ht="13.8" hidden="false" customHeight="false" outlineLevel="0" collapsed="false">
      <c r="A2032" s="0" t="s">
        <v>4506</v>
      </c>
      <c r="B2032" s="0" t="s">
        <v>4507</v>
      </c>
      <c r="C2032" s="0" t="s">
        <v>31</v>
      </c>
      <c r="D2032" s="0" t="s">
        <v>1957</v>
      </c>
    </row>
    <row r="2033" customFormat="false" ht="13.8" hidden="false" customHeight="false" outlineLevel="0" collapsed="false">
      <c r="A2033" s="0" t="s">
        <v>4508</v>
      </c>
      <c r="B2033" s="0" t="s">
        <v>4509</v>
      </c>
      <c r="C2033" s="0" t="s">
        <v>31</v>
      </c>
      <c r="D2033" s="0" t="s">
        <v>413</v>
      </c>
    </row>
    <row r="2034" customFormat="false" ht="13.8" hidden="false" customHeight="false" outlineLevel="0" collapsed="false">
      <c r="A2034" s="0" t="s">
        <v>4510</v>
      </c>
      <c r="B2034" s="0" t="s">
        <v>4511</v>
      </c>
      <c r="C2034" s="0" t="s">
        <v>31</v>
      </c>
      <c r="D2034" s="0" t="s">
        <v>19</v>
      </c>
    </row>
    <row r="2035" customFormat="false" ht="13.8" hidden="false" customHeight="false" outlineLevel="0" collapsed="false">
      <c r="A2035" s="0" t="s">
        <v>4512</v>
      </c>
      <c r="B2035" s="0" t="s">
        <v>4513</v>
      </c>
      <c r="C2035" s="0" t="s">
        <v>31</v>
      </c>
      <c r="D2035" s="0" t="s">
        <v>2072</v>
      </c>
    </row>
    <row r="2036" customFormat="false" ht="13.8" hidden="false" customHeight="false" outlineLevel="0" collapsed="false">
      <c r="A2036" s="0" t="s">
        <v>4514</v>
      </c>
      <c r="B2036" s="0" t="s">
        <v>1282</v>
      </c>
      <c r="C2036" s="0" t="s">
        <v>31</v>
      </c>
      <c r="D2036" s="0" t="s">
        <v>2386</v>
      </c>
    </row>
    <row r="2037" customFormat="false" ht="13.8" hidden="false" customHeight="false" outlineLevel="0" collapsed="false">
      <c r="A2037" s="0" t="s">
        <v>4515</v>
      </c>
      <c r="B2037" s="0" t="s">
        <v>4516</v>
      </c>
      <c r="C2037" s="0" t="s">
        <v>31</v>
      </c>
      <c r="D2037" s="0" t="s">
        <v>1704</v>
      </c>
    </row>
    <row r="2038" customFormat="false" ht="13.8" hidden="false" customHeight="false" outlineLevel="0" collapsed="false">
      <c r="A2038" s="0" t="s">
        <v>4517</v>
      </c>
      <c r="B2038" s="0" t="s">
        <v>4518</v>
      </c>
      <c r="C2038" s="0" t="s">
        <v>31</v>
      </c>
      <c r="D2038" s="0" t="s">
        <v>2871</v>
      </c>
    </row>
    <row r="2039" customFormat="false" ht="13.8" hidden="false" customHeight="false" outlineLevel="0" collapsed="false">
      <c r="A2039" s="0" t="s">
        <v>4519</v>
      </c>
      <c r="B2039" s="0" t="s">
        <v>4520</v>
      </c>
      <c r="C2039" s="0" t="s">
        <v>31</v>
      </c>
      <c r="D2039" s="0" t="s">
        <v>1592</v>
      </c>
    </row>
    <row r="2040" customFormat="false" ht="13.8" hidden="false" customHeight="false" outlineLevel="0" collapsed="false">
      <c r="A2040" s="0" t="s">
        <v>4521</v>
      </c>
      <c r="B2040" s="0" t="s">
        <v>4522</v>
      </c>
      <c r="C2040" s="0" t="s">
        <v>31</v>
      </c>
      <c r="D2040" s="0" t="s">
        <v>413</v>
      </c>
    </row>
    <row r="2041" customFormat="false" ht="13.8" hidden="false" customHeight="false" outlineLevel="0" collapsed="false">
      <c r="A2041" s="0" t="s">
        <v>4523</v>
      </c>
      <c r="B2041" s="0" t="s">
        <v>4524</v>
      </c>
      <c r="C2041" s="0" t="s">
        <v>31</v>
      </c>
      <c r="D2041" s="0" t="s">
        <v>1704</v>
      </c>
    </row>
    <row r="2042" customFormat="false" ht="13.8" hidden="false" customHeight="false" outlineLevel="0" collapsed="false">
      <c r="A2042" s="0" t="s">
        <v>4525</v>
      </c>
      <c r="B2042" s="0" t="s">
        <v>4441</v>
      </c>
      <c r="C2042" s="0" t="s">
        <v>31</v>
      </c>
      <c r="D2042" s="0" t="s">
        <v>1704</v>
      </c>
    </row>
    <row r="2043" customFormat="false" ht="13.8" hidden="false" customHeight="false" outlineLevel="0" collapsed="false">
      <c r="A2043" s="0" t="s">
        <v>4526</v>
      </c>
      <c r="B2043" s="0" t="s">
        <v>4527</v>
      </c>
      <c r="C2043" s="0" t="s">
        <v>31</v>
      </c>
      <c r="D2043" s="0" t="s">
        <v>69</v>
      </c>
    </row>
    <row r="2044" customFormat="false" ht="13.8" hidden="false" customHeight="false" outlineLevel="0" collapsed="false">
      <c r="A2044" s="0" t="s">
        <v>4528</v>
      </c>
      <c r="B2044" s="0" t="s">
        <v>4529</v>
      </c>
      <c r="C2044" s="0" t="s">
        <v>31</v>
      </c>
      <c r="D2044" s="0" t="s">
        <v>4530</v>
      </c>
    </row>
    <row r="2045" customFormat="false" ht="13.8" hidden="false" customHeight="false" outlineLevel="0" collapsed="false">
      <c r="A2045" s="0" t="s">
        <v>4531</v>
      </c>
      <c r="B2045" s="0" t="s">
        <v>4532</v>
      </c>
      <c r="C2045" s="0" t="s">
        <v>31</v>
      </c>
      <c r="D2045" s="0" t="s">
        <v>1540</v>
      </c>
    </row>
    <row r="2046" customFormat="false" ht="13.8" hidden="false" customHeight="false" outlineLevel="0" collapsed="false">
      <c r="A2046" s="0" t="s">
        <v>4533</v>
      </c>
      <c r="B2046" s="0" t="s">
        <v>4534</v>
      </c>
      <c r="C2046" s="0" t="s">
        <v>31</v>
      </c>
      <c r="D2046" s="0" t="s">
        <v>69</v>
      </c>
    </row>
    <row r="2047" customFormat="false" ht="13.8" hidden="false" customHeight="false" outlineLevel="0" collapsed="false">
      <c r="A2047" s="0" t="s">
        <v>4535</v>
      </c>
      <c r="B2047" s="0" t="s">
        <v>4536</v>
      </c>
      <c r="C2047" s="0" t="s">
        <v>31</v>
      </c>
      <c r="D2047" s="0" t="s">
        <v>413</v>
      </c>
    </row>
    <row r="2048" customFormat="false" ht="13.8" hidden="false" customHeight="false" outlineLevel="0" collapsed="false">
      <c r="A2048" s="0" t="s">
        <v>4537</v>
      </c>
      <c r="B2048" s="0" t="s">
        <v>4538</v>
      </c>
      <c r="C2048" s="0" t="s">
        <v>31</v>
      </c>
      <c r="D2048" s="0" t="s">
        <v>2871</v>
      </c>
    </row>
    <row r="2049" customFormat="false" ht="13.8" hidden="false" customHeight="false" outlineLevel="0" collapsed="false">
      <c r="A2049" s="0" t="s">
        <v>4539</v>
      </c>
      <c r="B2049" s="0" t="s">
        <v>4540</v>
      </c>
      <c r="C2049" s="0" t="s">
        <v>31</v>
      </c>
      <c r="D2049" s="0" t="s">
        <v>1699</v>
      </c>
    </row>
    <row r="2050" customFormat="false" ht="13.8" hidden="false" customHeight="false" outlineLevel="0" collapsed="false">
      <c r="A2050" s="0" t="s">
        <v>4541</v>
      </c>
      <c r="B2050" s="0" t="s">
        <v>4542</v>
      </c>
      <c r="C2050" s="0" t="s">
        <v>31</v>
      </c>
      <c r="D2050" s="0" t="s">
        <v>2678</v>
      </c>
    </row>
    <row r="2051" customFormat="false" ht="13.8" hidden="false" customHeight="false" outlineLevel="0" collapsed="false">
      <c r="A2051" s="0" t="s">
        <v>4543</v>
      </c>
      <c r="B2051" s="0" t="s">
        <v>4544</v>
      </c>
      <c r="C2051" s="0" t="s">
        <v>31</v>
      </c>
      <c r="D2051" s="0" t="s">
        <v>413</v>
      </c>
    </row>
    <row r="2052" customFormat="false" ht="13.8" hidden="false" customHeight="false" outlineLevel="0" collapsed="false">
      <c r="A2052" s="0" t="s">
        <v>4545</v>
      </c>
      <c r="B2052" s="0" t="s">
        <v>4546</v>
      </c>
      <c r="C2052" s="0" t="s">
        <v>31</v>
      </c>
      <c r="D2052" s="0" t="s">
        <v>2356</v>
      </c>
    </row>
    <row r="2053" customFormat="false" ht="13.8" hidden="false" customHeight="false" outlineLevel="0" collapsed="false">
      <c r="A2053" s="0" t="s">
        <v>4547</v>
      </c>
      <c r="B2053" s="0" t="s">
        <v>4548</v>
      </c>
      <c r="C2053" s="0" t="s">
        <v>31</v>
      </c>
      <c r="D2053" s="0" t="s">
        <v>2072</v>
      </c>
    </row>
    <row r="2054" customFormat="false" ht="13.8" hidden="false" customHeight="false" outlineLevel="0" collapsed="false">
      <c r="A2054" s="0" t="s">
        <v>4549</v>
      </c>
      <c r="B2054" s="0" t="s">
        <v>4550</v>
      </c>
      <c r="C2054" s="0" t="s">
        <v>31</v>
      </c>
      <c r="D2054" s="0" t="s">
        <v>2072</v>
      </c>
    </row>
    <row r="2055" customFormat="false" ht="13.8" hidden="false" customHeight="false" outlineLevel="0" collapsed="false">
      <c r="A2055" s="0" t="s">
        <v>4551</v>
      </c>
      <c r="B2055" s="0" t="s">
        <v>4552</v>
      </c>
      <c r="C2055" s="0" t="s">
        <v>31</v>
      </c>
      <c r="D2055" s="0" t="s">
        <v>413</v>
      </c>
    </row>
    <row r="2056" customFormat="false" ht="13.8" hidden="false" customHeight="false" outlineLevel="0" collapsed="false">
      <c r="A2056" s="0" t="s">
        <v>4553</v>
      </c>
      <c r="B2056" s="0" t="s">
        <v>4554</v>
      </c>
      <c r="C2056" s="0" t="s">
        <v>31</v>
      </c>
      <c r="D2056" s="0" t="s">
        <v>171</v>
      </c>
    </row>
    <row r="2057" customFormat="false" ht="13.8" hidden="false" customHeight="false" outlineLevel="0" collapsed="false">
      <c r="A2057" s="0" t="s">
        <v>4555</v>
      </c>
      <c r="B2057" s="0" t="s">
        <v>4556</v>
      </c>
      <c r="C2057" s="0" t="s">
        <v>31</v>
      </c>
      <c r="D2057" s="0" t="s">
        <v>4557</v>
      </c>
    </row>
    <row r="2058" customFormat="false" ht="13.8" hidden="false" customHeight="false" outlineLevel="0" collapsed="false">
      <c r="A2058" s="0" t="s">
        <v>4558</v>
      </c>
      <c r="B2058" s="0" t="s">
        <v>4559</v>
      </c>
      <c r="C2058" s="0" t="s">
        <v>31</v>
      </c>
      <c r="D2058" s="0" t="s">
        <v>4560</v>
      </c>
    </row>
    <row r="2059" customFormat="false" ht="13.8" hidden="false" customHeight="false" outlineLevel="0" collapsed="false">
      <c r="A2059" s="0" t="s">
        <v>4561</v>
      </c>
      <c r="B2059" s="0" t="s">
        <v>4562</v>
      </c>
      <c r="C2059" s="0" t="s">
        <v>31</v>
      </c>
      <c r="D2059" s="0" t="s">
        <v>19</v>
      </c>
    </row>
    <row r="2060" customFormat="false" ht="13.8" hidden="false" customHeight="false" outlineLevel="0" collapsed="false">
      <c r="A2060" s="0" t="s">
        <v>4563</v>
      </c>
      <c r="B2060" s="0" t="s">
        <v>4564</v>
      </c>
      <c r="C2060" s="0" t="s">
        <v>31</v>
      </c>
      <c r="D2060" s="0" t="s">
        <v>413</v>
      </c>
    </row>
    <row r="2061" customFormat="false" ht="13.8" hidden="false" customHeight="false" outlineLevel="0" collapsed="false">
      <c r="A2061" s="0" t="s">
        <v>4566</v>
      </c>
      <c r="B2061" s="0" t="s">
        <v>4567</v>
      </c>
      <c r="C2061" s="0" t="s">
        <v>31</v>
      </c>
      <c r="D2061" s="0" t="s">
        <v>2072</v>
      </c>
    </row>
    <row r="2062" customFormat="false" ht="13.8" hidden="false" customHeight="false" outlineLevel="0" collapsed="false">
      <c r="A2062" s="0" t="s">
        <v>4568</v>
      </c>
      <c r="B2062" s="0" t="s">
        <v>4569</v>
      </c>
      <c r="C2062" s="0" t="s">
        <v>31</v>
      </c>
      <c r="D2062" s="0" t="s">
        <v>413</v>
      </c>
    </row>
    <row r="2063" customFormat="false" ht="13.8" hidden="false" customHeight="false" outlineLevel="0" collapsed="false">
      <c r="A2063" s="0" t="s">
        <v>4571</v>
      </c>
      <c r="B2063" s="0" t="s">
        <v>4572</v>
      </c>
      <c r="C2063" s="0" t="s">
        <v>31</v>
      </c>
      <c r="D2063" s="0" t="s">
        <v>2072</v>
      </c>
    </row>
    <row r="2064" customFormat="false" ht="13.8" hidden="false" customHeight="false" outlineLevel="0" collapsed="false">
      <c r="A2064" s="0" t="s">
        <v>4573</v>
      </c>
      <c r="B2064" s="0" t="s">
        <v>4574</v>
      </c>
      <c r="C2064" s="0" t="s">
        <v>31</v>
      </c>
      <c r="D2064" s="0" t="s">
        <v>2871</v>
      </c>
    </row>
    <row r="2065" customFormat="false" ht="13.8" hidden="false" customHeight="false" outlineLevel="0" collapsed="false">
      <c r="A2065" s="0" t="s">
        <v>4575</v>
      </c>
      <c r="B2065" s="0" t="s">
        <v>4576</v>
      </c>
      <c r="C2065" s="0" t="s">
        <v>31</v>
      </c>
      <c r="D2065" s="0" t="s">
        <v>3691</v>
      </c>
    </row>
    <row r="2066" customFormat="false" ht="13.8" hidden="false" customHeight="false" outlineLevel="0" collapsed="false">
      <c r="A2066" s="0" t="s">
        <v>4577</v>
      </c>
      <c r="B2066" s="0" t="s">
        <v>4578</v>
      </c>
      <c r="C2066" s="0" t="s">
        <v>31</v>
      </c>
      <c r="D2066" s="0" t="s">
        <v>413</v>
      </c>
    </row>
    <row r="2067" customFormat="false" ht="13.8" hidden="false" customHeight="false" outlineLevel="0" collapsed="false">
      <c r="A2067" s="0" t="s">
        <v>4579</v>
      </c>
      <c r="B2067" s="0" t="s">
        <v>4580</v>
      </c>
      <c r="C2067" s="0" t="s">
        <v>31</v>
      </c>
      <c r="D2067" s="0" t="s">
        <v>4581</v>
      </c>
    </row>
    <row r="2068" customFormat="false" ht="13.8" hidden="false" customHeight="false" outlineLevel="0" collapsed="false">
      <c r="A2068" s="0" t="s">
        <v>4582</v>
      </c>
      <c r="B2068" s="0" t="s">
        <v>4583</v>
      </c>
      <c r="C2068" s="0" t="s">
        <v>31</v>
      </c>
      <c r="D2068" s="0" t="s">
        <v>2552</v>
      </c>
    </row>
    <row r="2069" customFormat="false" ht="13.8" hidden="false" customHeight="false" outlineLevel="0" collapsed="false">
      <c r="A2069" s="0" t="s">
        <v>4584</v>
      </c>
      <c r="B2069" s="0" t="s">
        <v>4585</v>
      </c>
      <c r="C2069" s="0" t="s">
        <v>31</v>
      </c>
      <c r="D2069" s="0" t="s">
        <v>1651</v>
      </c>
    </row>
    <row r="2070" customFormat="false" ht="13.8" hidden="false" customHeight="false" outlineLevel="0" collapsed="false">
      <c r="A2070" s="0" t="s">
        <v>4586</v>
      </c>
      <c r="B2070" s="0" t="s">
        <v>4587</v>
      </c>
      <c r="C2070" s="0" t="s">
        <v>31</v>
      </c>
      <c r="D2070" s="0" t="s">
        <v>69</v>
      </c>
    </row>
    <row r="2071" customFormat="false" ht="13.8" hidden="false" customHeight="false" outlineLevel="0" collapsed="false">
      <c r="A2071" s="0" t="s">
        <v>4588</v>
      </c>
      <c r="B2071" s="0" t="s">
        <v>4589</v>
      </c>
      <c r="C2071" s="0" t="s">
        <v>31</v>
      </c>
      <c r="D2071" s="0" t="s">
        <v>1924</v>
      </c>
    </row>
    <row r="2072" customFormat="false" ht="13.8" hidden="false" customHeight="false" outlineLevel="0" collapsed="false">
      <c r="A2072" s="0" t="s">
        <v>4590</v>
      </c>
      <c r="B2072" s="0" t="s">
        <v>4591</v>
      </c>
      <c r="C2072" s="0" t="s">
        <v>31</v>
      </c>
      <c r="D2072" s="0" t="s">
        <v>3711</v>
      </c>
    </row>
    <row r="2073" customFormat="false" ht="13.8" hidden="false" customHeight="false" outlineLevel="0" collapsed="false">
      <c r="A2073" s="0" t="s">
        <v>4592</v>
      </c>
      <c r="B2073" s="0" t="s">
        <v>4593</v>
      </c>
      <c r="C2073" s="0" t="s">
        <v>31</v>
      </c>
      <c r="D2073" s="0" t="s">
        <v>2701</v>
      </c>
    </row>
    <row r="2074" customFormat="false" ht="13.8" hidden="false" customHeight="false" outlineLevel="0" collapsed="false">
      <c r="A2074" s="0" t="s">
        <v>4594</v>
      </c>
      <c r="B2074" s="0" t="s">
        <v>4595</v>
      </c>
      <c r="C2074" s="0" t="s">
        <v>31</v>
      </c>
      <c r="D2074" s="0" t="s">
        <v>1527</v>
      </c>
    </row>
    <row r="2075" customFormat="false" ht="13.8" hidden="false" customHeight="false" outlineLevel="0" collapsed="false">
      <c r="A2075" s="0" t="s">
        <v>4596</v>
      </c>
      <c r="B2075" s="0" t="s">
        <v>4597</v>
      </c>
      <c r="C2075" s="0" t="s">
        <v>31</v>
      </c>
      <c r="D2075" s="0" t="s">
        <v>413</v>
      </c>
    </row>
    <row r="2076" customFormat="false" ht="13.8" hidden="false" customHeight="false" outlineLevel="0" collapsed="false">
      <c r="A2076" s="0" t="s">
        <v>4599</v>
      </c>
      <c r="B2076" s="0" t="s">
        <v>4600</v>
      </c>
      <c r="C2076" s="0" t="s">
        <v>31</v>
      </c>
      <c r="D2076" s="0" t="s">
        <v>1651</v>
      </c>
    </row>
    <row r="2077" customFormat="false" ht="13.8" hidden="false" customHeight="false" outlineLevel="0" collapsed="false">
      <c r="A2077" s="0" t="s">
        <v>4601</v>
      </c>
      <c r="B2077" s="0" t="s">
        <v>4602</v>
      </c>
      <c r="C2077" s="0" t="s">
        <v>31</v>
      </c>
      <c r="D2077" s="0" t="s">
        <v>1957</v>
      </c>
    </row>
    <row r="2078" customFormat="false" ht="13.8" hidden="false" customHeight="false" outlineLevel="0" collapsed="false">
      <c r="A2078" s="0" t="s">
        <v>4603</v>
      </c>
      <c r="B2078" s="0" t="s">
        <v>4604</v>
      </c>
      <c r="C2078" s="0" t="s">
        <v>31</v>
      </c>
      <c r="D2078" s="0" t="s">
        <v>24</v>
      </c>
    </row>
    <row r="2079" customFormat="false" ht="13.8" hidden="false" customHeight="false" outlineLevel="0" collapsed="false">
      <c r="A2079" s="0" t="s">
        <v>4605</v>
      </c>
      <c r="B2079" s="0" t="s">
        <v>4572</v>
      </c>
      <c r="C2079" s="0" t="s">
        <v>31</v>
      </c>
      <c r="D2079" s="0" t="s">
        <v>2072</v>
      </c>
    </row>
    <row r="2080" customFormat="false" ht="13.8" hidden="false" customHeight="false" outlineLevel="0" collapsed="false">
      <c r="A2080" s="0" t="s">
        <v>4606</v>
      </c>
      <c r="B2080" s="0" t="s">
        <v>4607</v>
      </c>
      <c r="C2080" s="0" t="s">
        <v>31</v>
      </c>
      <c r="D2080" s="0" t="s">
        <v>1704</v>
      </c>
    </row>
    <row r="2081" customFormat="false" ht="13.8" hidden="false" customHeight="false" outlineLevel="0" collapsed="false">
      <c r="A2081" s="0" t="s">
        <v>4608</v>
      </c>
      <c r="B2081" s="0" t="s">
        <v>4609</v>
      </c>
      <c r="C2081" s="0" t="s">
        <v>31</v>
      </c>
      <c r="D2081" s="0" t="s">
        <v>1592</v>
      </c>
    </row>
    <row r="2082" customFormat="false" ht="13.8" hidden="false" customHeight="false" outlineLevel="0" collapsed="false">
      <c r="A2082" s="0" t="s">
        <v>4610</v>
      </c>
      <c r="B2082" s="0" t="s">
        <v>4611</v>
      </c>
      <c r="C2082" s="0" t="s">
        <v>31</v>
      </c>
      <c r="D2082" s="0" t="s">
        <v>3628</v>
      </c>
    </row>
    <row r="2083" customFormat="false" ht="13.8" hidden="false" customHeight="false" outlineLevel="0" collapsed="false">
      <c r="A2083" s="0" t="s">
        <v>4612</v>
      </c>
      <c r="B2083" s="0" t="s">
        <v>4613</v>
      </c>
      <c r="C2083" s="0" t="s">
        <v>31</v>
      </c>
      <c r="D2083" s="0" t="s">
        <v>69</v>
      </c>
    </row>
    <row r="2084" customFormat="false" ht="13.8" hidden="false" customHeight="false" outlineLevel="0" collapsed="false">
      <c r="A2084" s="0" t="s">
        <v>4614</v>
      </c>
      <c r="B2084" s="0" t="s">
        <v>4615</v>
      </c>
      <c r="C2084" s="0" t="s">
        <v>31</v>
      </c>
      <c r="D2084" s="0" t="s">
        <v>1540</v>
      </c>
    </row>
    <row r="2085" customFormat="false" ht="13.8" hidden="false" customHeight="false" outlineLevel="0" collapsed="false">
      <c r="A2085" s="0" t="s">
        <v>4616</v>
      </c>
      <c r="B2085" s="0" t="s">
        <v>4617</v>
      </c>
      <c r="C2085" s="3" t="s">
        <v>31</v>
      </c>
      <c r="D2085" s="0" t="s">
        <v>1737</v>
      </c>
    </row>
    <row r="2086" customFormat="false" ht="13.8" hidden="false" customHeight="false" outlineLevel="0" collapsed="false">
      <c r="A2086" s="0" t="s">
        <v>4618</v>
      </c>
      <c r="B2086" s="0" t="s">
        <v>4619</v>
      </c>
      <c r="C2086" s="3" t="s">
        <v>31</v>
      </c>
      <c r="D2086" s="0" t="s">
        <v>1527</v>
      </c>
    </row>
    <row r="2087" customFormat="false" ht="13.8" hidden="false" customHeight="false" outlineLevel="0" collapsed="false">
      <c r="A2087" s="0" t="s">
        <v>4620</v>
      </c>
      <c r="B2087" s="0" t="s">
        <v>4621</v>
      </c>
      <c r="C2087" s="0" t="s">
        <v>31</v>
      </c>
      <c r="D2087" s="0" t="s">
        <v>2072</v>
      </c>
    </row>
    <row r="2088" customFormat="false" ht="13.8" hidden="false" customHeight="false" outlineLevel="0" collapsed="false">
      <c r="A2088" s="0" t="s">
        <v>4622</v>
      </c>
      <c r="B2088" s="0" t="s">
        <v>4623</v>
      </c>
      <c r="C2088" s="3" t="s">
        <v>31</v>
      </c>
      <c r="D2088" s="0" t="s">
        <v>19</v>
      </c>
    </row>
    <row r="2089" customFormat="false" ht="13.8" hidden="false" customHeight="false" outlineLevel="0" collapsed="false">
      <c r="A2089" s="0" t="s">
        <v>4625</v>
      </c>
      <c r="B2089" s="0" t="s">
        <v>4626</v>
      </c>
      <c r="C2089" s="0" t="s">
        <v>31</v>
      </c>
      <c r="D2089" s="0" t="s">
        <v>413</v>
      </c>
    </row>
    <row r="2090" customFormat="false" ht="13.8" hidden="false" customHeight="false" outlineLevel="0" collapsed="false">
      <c r="A2090" s="0" t="s">
        <v>4627</v>
      </c>
      <c r="B2090" s="0" t="s">
        <v>4628</v>
      </c>
      <c r="C2090" s="3" t="s">
        <v>31</v>
      </c>
      <c r="D2090" s="0" t="s">
        <v>3711</v>
      </c>
    </row>
    <row r="2091" customFormat="false" ht="13.8" hidden="false" customHeight="false" outlineLevel="0" collapsed="false">
      <c r="A2091" s="0" t="s">
        <v>4629</v>
      </c>
      <c r="B2091" s="0" t="s">
        <v>4630</v>
      </c>
      <c r="C2091" s="0" t="s">
        <v>31</v>
      </c>
      <c r="D2091" s="0" t="s">
        <v>2072</v>
      </c>
    </row>
    <row r="2092" customFormat="false" ht="13.8" hidden="false" customHeight="false" outlineLevel="0" collapsed="false">
      <c r="A2092" s="0" t="s">
        <v>4631</v>
      </c>
      <c r="B2092" s="0" t="s">
        <v>4562</v>
      </c>
      <c r="C2092" s="3" t="s">
        <v>31</v>
      </c>
      <c r="D2092" s="0" t="s">
        <v>1704</v>
      </c>
    </row>
    <row r="2093" customFormat="false" ht="13.8" hidden="false" customHeight="false" outlineLevel="0" collapsed="false">
      <c r="A2093" s="0" t="s">
        <v>4632</v>
      </c>
      <c r="B2093" s="0" t="s">
        <v>4633</v>
      </c>
      <c r="C2093" s="0" t="s">
        <v>31</v>
      </c>
      <c r="D2093" s="0" t="s">
        <v>1651</v>
      </c>
    </row>
    <row r="2094" customFormat="false" ht="13.8" hidden="false" customHeight="false" outlineLevel="0" collapsed="false">
      <c r="A2094" s="0" t="s">
        <v>4634</v>
      </c>
      <c r="B2094" s="0" t="s">
        <v>4635</v>
      </c>
      <c r="C2094" s="0" t="s">
        <v>31</v>
      </c>
      <c r="D2094" s="0" t="s">
        <v>413</v>
      </c>
    </row>
    <row r="2095" customFormat="false" ht="13.8" hidden="false" customHeight="false" outlineLevel="0" collapsed="false">
      <c r="A2095" s="0" t="s">
        <v>4636</v>
      </c>
      <c r="B2095" s="0" t="s">
        <v>4637</v>
      </c>
      <c r="C2095" s="3" t="s">
        <v>31</v>
      </c>
      <c r="D2095" s="0" t="s">
        <v>1957</v>
      </c>
    </row>
    <row r="2096" customFormat="false" ht="13.8" hidden="false" customHeight="false" outlineLevel="0" collapsed="false">
      <c r="A2096" s="0" t="s">
        <v>4638</v>
      </c>
      <c r="B2096" s="0" t="s">
        <v>4639</v>
      </c>
      <c r="C2096" s="0" t="s">
        <v>31</v>
      </c>
      <c r="D2096" s="0" t="s">
        <v>19</v>
      </c>
    </row>
    <row r="2097" customFormat="false" ht="13.8" hidden="false" customHeight="false" outlineLevel="0" collapsed="false">
      <c r="A2097" s="0" t="s">
        <v>4640</v>
      </c>
      <c r="B2097" s="0" t="s">
        <v>4641</v>
      </c>
      <c r="C2097" s="3" t="s">
        <v>31</v>
      </c>
      <c r="D2097" s="0" t="s">
        <v>1704</v>
      </c>
    </row>
    <row r="2098" customFormat="false" ht="13.8" hidden="false" customHeight="false" outlineLevel="0" collapsed="false">
      <c r="A2098" s="0" t="s">
        <v>4642</v>
      </c>
      <c r="B2098" s="0" t="s">
        <v>4643</v>
      </c>
      <c r="C2098" s="0" t="s">
        <v>31</v>
      </c>
      <c r="D2098" s="0" t="s">
        <v>1704</v>
      </c>
    </row>
    <row r="2099" customFormat="false" ht="13.8" hidden="false" customHeight="false" outlineLevel="0" collapsed="false">
      <c r="A2099" s="0" t="s">
        <v>4644</v>
      </c>
      <c r="B2099" s="0" t="s">
        <v>4645</v>
      </c>
      <c r="C2099" s="3" t="s">
        <v>31</v>
      </c>
      <c r="D2099" s="0" t="s">
        <v>413</v>
      </c>
    </row>
    <row r="2100" customFormat="false" ht="13.8" hidden="false" customHeight="false" outlineLevel="0" collapsed="false">
      <c r="A2100" s="0" t="s">
        <v>4646</v>
      </c>
      <c r="B2100" s="0" t="s">
        <v>4181</v>
      </c>
      <c r="C2100" s="0" t="s">
        <v>31</v>
      </c>
      <c r="D2100" s="0" t="s">
        <v>413</v>
      </c>
    </row>
    <row r="2101" customFormat="false" ht="13.8" hidden="false" customHeight="false" outlineLevel="0" collapsed="false">
      <c r="A2101" s="0" t="s">
        <v>4647</v>
      </c>
      <c r="B2101" s="0" t="s">
        <v>4648</v>
      </c>
      <c r="C2101" s="3" t="s">
        <v>31</v>
      </c>
      <c r="D2101" s="0" t="s">
        <v>413</v>
      </c>
    </row>
    <row r="2102" customFormat="false" ht="13.8" hidden="false" customHeight="false" outlineLevel="0" collapsed="false">
      <c r="A2102" s="0" t="s">
        <v>4649</v>
      </c>
      <c r="B2102" s="0" t="s">
        <v>4650</v>
      </c>
      <c r="C2102" s="0" t="s">
        <v>31</v>
      </c>
      <c r="D2102" s="0" t="s">
        <v>2871</v>
      </c>
    </row>
    <row r="2103" customFormat="false" ht="13.8" hidden="false" customHeight="false" outlineLevel="0" collapsed="false">
      <c r="A2103" s="0" t="s">
        <v>4651</v>
      </c>
      <c r="B2103" s="0" t="s">
        <v>4652</v>
      </c>
      <c r="C2103" s="3" t="s">
        <v>31</v>
      </c>
      <c r="D2103" s="0" t="s">
        <v>413</v>
      </c>
    </row>
    <row r="2104" customFormat="false" ht="13.8" hidden="false" customHeight="false" outlineLevel="0" collapsed="false">
      <c r="A2104" s="0" t="s">
        <v>4653</v>
      </c>
      <c r="B2104" s="0" t="s">
        <v>4654</v>
      </c>
      <c r="C2104" s="0" t="s">
        <v>31</v>
      </c>
      <c r="D2104" s="0" t="s">
        <v>2072</v>
      </c>
    </row>
    <row r="2105" customFormat="false" ht="13.8" hidden="false" customHeight="false" outlineLevel="0" collapsed="false">
      <c r="A2105" s="0" t="s">
        <v>4655</v>
      </c>
      <c r="B2105" s="0" t="s">
        <v>4656</v>
      </c>
      <c r="C2105" s="3" t="s">
        <v>31</v>
      </c>
      <c r="D2105" s="0" t="s">
        <v>3691</v>
      </c>
    </row>
    <row r="2106" customFormat="false" ht="13.8" hidden="false" customHeight="false" outlineLevel="0" collapsed="false">
      <c r="A2106" s="0" t="s">
        <v>4657</v>
      </c>
      <c r="B2106" s="0" t="s">
        <v>4276</v>
      </c>
      <c r="C2106" s="3" t="s">
        <v>31</v>
      </c>
      <c r="D2106" s="0" t="s">
        <v>3711</v>
      </c>
    </row>
    <row r="2107" customFormat="false" ht="13.8" hidden="false" customHeight="false" outlineLevel="0" collapsed="false">
      <c r="A2107" s="0" t="s">
        <v>4658</v>
      </c>
      <c r="B2107" s="0" t="s">
        <v>4659</v>
      </c>
      <c r="C2107" s="0" t="s">
        <v>31</v>
      </c>
      <c r="D2107" s="0" t="s">
        <v>2072</v>
      </c>
    </row>
    <row r="2108" customFormat="false" ht="13.8" hidden="false" customHeight="false" outlineLevel="0" collapsed="false">
      <c r="A2108" s="0" t="s">
        <v>4660</v>
      </c>
      <c r="B2108" s="0" t="s">
        <v>4661</v>
      </c>
      <c r="C2108" s="3" t="s">
        <v>31</v>
      </c>
      <c r="D2108" s="0" t="s">
        <v>2072</v>
      </c>
    </row>
    <row r="2109" customFormat="false" ht="13.8" hidden="false" customHeight="false" outlineLevel="0" collapsed="false">
      <c r="A2109" s="0" t="s">
        <v>4662</v>
      </c>
      <c r="B2109" s="0" t="s">
        <v>4663</v>
      </c>
      <c r="C2109" s="0" t="s">
        <v>31</v>
      </c>
      <c r="D2109" s="0" t="s">
        <v>1540</v>
      </c>
    </row>
    <row r="2110" customFormat="false" ht="13.8" hidden="false" customHeight="false" outlineLevel="0" collapsed="false">
      <c r="A2110" s="0" t="s">
        <v>4664</v>
      </c>
      <c r="B2110" s="0" t="s">
        <v>4665</v>
      </c>
      <c r="C2110" s="3" t="s">
        <v>31</v>
      </c>
      <c r="D2110" s="0" t="s">
        <v>2678</v>
      </c>
    </row>
    <row r="2111" customFormat="false" ht="13.8" hidden="false" customHeight="false" outlineLevel="0" collapsed="false">
      <c r="A2111" s="0" t="s">
        <v>4666</v>
      </c>
      <c r="B2111" s="0" t="s">
        <v>4667</v>
      </c>
      <c r="C2111" s="0" t="s">
        <v>31</v>
      </c>
      <c r="D2111" s="0" t="s">
        <v>2072</v>
      </c>
    </row>
    <row r="2112" customFormat="false" ht="13.8" hidden="false" customHeight="false" outlineLevel="0" collapsed="false">
      <c r="A2112" s="0" t="s">
        <v>4668</v>
      </c>
      <c r="B2112" s="0" t="s">
        <v>4518</v>
      </c>
      <c r="C2112" s="3" t="s">
        <v>31</v>
      </c>
      <c r="D2112" s="0" t="s">
        <v>4581</v>
      </c>
    </row>
    <row r="2113" customFormat="false" ht="13.8" hidden="false" customHeight="false" outlineLevel="0" collapsed="false">
      <c r="A2113" s="0" t="s">
        <v>4669</v>
      </c>
      <c r="B2113" s="0" t="s">
        <v>4670</v>
      </c>
      <c r="C2113" s="0" t="s">
        <v>31</v>
      </c>
      <c r="D2113" s="0" t="s">
        <v>2072</v>
      </c>
    </row>
    <row r="2114" customFormat="false" ht="13.8" hidden="false" customHeight="false" outlineLevel="0" collapsed="false">
      <c r="A2114" s="0" t="s">
        <v>4671</v>
      </c>
      <c r="B2114" s="0" t="s">
        <v>4672</v>
      </c>
      <c r="C2114" s="3" t="s">
        <v>31</v>
      </c>
      <c r="D2114" s="0" t="s">
        <v>2364</v>
      </c>
    </row>
    <row r="2115" customFormat="false" ht="13.8" hidden="false" customHeight="false" outlineLevel="0" collapsed="false">
      <c r="A2115" s="0" t="s">
        <v>4673</v>
      </c>
      <c r="B2115" s="0" t="s">
        <v>4674</v>
      </c>
      <c r="C2115" s="0" t="s">
        <v>31</v>
      </c>
      <c r="D2115" s="0" t="s">
        <v>3890</v>
      </c>
    </row>
    <row r="2116" customFormat="false" ht="13.8" hidden="false" customHeight="false" outlineLevel="0" collapsed="false">
      <c r="A2116" s="0" t="s">
        <v>4675</v>
      </c>
      <c r="B2116" s="0" t="s">
        <v>4676</v>
      </c>
      <c r="C2116" s="0" t="s">
        <v>31</v>
      </c>
      <c r="D2116" s="0" t="s">
        <v>2072</v>
      </c>
    </row>
    <row r="2117" customFormat="false" ht="13.8" hidden="false" customHeight="false" outlineLevel="0" collapsed="false">
      <c r="A2117" s="0" t="s">
        <v>4677</v>
      </c>
      <c r="B2117" s="0" t="s">
        <v>4678</v>
      </c>
      <c r="C2117" s="3" t="s">
        <v>31</v>
      </c>
      <c r="D2117" s="0" t="s">
        <v>1540</v>
      </c>
    </row>
    <row r="2118" customFormat="false" ht="13.8" hidden="false" customHeight="false" outlineLevel="0" collapsed="false">
      <c r="A2118" s="0" t="s">
        <v>4679</v>
      </c>
      <c r="B2118" s="0" t="s">
        <v>4680</v>
      </c>
      <c r="C2118" s="0" t="s">
        <v>31</v>
      </c>
      <c r="D2118" s="0" t="s">
        <v>19</v>
      </c>
    </row>
    <row r="2119" customFormat="false" ht="13.8" hidden="false" customHeight="false" outlineLevel="0" collapsed="false">
      <c r="A2119" s="0" t="s">
        <v>4681</v>
      </c>
      <c r="B2119" s="0" t="s">
        <v>4682</v>
      </c>
      <c r="C2119" s="3" t="s">
        <v>31</v>
      </c>
      <c r="D2119" s="0" t="s">
        <v>2356</v>
      </c>
    </row>
    <row r="2120" customFormat="false" ht="13.8" hidden="false" customHeight="false" outlineLevel="0" collapsed="false">
      <c r="A2120" s="0" t="s">
        <v>4683</v>
      </c>
      <c r="B2120" s="0" t="s">
        <v>4684</v>
      </c>
      <c r="C2120" s="0" t="s">
        <v>31</v>
      </c>
      <c r="D2120" s="0" t="s">
        <v>413</v>
      </c>
    </row>
    <row r="2121" customFormat="false" ht="13.8" hidden="false" customHeight="false" outlineLevel="0" collapsed="false">
      <c r="A2121" s="0" t="s">
        <v>4685</v>
      </c>
      <c r="B2121" s="0" t="s">
        <v>4686</v>
      </c>
      <c r="C2121" s="3" t="s">
        <v>31</v>
      </c>
      <c r="D2121" s="0" t="s">
        <v>3711</v>
      </c>
    </row>
    <row r="2122" customFormat="false" ht="13.8" hidden="false" customHeight="false" outlineLevel="0" collapsed="false">
      <c r="A2122" s="0" t="s">
        <v>4687</v>
      </c>
      <c r="B2122" s="0" t="s">
        <v>4688</v>
      </c>
      <c r="C2122" s="0" t="s">
        <v>31</v>
      </c>
      <c r="D2122" s="0" t="s">
        <v>1592</v>
      </c>
    </row>
    <row r="2123" customFormat="false" ht="13.8" hidden="false" customHeight="false" outlineLevel="0" collapsed="false">
      <c r="A2123" s="0" t="s">
        <v>4689</v>
      </c>
      <c r="B2123" s="0" t="s">
        <v>4690</v>
      </c>
      <c r="C2123" s="3" t="s">
        <v>31</v>
      </c>
      <c r="D2123" s="0" t="s">
        <v>1704</v>
      </c>
    </row>
    <row r="2124" customFormat="false" ht="13.8" hidden="false" customHeight="false" outlineLevel="0" collapsed="false">
      <c r="A2124" s="0" t="s">
        <v>4691</v>
      </c>
      <c r="B2124" s="0" t="s">
        <v>4692</v>
      </c>
      <c r="C2124" s="0" t="s">
        <v>31</v>
      </c>
      <c r="D2124" s="0" t="s">
        <v>413</v>
      </c>
    </row>
    <row r="2125" customFormat="false" ht="13.8" hidden="false" customHeight="false" outlineLevel="0" collapsed="false">
      <c r="A2125" s="0" t="s">
        <v>4693</v>
      </c>
      <c r="B2125" s="0" t="s">
        <v>4694</v>
      </c>
      <c r="C2125" s="3" t="s">
        <v>31</v>
      </c>
      <c r="D2125" s="0" t="s">
        <v>4231</v>
      </c>
    </row>
    <row r="2126" customFormat="false" ht="13.8" hidden="false" customHeight="false" outlineLevel="0" collapsed="false">
      <c r="A2126" s="0" t="s">
        <v>4695</v>
      </c>
      <c r="B2126" s="0" t="s">
        <v>4696</v>
      </c>
      <c r="C2126" s="0" t="s">
        <v>31</v>
      </c>
      <c r="D2126" s="0" t="s">
        <v>3523</v>
      </c>
    </row>
    <row r="2127" customFormat="false" ht="13.8" hidden="false" customHeight="false" outlineLevel="0" collapsed="false">
      <c r="A2127" s="0" t="s">
        <v>4697</v>
      </c>
      <c r="B2127" s="0" t="s">
        <v>4046</v>
      </c>
      <c r="C2127" s="0" t="s">
        <v>31</v>
      </c>
      <c r="D2127" s="0" t="s">
        <v>3711</v>
      </c>
    </row>
    <row r="2128" customFormat="false" ht="13.8" hidden="false" customHeight="false" outlineLevel="0" collapsed="false">
      <c r="A2128" s="0" t="s">
        <v>4698</v>
      </c>
      <c r="B2128" s="0" t="s">
        <v>4699</v>
      </c>
      <c r="C2128" s="3" t="s">
        <v>31</v>
      </c>
      <c r="D2128" s="0" t="s">
        <v>3711</v>
      </c>
    </row>
    <row r="2129" customFormat="false" ht="13.8" hidden="false" customHeight="false" outlineLevel="0" collapsed="false">
      <c r="A2129" s="0" t="s">
        <v>4700</v>
      </c>
      <c r="B2129" s="0" t="s">
        <v>4063</v>
      </c>
      <c r="C2129" s="0" t="s">
        <v>31</v>
      </c>
      <c r="D2129" s="0" t="s">
        <v>3711</v>
      </c>
    </row>
    <row r="2130" customFormat="false" ht="13.8" hidden="false" customHeight="false" outlineLevel="0" collapsed="false">
      <c r="A2130" s="0" t="s">
        <v>4701</v>
      </c>
      <c r="B2130" s="0" t="s">
        <v>4702</v>
      </c>
      <c r="C2130" s="3" t="s">
        <v>31</v>
      </c>
      <c r="D2130" s="0" t="s">
        <v>3711</v>
      </c>
    </row>
    <row r="2131" customFormat="false" ht="13.8" hidden="false" customHeight="false" outlineLevel="0" collapsed="false">
      <c r="A2131" s="0" t="s">
        <v>4703</v>
      </c>
      <c r="B2131" s="0" t="s">
        <v>4704</v>
      </c>
      <c r="C2131" s="0" t="s">
        <v>31</v>
      </c>
      <c r="D2131" s="0" t="s">
        <v>2364</v>
      </c>
    </row>
    <row r="2132" customFormat="false" ht="13.8" hidden="false" customHeight="false" outlineLevel="0" collapsed="false">
      <c r="A2132" s="0" t="s">
        <v>4705</v>
      </c>
      <c r="B2132" s="0" t="s">
        <v>4706</v>
      </c>
      <c r="C2132" s="3" t="s">
        <v>31</v>
      </c>
      <c r="D2132" s="0" t="s">
        <v>413</v>
      </c>
    </row>
    <row r="2133" customFormat="false" ht="13.8" hidden="false" customHeight="false" outlineLevel="0" collapsed="false">
      <c r="A2133" s="0" t="s">
        <v>4707</v>
      </c>
      <c r="B2133" s="0" t="s">
        <v>4708</v>
      </c>
      <c r="C2133" s="0" t="s">
        <v>31</v>
      </c>
      <c r="D2133" s="0" t="s">
        <v>2364</v>
      </c>
    </row>
    <row r="2134" customFormat="false" ht="13.8" hidden="false" customHeight="false" outlineLevel="0" collapsed="false">
      <c r="A2134" s="0" t="s">
        <v>4709</v>
      </c>
      <c r="B2134" s="0" t="s">
        <v>4710</v>
      </c>
      <c r="C2134" s="3" t="s">
        <v>31</v>
      </c>
      <c r="D2134" s="0" t="s">
        <v>1592</v>
      </c>
    </row>
    <row r="2135" customFormat="false" ht="13.8" hidden="false" customHeight="false" outlineLevel="0" collapsed="false">
      <c r="A2135" s="0" t="s">
        <v>4711</v>
      </c>
      <c r="B2135" s="0" t="s">
        <v>4712</v>
      </c>
      <c r="C2135" s="0" t="s">
        <v>31</v>
      </c>
      <c r="D2135" s="0" t="s">
        <v>1699</v>
      </c>
    </row>
    <row r="2136" customFormat="false" ht="13.8" hidden="false" customHeight="false" outlineLevel="0" collapsed="false">
      <c r="A2136" s="0" t="s">
        <v>4713</v>
      </c>
      <c r="B2136" s="0" t="s">
        <v>4714</v>
      </c>
      <c r="C2136" s="3" t="s">
        <v>31</v>
      </c>
      <c r="D2136" s="0" t="s">
        <v>2364</v>
      </c>
    </row>
    <row r="2137" customFormat="false" ht="13.8" hidden="false" customHeight="false" outlineLevel="0" collapsed="false">
      <c r="A2137" s="0" t="s">
        <v>4715</v>
      </c>
      <c r="B2137" s="0" t="s">
        <v>4716</v>
      </c>
      <c r="C2137" s="0" t="s">
        <v>31</v>
      </c>
      <c r="D2137" s="0" t="s">
        <v>413</v>
      </c>
    </row>
    <row r="2138" customFormat="false" ht="13.8" hidden="false" customHeight="false" outlineLevel="0" collapsed="false">
      <c r="A2138" s="0" t="s">
        <v>4718</v>
      </c>
      <c r="B2138" s="0" t="s">
        <v>4719</v>
      </c>
      <c r="C2138" s="3" t="s">
        <v>31</v>
      </c>
      <c r="D2138" s="0" t="s">
        <v>2364</v>
      </c>
    </row>
    <row r="2139" customFormat="false" ht="13.8" hidden="false" customHeight="false" outlineLevel="0" collapsed="false">
      <c r="A2139" s="0" t="s">
        <v>4720</v>
      </c>
      <c r="B2139" s="0" t="s">
        <v>4574</v>
      </c>
      <c r="C2139" s="0" t="s">
        <v>31</v>
      </c>
      <c r="D2139" s="0" t="s">
        <v>4581</v>
      </c>
    </row>
    <row r="2140" customFormat="false" ht="13.8" hidden="false" customHeight="false" outlineLevel="0" collapsed="false">
      <c r="A2140" s="0" t="s">
        <v>4721</v>
      </c>
      <c r="B2140" s="0" t="s">
        <v>4722</v>
      </c>
      <c r="C2140" s="3" t="s">
        <v>31</v>
      </c>
      <c r="D2140" s="0" t="s">
        <v>2356</v>
      </c>
    </row>
    <row r="2141" customFormat="false" ht="13.8" hidden="false" customHeight="false" outlineLevel="0" collapsed="false">
      <c r="A2141" s="0" t="s">
        <v>4723</v>
      </c>
      <c r="B2141" s="0" t="s">
        <v>4661</v>
      </c>
      <c r="C2141" s="0" t="s">
        <v>31</v>
      </c>
      <c r="D2141" s="0" t="s">
        <v>3711</v>
      </c>
    </row>
    <row r="2142" customFormat="false" ht="13.8" hidden="false" customHeight="false" outlineLevel="0" collapsed="false">
      <c r="A2142" s="0" t="s">
        <v>4724</v>
      </c>
      <c r="B2142" s="0" t="s">
        <v>4725</v>
      </c>
      <c r="C2142" s="3" t="s">
        <v>31</v>
      </c>
      <c r="D2142" s="0" t="s">
        <v>1651</v>
      </c>
    </row>
    <row r="2143" customFormat="false" ht="13.8" hidden="false" customHeight="false" outlineLevel="0" collapsed="false">
      <c r="A2143" s="0" t="s">
        <v>4726</v>
      </c>
      <c r="B2143" s="0" t="s">
        <v>4727</v>
      </c>
      <c r="C2143" s="0" t="s">
        <v>31</v>
      </c>
      <c r="D2143" s="0" t="s">
        <v>413</v>
      </c>
    </row>
    <row r="2144" customFormat="false" ht="13.8" hidden="false" customHeight="false" outlineLevel="0" collapsed="false">
      <c r="A2144" s="0" t="s">
        <v>4728</v>
      </c>
      <c r="B2144" s="0" t="s">
        <v>3917</v>
      </c>
      <c r="C2144" s="0" t="s">
        <v>31</v>
      </c>
      <c r="D2144" s="0" t="s">
        <v>1924</v>
      </c>
    </row>
    <row r="2145" customFormat="false" ht="13.8" hidden="false" customHeight="false" outlineLevel="0" collapsed="false">
      <c r="A2145" s="0" t="s">
        <v>4729</v>
      </c>
      <c r="B2145" s="0" t="s">
        <v>4730</v>
      </c>
      <c r="C2145" s="3" t="s">
        <v>31</v>
      </c>
      <c r="D2145" s="0" t="s">
        <v>2871</v>
      </c>
    </row>
    <row r="2146" customFormat="false" ht="13.8" hidden="false" customHeight="false" outlineLevel="0" collapsed="false">
      <c r="A2146" s="0" t="s">
        <v>4731</v>
      </c>
      <c r="B2146" s="0" t="s">
        <v>4732</v>
      </c>
      <c r="C2146" s="0" t="s">
        <v>31</v>
      </c>
      <c r="D2146" s="0" t="s">
        <v>4581</v>
      </c>
    </row>
    <row r="2147" customFormat="false" ht="13.8" hidden="false" customHeight="false" outlineLevel="0" collapsed="false">
      <c r="A2147" s="0" t="s">
        <v>4733</v>
      </c>
      <c r="B2147" s="0" t="s">
        <v>4734</v>
      </c>
      <c r="C2147" s="0" t="s">
        <v>31</v>
      </c>
      <c r="D2147" s="0" t="s">
        <v>1704</v>
      </c>
    </row>
    <row r="2148" customFormat="false" ht="13.8" hidden="false" customHeight="false" outlineLevel="0" collapsed="false">
      <c r="A2148" s="0" t="s">
        <v>4735</v>
      </c>
      <c r="B2148" s="0" t="s">
        <v>4736</v>
      </c>
      <c r="C2148" s="3" t="s">
        <v>31</v>
      </c>
      <c r="D2148" s="0" t="s">
        <v>1505</v>
      </c>
    </row>
    <row r="2149" customFormat="false" ht="13.8" hidden="false" customHeight="false" outlineLevel="0" collapsed="false">
      <c r="A2149" s="0" t="s">
        <v>4737</v>
      </c>
      <c r="B2149" s="0" t="s">
        <v>4738</v>
      </c>
      <c r="C2149" s="0" t="s">
        <v>31</v>
      </c>
      <c r="D2149" s="0" t="s">
        <v>1592</v>
      </c>
    </row>
    <row r="2150" customFormat="false" ht="13.8" hidden="false" customHeight="false" outlineLevel="0" collapsed="false">
      <c r="A2150" s="0" t="s">
        <v>4739</v>
      </c>
      <c r="B2150" s="0" t="s">
        <v>4740</v>
      </c>
      <c r="C2150" s="3" t="s">
        <v>31</v>
      </c>
      <c r="D2150" s="0" t="s">
        <v>413</v>
      </c>
    </row>
    <row r="2151" customFormat="false" ht="13.8" hidden="false" customHeight="false" outlineLevel="0" collapsed="false">
      <c r="A2151" s="0" t="s">
        <v>4741</v>
      </c>
      <c r="B2151" s="0" t="s">
        <v>4742</v>
      </c>
      <c r="C2151" s="0" t="s">
        <v>31</v>
      </c>
      <c r="D2151" s="0" t="s">
        <v>69</v>
      </c>
    </row>
    <row r="2152" customFormat="false" ht="13.8" hidden="false" customHeight="false" outlineLevel="0" collapsed="false">
      <c r="A2152" s="0" t="s">
        <v>4743</v>
      </c>
      <c r="B2152" s="0" t="s">
        <v>4744</v>
      </c>
      <c r="C2152" s="3" t="s">
        <v>31</v>
      </c>
      <c r="D2152" s="0" t="s">
        <v>16</v>
      </c>
    </row>
    <row r="2153" customFormat="false" ht="13.8" hidden="false" customHeight="false" outlineLevel="0" collapsed="false">
      <c r="A2153" s="0" t="s">
        <v>4745</v>
      </c>
      <c r="B2153" s="0" t="s">
        <v>4746</v>
      </c>
      <c r="C2153" s="3" t="s">
        <v>31</v>
      </c>
      <c r="D2153" s="0" t="s">
        <v>1704</v>
      </c>
    </row>
    <row r="2154" customFormat="false" ht="13.8" hidden="false" customHeight="false" outlineLevel="0" collapsed="false">
      <c r="A2154" s="0" t="s">
        <v>4747</v>
      </c>
      <c r="B2154" s="0" t="s">
        <v>3273</v>
      </c>
      <c r="C2154" s="0" t="s">
        <v>31</v>
      </c>
      <c r="D2154" s="0" t="s">
        <v>1505</v>
      </c>
    </row>
    <row r="2155" customFormat="false" ht="13.8" hidden="false" customHeight="false" outlineLevel="0" collapsed="false">
      <c r="A2155" s="0" t="s">
        <v>4748</v>
      </c>
      <c r="B2155" s="0" t="s">
        <v>4749</v>
      </c>
      <c r="C2155" s="3" t="s">
        <v>31</v>
      </c>
      <c r="D2155" s="0" t="s">
        <v>4750</v>
      </c>
    </row>
    <row r="2156" customFormat="false" ht="13.8" hidden="false" customHeight="false" outlineLevel="0" collapsed="false">
      <c r="A2156" s="0" t="s">
        <v>4751</v>
      </c>
      <c r="B2156" s="0" t="s">
        <v>4752</v>
      </c>
      <c r="C2156" s="0" t="s">
        <v>31</v>
      </c>
      <c r="D2156" s="0" t="s">
        <v>4581</v>
      </c>
    </row>
    <row r="2157" customFormat="false" ht="13.8" hidden="false" customHeight="false" outlineLevel="0" collapsed="false">
      <c r="A2157" s="0" t="s">
        <v>4753</v>
      </c>
      <c r="B2157" s="0" t="s">
        <v>4754</v>
      </c>
      <c r="C2157" s="3" t="s">
        <v>31</v>
      </c>
      <c r="D2157" s="0" t="s">
        <v>2364</v>
      </c>
    </row>
    <row r="2158" customFormat="false" ht="13.8" hidden="false" customHeight="false" outlineLevel="0" collapsed="false">
      <c r="A2158" s="0" t="s">
        <v>4755</v>
      </c>
      <c r="B2158" s="0" t="s">
        <v>4756</v>
      </c>
      <c r="C2158" s="0" t="s">
        <v>31</v>
      </c>
      <c r="D2158" s="0" t="s">
        <v>1737</v>
      </c>
    </row>
    <row r="2159" customFormat="false" ht="13.8" hidden="false" customHeight="false" outlineLevel="0" collapsed="false">
      <c r="A2159" s="0" t="s">
        <v>4757</v>
      </c>
      <c r="B2159" s="0" t="s">
        <v>4758</v>
      </c>
      <c r="C2159" s="3" t="s">
        <v>31</v>
      </c>
      <c r="D2159" s="0" t="s">
        <v>413</v>
      </c>
    </row>
    <row r="2160" customFormat="false" ht="13.8" hidden="false" customHeight="false" outlineLevel="0" collapsed="false">
      <c r="A2160" s="0" t="s">
        <v>4759</v>
      </c>
      <c r="B2160" s="0" t="s">
        <v>4760</v>
      </c>
      <c r="C2160" s="0" t="s">
        <v>31</v>
      </c>
      <c r="D2160" s="0" t="s">
        <v>413</v>
      </c>
    </row>
    <row r="2161" customFormat="false" ht="13.8" hidden="false" customHeight="false" outlineLevel="0" collapsed="false">
      <c r="A2161" s="0" t="s">
        <v>4762</v>
      </c>
      <c r="B2161" s="0" t="s">
        <v>4763</v>
      </c>
      <c r="C2161" s="3" t="s">
        <v>31</v>
      </c>
      <c r="D2161" s="0" t="s">
        <v>413</v>
      </c>
    </row>
    <row r="2162" customFormat="false" ht="13.8" hidden="false" customHeight="false" outlineLevel="0" collapsed="false">
      <c r="A2162" s="0" t="s">
        <v>4764</v>
      </c>
      <c r="B2162" s="0" t="s">
        <v>4765</v>
      </c>
      <c r="C2162" s="0" t="s">
        <v>31</v>
      </c>
      <c r="D2162" s="0" t="s">
        <v>413</v>
      </c>
    </row>
    <row r="2163" customFormat="false" ht="13.8" hidden="false" customHeight="false" outlineLevel="0" collapsed="false">
      <c r="A2163" s="0" t="s">
        <v>4766</v>
      </c>
      <c r="B2163" s="0" t="s">
        <v>4767</v>
      </c>
      <c r="C2163" s="3" t="s">
        <v>31</v>
      </c>
      <c r="D2163" s="0" t="s">
        <v>413</v>
      </c>
    </row>
    <row r="2164" customFormat="false" ht="13.8" hidden="false" customHeight="false" outlineLevel="0" collapsed="false">
      <c r="A2164" s="0" t="s">
        <v>4768</v>
      </c>
      <c r="B2164" s="0" t="s">
        <v>4769</v>
      </c>
      <c r="C2164" s="0" t="s">
        <v>31</v>
      </c>
      <c r="D2164" s="0" t="s">
        <v>2386</v>
      </c>
    </row>
    <row r="2165" customFormat="false" ht="13.8" hidden="false" customHeight="false" outlineLevel="0" collapsed="false">
      <c r="A2165" s="0" t="s">
        <v>4770</v>
      </c>
      <c r="B2165" s="0" t="s">
        <v>4595</v>
      </c>
      <c r="C2165" s="3" t="s">
        <v>31</v>
      </c>
      <c r="D2165" s="0" t="s">
        <v>1527</v>
      </c>
    </row>
    <row r="2166" customFormat="false" ht="13.8" hidden="false" customHeight="false" outlineLevel="0" collapsed="false">
      <c r="A2166" s="0" t="s">
        <v>4771</v>
      </c>
      <c r="B2166" s="0" t="s">
        <v>4772</v>
      </c>
      <c r="C2166" s="0" t="s">
        <v>31</v>
      </c>
      <c r="D2166" s="0" t="s">
        <v>413</v>
      </c>
    </row>
    <row r="2167" customFormat="false" ht="13.8" hidden="false" customHeight="false" outlineLevel="0" collapsed="false">
      <c r="A2167" s="0" t="s">
        <v>4773</v>
      </c>
      <c r="B2167" s="0" t="s">
        <v>4774</v>
      </c>
      <c r="C2167" s="3" t="s">
        <v>31</v>
      </c>
      <c r="D2167" s="0" t="s">
        <v>2552</v>
      </c>
    </row>
    <row r="2168" customFormat="false" ht="13.8" hidden="false" customHeight="false" outlineLevel="0" collapsed="false">
      <c r="A2168" s="0" t="s">
        <v>4775</v>
      </c>
      <c r="B2168" s="0" t="s">
        <v>4776</v>
      </c>
      <c r="C2168" s="0" t="s">
        <v>31</v>
      </c>
      <c r="D2168" s="0" t="s">
        <v>2871</v>
      </c>
    </row>
    <row r="2169" customFormat="false" ht="13.8" hidden="false" customHeight="false" outlineLevel="0" collapsed="false">
      <c r="A2169" s="0" t="s">
        <v>4777</v>
      </c>
      <c r="B2169" s="0" t="s">
        <v>4778</v>
      </c>
      <c r="C2169" s="3" t="s">
        <v>31</v>
      </c>
      <c r="D2169" s="0" t="s">
        <v>1527</v>
      </c>
    </row>
    <row r="2170" customFormat="false" ht="13.8" hidden="false" customHeight="false" outlineLevel="0" collapsed="false">
      <c r="A2170" s="0" t="s">
        <v>4779</v>
      </c>
      <c r="B2170" s="0" t="s">
        <v>4780</v>
      </c>
      <c r="C2170" s="3" t="s">
        <v>31</v>
      </c>
      <c r="D2170" s="0" t="s">
        <v>413</v>
      </c>
    </row>
    <row r="2171" customFormat="false" ht="13.8" hidden="false" customHeight="false" outlineLevel="0" collapsed="false">
      <c r="A2171" s="0" t="s">
        <v>4781</v>
      </c>
      <c r="B2171" s="0" t="s">
        <v>4782</v>
      </c>
      <c r="C2171" s="0" t="s">
        <v>31</v>
      </c>
      <c r="D2171" s="0" t="s">
        <v>1704</v>
      </c>
    </row>
    <row r="2172" customFormat="false" ht="13.8" hidden="false" customHeight="false" outlineLevel="0" collapsed="false">
      <c r="A2172" s="0" t="s">
        <v>4783</v>
      </c>
      <c r="B2172" s="0" t="s">
        <v>4784</v>
      </c>
      <c r="C2172" s="3" t="s">
        <v>31</v>
      </c>
      <c r="D2172" s="0" t="s">
        <v>2871</v>
      </c>
    </row>
    <row r="2173" customFormat="false" ht="13.8" hidden="false" customHeight="false" outlineLevel="0" collapsed="false">
      <c r="A2173" s="0" t="s">
        <v>4785</v>
      </c>
      <c r="B2173" s="0" t="s">
        <v>4786</v>
      </c>
      <c r="C2173" s="0" t="s">
        <v>31</v>
      </c>
      <c r="D2173" s="0" t="s">
        <v>19</v>
      </c>
    </row>
    <row r="2174" customFormat="false" ht="13.8" hidden="false" customHeight="false" outlineLevel="0" collapsed="false">
      <c r="A2174" s="0" t="s">
        <v>4787</v>
      </c>
      <c r="B2174" s="0" t="s">
        <v>4788</v>
      </c>
      <c r="C2174" s="3" t="s">
        <v>31</v>
      </c>
      <c r="D2174" s="0" t="s">
        <v>2054</v>
      </c>
    </row>
    <row r="2175" customFormat="false" ht="13.8" hidden="false" customHeight="false" outlineLevel="0" collapsed="false">
      <c r="A2175" s="0" t="s">
        <v>4789</v>
      </c>
      <c r="B2175" s="0" t="s">
        <v>4790</v>
      </c>
      <c r="C2175" s="0" t="s">
        <v>31</v>
      </c>
      <c r="D2175" s="0" t="s">
        <v>2878</v>
      </c>
    </row>
    <row r="2176" customFormat="false" ht="13.8" hidden="false" customHeight="false" outlineLevel="0" collapsed="false">
      <c r="A2176" s="0" t="s">
        <v>4791</v>
      </c>
      <c r="B2176" s="0" t="s">
        <v>4792</v>
      </c>
      <c r="C2176" s="3" t="s">
        <v>31</v>
      </c>
      <c r="D2176" s="0" t="s">
        <v>1513</v>
      </c>
    </row>
    <row r="2177" customFormat="false" ht="13.8" hidden="false" customHeight="false" outlineLevel="0" collapsed="false">
      <c r="A2177" s="0" t="s">
        <v>4793</v>
      </c>
      <c r="B2177" s="0" t="s">
        <v>4794</v>
      </c>
      <c r="C2177" s="0" t="s">
        <v>31</v>
      </c>
      <c r="D2177" s="0" t="s">
        <v>2364</v>
      </c>
    </row>
    <row r="2178" customFormat="false" ht="13.8" hidden="false" customHeight="false" outlineLevel="0" collapsed="false">
      <c r="A2178" s="0" t="s">
        <v>4795</v>
      </c>
      <c r="B2178" s="0" t="s">
        <v>4796</v>
      </c>
      <c r="C2178" s="3" t="s">
        <v>31</v>
      </c>
      <c r="D2178" s="0" t="s">
        <v>413</v>
      </c>
    </row>
    <row r="2179" customFormat="false" ht="13.8" hidden="false" customHeight="false" outlineLevel="0" collapsed="false">
      <c r="A2179" s="0" t="s">
        <v>4797</v>
      </c>
      <c r="B2179" s="0" t="s">
        <v>4798</v>
      </c>
      <c r="C2179" s="0" t="s">
        <v>31</v>
      </c>
      <c r="D2179" s="0" t="s">
        <v>2364</v>
      </c>
    </row>
    <row r="2180" customFormat="false" ht="13.8" hidden="false" customHeight="false" outlineLevel="0" collapsed="false">
      <c r="A2180" s="0" t="s">
        <v>4799</v>
      </c>
      <c r="B2180" s="0" t="s">
        <v>4800</v>
      </c>
      <c r="C2180" s="3" t="s">
        <v>31</v>
      </c>
      <c r="D2180" s="0" t="s">
        <v>2364</v>
      </c>
    </row>
    <row r="2181" customFormat="false" ht="13.8" hidden="false" customHeight="false" outlineLevel="0" collapsed="false">
      <c r="A2181" s="0" t="s">
        <v>4801</v>
      </c>
      <c r="B2181" s="0" t="s">
        <v>4802</v>
      </c>
      <c r="C2181" s="0" t="s">
        <v>31</v>
      </c>
      <c r="D2181" s="0" t="s">
        <v>4803</v>
      </c>
    </row>
    <row r="2182" customFormat="false" ht="13.8" hidden="false" customHeight="false" outlineLevel="0" collapsed="false">
      <c r="A2182" s="0" t="s">
        <v>4804</v>
      </c>
      <c r="B2182" s="0" t="s">
        <v>4805</v>
      </c>
      <c r="C2182" s="3" t="s">
        <v>31</v>
      </c>
      <c r="D2182" s="0" t="s">
        <v>413</v>
      </c>
    </row>
    <row r="2183" customFormat="false" ht="13.8" hidden="false" customHeight="false" outlineLevel="0" collapsed="false">
      <c r="A2183" s="0" t="s">
        <v>4806</v>
      </c>
      <c r="B2183" s="0" t="s">
        <v>4807</v>
      </c>
      <c r="C2183" s="0" t="s">
        <v>31</v>
      </c>
      <c r="D2183" s="0" t="s">
        <v>2364</v>
      </c>
    </row>
    <row r="2184" customFormat="false" ht="13.8" hidden="false" customHeight="false" outlineLevel="0" collapsed="false">
      <c r="A2184" s="0" t="s">
        <v>4808</v>
      </c>
      <c r="B2184" s="0" t="s">
        <v>4809</v>
      </c>
      <c r="C2184" s="3" t="s">
        <v>31</v>
      </c>
      <c r="D2184" s="0" t="s">
        <v>3523</v>
      </c>
    </row>
    <row r="2185" customFormat="false" ht="13.8" hidden="false" customHeight="false" outlineLevel="0" collapsed="false">
      <c r="A2185" s="0" t="s">
        <v>4810</v>
      </c>
      <c r="B2185" s="0" t="s">
        <v>4811</v>
      </c>
      <c r="C2185" s="0" t="s">
        <v>31</v>
      </c>
      <c r="D2185" s="0" t="s">
        <v>69</v>
      </c>
    </row>
    <row r="2186" customFormat="false" ht="13.8" hidden="false" customHeight="false" outlineLevel="0" collapsed="false">
      <c r="A2186" s="0" t="s">
        <v>4812</v>
      </c>
      <c r="B2186" s="0" t="s">
        <v>4813</v>
      </c>
      <c r="C2186" s="3" t="s">
        <v>31</v>
      </c>
      <c r="D2186" s="0" t="s">
        <v>2871</v>
      </c>
    </row>
    <row r="2187" customFormat="false" ht="13.8" hidden="false" customHeight="false" outlineLevel="0" collapsed="false">
      <c r="A2187" s="0" t="s">
        <v>4814</v>
      </c>
      <c r="B2187" s="0" t="s">
        <v>4815</v>
      </c>
      <c r="C2187" s="3" t="s">
        <v>31</v>
      </c>
      <c r="D2187" s="0" t="s">
        <v>2871</v>
      </c>
    </row>
    <row r="2188" customFormat="false" ht="13.8" hidden="false" customHeight="false" outlineLevel="0" collapsed="false">
      <c r="A2188" s="0" t="s">
        <v>4816</v>
      </c>
      <c r="B2188" s="0" t="s">
        <v>4817</v>
      </c>
      <c r="C2188" s="0" t="s">
        <v>31</v>
      </c>
      <c r="D2188" s="0" t="s">
        <v>2871</v>
      </c>
    </row>
    <row r="2189" customFormat="false" ht="13.8" hidden="false" customHeight="false" outlineLevel="0" collapsed="false">
      <c r="A2189" s="0" t="s">
        <v>4818</v>
      </c>
      <c r="B2189" s="0" t="s">
        <v>4529</v>
      </c>
      <c r="C2189" s="3" t="s">
        <v>31</v>
      </c>
      <c r="D2189" s="0" t="s">
        <v>4819</v>
      </c>
    </row>
    <row r="2190" customFormat="false" ht="13.8" hidden="false" customHeight="false" outlineLevel="0" collapsed="false">
      <c r="A2190" s="0" t="s">
        <v>4820</v>
      </c>
      <c r="B2190" s="0" t="s">
        <v>4821</v>
      </c>
      <c r="C2190" s="0" t="s">
        <v>31</v>
      </c>
      <c r="D2190" s="0" t="s">
        <v>2871</v>
      </c>
    </row>
    <row r="2191" customFormat="false" ht="13.8" hidden="false" customHeight="false" outlineLevel="0" collapsed="false">
      <c r="A2191" s="0" t="s">
        <v>4822</v>
      </c>
      <c r="B2191" s="0" t="s">
        <v>4823</v>
      </c>
      <c r="C2191" s="3" t="s">
        <v>31</v>
      </c>
      <c r="D2191" s="0" t="s">
        <v>3523</v>
      </c>
    </row>
    <row r="2192" customFormat="false" ht="13.8" hidden="false" customHeight="false" outlineLevel="0" collapsed="false">
      <c r="A2192" s="0" t="s">
        <v>4824</v>
      </c>
      <c r="B2192" s="0" t="s">
        <v>4825</v>
      </c>
      <c r="C2192" s="0" t="s">
        <v>31</v>
      </c>
      <c r="D2192" s="0" t="s">
        <v>2364</v>
      </c>
    </row>
    <row r="2193" customFormat="false" ht="13.8" hidden="false" customHeight="false" outlineLevel="0" collapsed="false">
      <c r="A2193" s="0" t="s">
        <v>4826</v>
      </c>
      <c r="B2193" s="0" t="s">
        <v>4827</v>
      </c>
      <c r="C2193" s="3" t="s">
        <v>31</v>
      </c>
      <c r="D2193" s="0" t="s">
        <v>2072</v>
      </c>
    </row>
    <row r="2194" customFormat="false" ht="13.8" hidden="false" customHeight="false" outlineLevel="0" collapsed="false">
      <c r="A2194" s="0" t="s">
        <v>4828</v>
      </c>
      <c r="B2194" s="0" t="s">
        <v>4829</v>
      </c>
      <c r="C2194" s="0" t="s">
        <v>31</v>
      </c>
      <c r="D2194" s="0" t="s">
        <v>1957</v>
      </c>
    </row>
    <row r="2195" customFormat="false" ht="13.8" hidden="false" customHeight="false" outlineLevel="0" collapsed="false">
      <c r="A2195" s="0" t="s">
        <v>4830</v>
      </c>
      <c r="B2195" s="0" t="s">
        <v>4831</v>
      </c>
      <c r="C2195" s="3" t="s">
        <v>31</v>
      </c>
      <c r="D2195" s="0" t="s">
        <v>1527</v>
      </c>
    </row>
    <row r="2196" customFormat="false" ht="13.8" hidden="false" customHeight="false" outlineLevel="0" collapsed="false">
      <c r="A2196" s="0" t="s">
        <v>4832</v>
      </c>
      <c r="B2196" s="0" t="s">
        <v>4833</v>
      </c>
      <c r="C2196" s="0" t="s">
        <v>31</v>
      </c>
      <c r="D2196" s="0" t="s">
        <v>1540</v>
      </c>
    </row>
    <row r="2197" customFormat="false" ht="13.8" hidden="false" customHeight="false" outlineLevel="0" collapsed="false">
      <c r="A2197" s="0" t="s">
        <v>4834</v>
      </c>
      <c r="B2197" s="0" t="s">
        <v>4835</v>
      </c>
      <c r="C2197" s="3" t="s">
        <v>31</v>
      </c>
      <c r="D2197" s="0" t="s">
        <v>1505</v>
      </c>
    </row>
    <row r="2198" customFormat="false" ht="13.8" hidden="false" customHeight="false" outlineLevel="0" collapsed="false">
      <c r="A2198" s="0" t="s">
        <v>4836</v>
      </c>
      <c r="B2198" s="0" t="s">
        <v>4837</v>
      </c>
      <c r="C2198" s="0" t="s">
        <v>31</v>
      </c>
      <c r="D2198" s="0" t="s">
        <v>2364</v>
      </c>
    </row>
    <row r="2199" customFormat="false" ht="13.8" hidden="false" customHeight="false" outlineLevel="0" collapsed="false">
      <c r="A2199" s="0" t="s">
        <v>4838</v>
      </c>
      <c r="B2199" s="0" t="s">
        <v>4839</v>
      </c>
      <c r="C2199" s="3" t="s">
        <v>31</v>
      </c>
      <c r="D2199" s="0" t="s">
        <v>69</v>
      </c>
    </row>
    <row r="2200" customFormat="false" ht="13.8" hidden="false" customHeight="false" outlineLevel="0" collapsed="false">
      <c r="A2200" s="0" t="s">
        <v>4840</v>
      </c>
      <c r="B2200" s="0" t="s">
        <v>4841</v>
      </c>
      <c r="C2200" s="0" t="s">
        <v>31</v>
      </c>
      <c r="D2200" s="0" t="s">
        <v>1527</v>
      </c>
    </row>
    <row r="2201" customFormat="false" ht="13.8" hidden="false" customHeight="false" outlineLevel="0" collapsed="false">
      <c r="A2201" s="0" t="s">
        <v>4842</v>
      </c>
      <c r="B2201" s="0" t="s">
        <v>4843</v>
      </c>
      <c r="C2201" s="3" t="s">
        <v>31</v>
      </c>
      <c r="D2201" s="0" t="s">
        <v>1651</v>
      </c>
    </row>
    <row r="2202" customFormat="false" ht="13.8" hidden="false" customHeight="false" outlineLevel="0" collapsed="false">
      <c r="A2202" s="0" t="s">
        <v>4844</v>
      </c>
      <c r="B2202" s="0" t="s">
        <v>4845</v>
      </c>
      <c r="C2202" s="3" t="s">
        <v>31</v>
      </c>
      <c r="D2202" s="0" t="s">
        <v>1592</v>
      </c>
    </row>
    <row r="2203" customFormat="false" ht="13.8" hidden="false" customHeight="false" outlineLevel="0" collapsed="false">
      <c r="A2203" s="0" t="s">
        <v>4846</v>
      </c>
      <c r="B2203" s="0" t="s">
        <v>4847</v>
      </c>
      <c r="C2203" s="0" t="s">
        <v>31</v>
      </c>
      <c r="D2203" s="0" t="s">
        <v>413</v>
      </c>
    </row>
    <row r="2204" customFormat="false" ht="13.8" hidden="false" customHeight="false" outlineLevel="0" collapsed="false">
      <c r="A2204" s="0" t="s">
        <v>4848</v>
      </c>
      <c r="B2204" s="0" t="s">
        <v>4849</v>
      </c>
      <c r="C2204" s="3" t="s">
        <v>31</v>
      </c>
      <c r="D2204" s="0" t="s">
        <v>2072</v>
      </c>
    </row>
    <row r="2205" customFormat="false" ht="13.8" hidden="false" customHeight="false" outlineLevel="0" collapsed="false">
      <c r="A2205" s="0" t="s">
        <v>4850</v>
      </c>
      <c r="B2205" s="0" t="s">
        <v>4851</v>
      </c>
      <c r="C2205" s="0" t="s">
        <v>31</v>
      </c>
      <c r="D2205" s="0" t="s">
        <v>4581</v>
      </c>
    </row>
    <row r="2206" customFormat="false" ht="13.8" hidden="false" customHeight="false" outlineLevel="0" collapsed="false">
      <c r="A2206" s="0" t="s">
        <v>4852</v>
      </c>
      <c r="B2206" s="0" t="s">
        <v>4853</v>
      </c>
      <c r="C2206" s="3" t="s">
        <v>31</v>
      </c>
      <c r="D2206" s="0" t="s">
        <v>3020</v>
      </c>
    </row>
    <row r="2207" customFormat="false" ht="13.8" hidden="false" customHeight="false" outlineLevel="0" collapsed="false">
      <c r="A2207" s="0" t="s">
        <v>4854</v>
      </c>
      <c r="B2207" s="0" t="s">
        <v>4621</v>
      </c>
      <c r="C2207" s="0" t="s">
        <v>31</v>
      </c>
      <c r="D2207" s="0" t="s">
        <v>2072</v>
      </c>
    </row>
    <row r="2208" customFormat="false" ht="13.8" hidden="false" customHeight="false" outlineLevel="0" collapsed="false">
      <c r="A2208" s="0" t="s">
        <v>4855</v>
      </c>
      <c r="B2208" s="0" t="s">
        <v>4856</v>
      </c>
      <c r="C2208" s="3" t="s">
        <v>31</v>
      </c>
      <c r="D2208" s="0" t="s">
        <v>2552</v>
      </c>
    </row>
    <row r="2209" customFormat="false" ht="13.8" hidden="false" customHeight="false" outlineLevel="0" collapsed="false">
      <c r="A2209" s="0" t="s">
        <v>4857</v>
      </c>
      <c r="B2209" s="0" t="s">
        <v>4858</v>
      </c>
      <c r="C2209" s="0" t="s">
        <v>31</v>
      </c>
      <c r="D2209" s="0" t="s">
        <v>413</v>
      </c>
    </row>
    <row r="2210" customFormat="false" ht="13.8" hidden="false" customHeight="false" outlineLevel="0" collapsed="false">
      <c r="A2210" s="0" t="s">
        <v>4859</v>
      </c>
      <c r="B2210" s="0" t="s">
        <v>4860</v>
      </c>
      <c r="C2210" s="3" t="s">
        <v>31</v>
      </c>
      <c r="D2210" s="0" t="s">
        <v>19</v>
      </c>
    </row>
    <row r="2211" customFormat="false" ht="13.8" hidden="false" customHeight="false" outlineLevel="0" collapsed="false">
      <c r="A2211" s="0" t="s">
        <v>4861</v>
      </c>
      <c r="B2211" s="0" t="s">
        <v>4862</v>
      </c>
      <c r="C2211" s="0" t="s">
        <v>31</v>
      </c>
      <c r="D2211" s="0" t="s">
        <v>1957</v>
      </c>
    </row>
    <row r="2212" customFormat="false" ht="13.8" hidden="false" customHeight="false" outlineLevel="0" collapsed="false">
      <c r="A2212" s="0" t="s">
        <v>4863</v>
      </c>
      <c r="B2212" s="0" t="s">
        <v>4864</v>
      </c>
      <c r="C2212" s="3" t="s">
        <v>31</v>
      </c>
      <c r="D2212" s="0" t="s">
        <v>413</v>
      </c>
    </row>
    <row r="2213" customFormat="false" ht="13.8" hidden="false" customHeight="false" outlineLevel="0" collapsed="false">
      <c r="A2213" s="0" t="s">
        <v>4866</v>
      </c>
      <c r="B2213" s="0" t="s">
        <v>4867</v>
      </c>
      <c r="C2213" s="0" t="s">
        <v>31</v>
      </c>
      <c r="D2213" s="0" t="s">
        <v>19</v>
      </c>
    </row>
    <row r="2214" customFormat="false" ht="13.8" hidden="false" customHeight="false" outlineLevel="0" collapsed="false">
      <c r="A2214" s="0" t="s">
        <v>4868</v>
      </c>
      <c r="B2214" s="0" t="s">
        <v>4869</v>
      </c>
      <c r="C2214" s="3" t="s">
        <v>31</v>
      </c>
      <c r="D2214" s="0" t="s">
        <v>1651</v>
      </c>
    </row>
    <row r="2215" customFormat="false" ht="13.8" hidden="false" customHeight="false" outlineLevel="0" collapsed="false">
      <c r="A2215" s="0" t="s">
        <v>4870</v>
      </c>
      <c r="B2215" s="0" t="s">
        <v>4871</v>
      </c>
      <c r="C2215" s="0" t="s">
        <v>31</v>
      </c>
      <c r="D2215" s="0" t="s">
        <v>2072</v>
      </c>
    </row>
    <row r="2216" customFormat="false" ht="13.8" hidden="false" customHeight="false" outlineLevel="0" collapsed="false">
      <c r="A2216" s="0" t="s">
        <v>4872</v>
      </c>
      <c r="B2216" s="0" t="s">
        <v>4873</v>
      </c>
      <c r="C2216" s="3" t="s">
        <v>31</v>
      </c>
      <c r="D2216" s="0" t="s">
        <v>3077</v>
      </c>
    </row>
    <row r="2217" customFormat="false" ht="13.8" hidden="false" customHeight="false" outlineLevel="0" collapsed="false">
      <c r="A2217" s="0" t="s">
        <v>4874</v>
      </c>
      <c r="B2217" s="0" t="s">
        <v>4875</v>
      </c>
      <c r="C2217" s="3" t="s">
        <v>31</v>
      </c>
      <c r="D2217" s="0" t="s">
        <v>1651</v>
      </c>
    </row>
    <row r="2218" customFormat="false" ht="13.8" hidden="false" customHeight="false" outlineLevel="0" collapsed="false">
      <c r="A2218" s="0" t="s">
        <v>4876</v>
      </c>
      <c r="B2218" s="0" t="s">
        <v>4877</v>
      </c>
      <c r="C2218" s="3" t="s">
        <v>31</v>
      </c>
      <c r="D2218" s="0" t="s">
        <v>1592</v>
      </c>
    </row>
    <row r="2219" customFormat="false" ht="13.8" hidden="false" customHeight="false" outlineLevel="0" collapsed="false">
      <c r="A2219" s="0" t="s">
        <v>4878</v>
      </c>
      <c r="B2219" s="0" t="s">
        <v>4879</v>
      </c>
      <c r="C2219" s="3" t="s">
        <v>31</v>
      </c>
      <c r="D2219" s="0" t="s">
        <v>413</v>
      </c>
    </row>
    <row r="2220" customFormat="false" ht="13.8" hidden="false" customHeight="false" outlineLevel="0" collapsed="false">
      <c r="A2220" s="0" t="s">
        <v>4880</v>
      </c>
      <c r="B2220" s="0" t="s">
        <v>4881</v>
      </c>
      <c r="C2220" s="3" t="s">
        <v>31</v>
      </c>
      <c r="D2220" s="0" t="s">
        <v>413</v>
      </c>
    </row>
    <row r="2221" customFormat="false" ht="13.8" hidden="false" customHeight="false" outlineLevel="0" collapsed="false">
      <c r="A2221" s="0" t="s">
        <v>4882</v>
      </c>
      <c r="B2221" s="0" t="s">
        <v>4883</v>
      </c>
      <c r="C2221" s="3" t="s">
        <v>31</v>
      </c>
      <c r="D2221" s="0" t="s">
        <v>413</v>
      </c>
    </row>
    <row r="2222" customFormat="false" ht="13.8" hidden="false" customHeight="false" outlineLevel="0" collapsed="false">
      <c r="A2222" s="0" t="s">
        <v>4884</v>
      </c>
      <c r="B2222" s="0" t="s">
        <v>4885</v>
      </c>
      <c r="C2222" s="3" t="s">
        <v>31</v>
      </c>
      <c r="D2222" s="0" t="s">
        <v>19</v>
      </c>
    </row>
    <row r="2223" customFormat="false" ht="13.8" hidden="false" customHeight="false" outlineLevel="0" collapsed="false">
      <c r="A2223" s="0" t="s">
        <v>4886</v>
      </c>
      <c r="B2223" s="0" t="s">
        <v>4887</v>
      </c>
      <c r="C2223" s="3" t="s">
        <v>31</v>
      </c>
      <c r="D2223" s="0" t="s">
        <v>1527</v>
      </c>
    </row>
    <row r="2224" customFormat="false" ht="13.8" hidden="false" customHeight="false" outlineLevel="0" collapsed="false">
      <c r="A2224" s="0" t="s">
        <v>4888</v>
      </c>
      <c r="B2224" s="0" t="s">
        <v>4889</v>
      </c>
      <c r="C2224" s="3" t="s">
        <v>31</v>
      </c>
      <c r="D2224" s="0" t="s">
        <v>1527</v>
      </c>
    </row>
    <row r="2225" customFormat="false" ht="13.8" hidden="false" customHeight="false" outlineLevel="0" collapsed="false">
      <c r="A2225" s="0" t="s">
        <v>4890</v>
      </c>
      <c r="B2225" s="0" t="s">
        <v>4891</v>
      </c>
      <c r="C2225" s="3" t="s">
        <v>31</v>
      </c>
      <c r="D2225" s="0" t="s">
        <v>1957</v>
      </c>
    </row>
    <row r="2226" customFormat="false" ht="13.8" hidden="false" customHeight="false" outlineLevel="0" collapsed="false">
      <c r="A2226" s="0" t="s">
        <v>4892</v>
      </c>
      <c r="B2226" s="0" t="s">
        <v>4893</v>
      </c>
      <c r="C2226" s="3" t="s">
        <v>31</v>
      </c>
      <c r="D2226" s="0" t="s">
        <v>1572</v>
      </c>
    </row>
    <row r="2227" customFormat="false" ht="13.8" hidden="false" customHeight="false" outlineLevel="0" collapsed="false">
      <c r="A2227" s="0" t="s">
        <v>4894</v>
      </c>
      <c r="B2227" s="0" t="s">
        <v>4895</v>
      </c>
      <c r="C2227" s="3" t="s">
        <v>31</v>
      </c>
      <c r="D2227" s="0" t="s">
        <v>16</v>
      </c>
    </row>
    <row r="2228" customFormat="false" ht="13.8" hidden="false" customHeight="false" outlineLevel="0" collapsed="false">
      <c r="A2228" s="0" t="s">
        <v>4896</v>
      </c>
      <c r="B2228" s="0" t="s">
        <v>4897</v>
      </c>
      <c r="C2228" s="3" t="s">
        <v>31</v>
      </c>
      <c r="D2228" s="0" t="s">
        <v>3711</v>
      </c>
    </row>
    <row r="2229" customFormat="false" ht="13.8" hidden="false" customHeight="false" outlineLevel="0" collapsed="false">
      <c r="A2229" s="0" t="s">
        <v>4898</v>
      </c>
      <c r="B2229" s="0" t="s">
        <v>4899</v>
      </c>
      <c r="C2229" s="3" t="s">
        <v>31</v>
      </c>
      <c r="D2229" s="0" t="s">
        <v>2878</v>
      </c>
    </row>
    <row r="2230" customFormat="false" ht="13.8" hidden="false" customHeight="false" outlineLevel="0" collapsed="false">
      <c r="A2230" s="0" t="s">
        <v>4900</v>
      </c>
      <c r="B2230" s="0" t="s">
        <v>4901</v>
      </c>
      <c r="C2230" s="3" t="s">
        <v>31</v>
      </c>
      <c r="D2230" s="0" t="s">
        <v>1957</v>
      </c>
    </row>
    <row r="2231" customFormat="false" ht="13.8" hidden="false" customHeight="false" outlineLevel="0" collapsed="false">
      <c r="A2231" s="0" t="s">
        <v>4902</v>
      </c>
      <c r="B2231" s="0" t="s">
        <v>4903</v>
      </c>
      <c r="C2231" s="3" t="s">
        <v>31</v>
      </c>
      <c r="D2231" s="0" t="s">
        <v>413</v>
      </c>
    </row>
    <row r="2232" customFormat="false" ht="13.8" hidden="false" customHeight="false" outlineLevel="0" collapsed="false">
      <c r="A2232" s="0" t="s">
        <v>4904</v>
      </c>
      <c r="B2232" s="0" t="s">
        <v>4905</v>
      </c>
      <c r="C2232" s="3" t="s">
        <v>31</v>
      </c>
      <c r="D2232" s="0" t="s">
        <v>69</v>
      </c>
    </row>
    <row r="2233" customFormat="false" ht="13.8" hidden="false" customHeight="false" outlineLevel="0" collapsed="false">
      <c r="A2233" s="0" t="s">
        <v>4906</v>
      </c>
      <c r="B2233" s="0" t="s">
        <v>4907</v>
      </c>
      <c r="C2233" s="3" t="s">
        <v>31</v>
      </c>
      <c r="D2233" s="0" t="s">
        <v>2054</v>
      </c>
    </row>
    <row r="2234" customFormat="false" ht="13.8" hidden="false" customHeight="false" outlineLevel="0" collapsed="false">
      <c r="A2234" s="0" t="s">
        <v>4908</v>
      </c>
      <c r="B2234" s="0" t="s">
        <v>4909</v>
      </c>
      <c r="C2234" s="3" t="s">
        <v>31</v>
      </c>
      <c r="D2234" s="0" t="s">
        <v>3711</v>
      </c>
    </row>
    <row r="2235" customFormat="false" ht="13.8" hidden="false" customHeight="false" outlineLevel="0" collapsed="false">
      <c r="A2235" s="0" t="s">
        <v>4910</v>
      </c>
      <c r="B2235" s="0" t="s">
        <v>4911</v>
      </c>
      <c r="C2235" s="3" t="s">
        <v>31</v>
      </c>
      <c r="D2235" s="0" t="s">
        <v>1513</v>
      </c>
    </row>
    <row r="2236" customFormat="false" ht="13.8" hidden="false" customHeight="false" outlineLevel="0" collapsed="false">
      <c r="A2236" s="0" t="s">
        <v>4912</v>
      </c>
      <c r="B2236" s="0" t="s">
        <v>4913</v>
      </c>
      <c r="C2236" s="3" t="s">
        <v>31</v>
      </c>
      <c r="D2236" s="0" t="s">
        <v>1761</v>
      </c>
    </row>
    <row r="2237" customFormat="false" ht="13.8" hidden="false" customHeight="false" outlineLevel="0" collapsed="false">
      <c r="A2237" s="0" t="s">
        <v>4914</v>
      </c>
      <c r="B2237" s="0" t="s">
        <v>4915</v>
      </c>
      <c r="C2237" s="3" t="s">
        <v>31</v>
      </c>
      <c r="D2237" s="0" t="s">
        <v>1924</v>
      </c>
    </row>
    <row r="2238" customFormat="false" ht="13.8" hidden="false" customHeight="false" outlineLevel="0" collapsed="false">
      <c r="A2238" s="0" t="s">
        <v>4916</v>
      </c>
      <c r="B2238" s="0" t="s">
        <v>4244</v>
      </c>
      <c r="C2238" s="3" t="s">
        <v>31</v>
      </c>
      <c r="D2238" s="0" t="s">
        <v>2552</v>
      </c>
    </row>
    <row r="2239" customFormat="false" ht="13.8" hidden="false" customHeight="false" outlineLevel="0" collapsed="false">
      <c r="A2239" s="0" t="s">
        <v>4917</v>
      </c>
      <c r="B2239" s="0" t="s">
        <v>4918</v>
      </c>
      <c r="C2239" s="3" t="s">
        <v>31</v>
      </c>
      <c r="D2239" s="0" t="s">
        <v>1704</v>
      </c>
    </row>
    <row r="2240" customFormat="false" ht="13.8" hidden="false" customHeight="false" outlineLevel="0" collapsed="false">
      <c r="A2240" s="0" t="s">
        <v>4919</v>
      </c>
      <c r="B2240" s="0" t="s">
        <v>4920</v>
      </c>
      <c r="C2240" s="3" t="s">
        <v>31</v>
      </c>
      <c r="D2240" s="0" t="s">
        <v>2072</v>
      </c>
    </row>
    <row r="2241" customFormat="false" ht="13.8" hidden="false" customHeight="false" outlineLevel="0" collapsed="false">
      <c r="A2241" s="0" t="s">
        <v>4921</v>
      </c>
      <c r="B2241" s="0" t="s">
        <v>4922</v>
      </c>
      <c r="C2241" s="3" t="s">
        <v>31</v>
      </c>
      <c r="D2241" s="0" t="s">
        <v>1513</v>
      </c>
    </row>
    <row r="2242" customFormat="false" ht="13.8" hidden="false" customHeight="false" outlineLevel="0" collapsed="false">
      <c r="A2242" s="0" t="s">
        <v>4923</v>
      </c>
      <c r="B2242" s="0" t="s">
        <v>4924</v>
      </c>
      <c r="C2242" s="3" t="s">
        <v>31</v>
      </c>
      <c r="D2242" s="0" t="s">
        <v>1957</v>
      </c>
    </row>
    <row r="2243" customFormat="false" ht="13.8" hidden="false" customHeight="false" outlineLevel="0" collapsed="false">
      <c r="A2243" s="0" t="s">
        <v>4925</v>
      </c>
      <c r="B2243" s="0" t="s">
        <v>4926</v>
      </c>
      <c r="C2243" s="3" t="s">
        <v>31</v>
      </c>
      <c r="D2243" s="0" t="s">
        <v>413</v>
      </c>
    </row>
    <row r="2244" customFormat="false" ht="13.8" hidden="false" customHeight="false" outlineLevel="0" collapsed="false">
      <c r="A2244" s="0" t="s">
        <v>4927</v>
      </c>
      <c r="B2244" s="0" t="s">
        <v>4928</v>
      </c>
      <c r="C2244" s="3" t="s">
        <v>31</v>
      </c>
      <c r="D2244" s="0" t="s">
        <v>3261</v>
      </c>
    </row>
    <row r="2245" customFormat="false" ht="13.8" hidden="false" customHeight="false" outlineLevel="0" collapsed="false">
      <c r="A2245" s="0" t="s">
        <v>4929</v>
      </c>
      <c r="B2245" s="0" t="s">
        <v>4930</v>
      </c>
      <c r="C2245" s="3" t="s">
        <v>31</v>
      </c>
      <c r="D2245" s="0" t="s">
        <v>3711</v>
      </c>
    </row>
    <row r="2246" customFormat="false" ht="13.8" hidden="false" customHeight="false" outlineLevel="0" collapsed="false">
      <c r="A2246" s="0" t="s">
        <v>4931</v>
      </c>
      <c r="B2246" s="0" t="s">
        <v>4932</v>
      </c>
      <c r="C2246" s="3" t="s">
        <v>31</v>
      </c>
      <c r="D2246" s="0" t="s">
        <v>19</v>
      </c>
    </row>
    <row r="2247" customFormat="false" ht="13.8" hidden="false" customHeight="false" outlineLevel="0" collapsed="false">
      <c r="A2247" s="0" t="s">
        <v>4933</v>
      </c>
      <c r="B2247" s="0" t="s">
        <v>4934</v>
      </c>
      <c r="C2247" s="3" t="s">
        <v>31</v>
      </c>
      <c r="D2247" s="0" t="s">
        <v>413</v>
      </c>
    </row>
    <row r="2248" customFormat="false" ht="13.8" hidden="false" customHeight="false" outlineLevel="0" collapsed="false">
      <c r="A2248" s="0" t="s">
        <v>4935</v>
      </c>
      <c r="B2248" s="0" t="s">
        <v>4936</v>
      </c>
      <c r="C2248" s="3" t="s">
        <v>31</v>
      </c>
      <c r="D2248" s="0" t="s">
        <v>1699</v>
      </c>
    </row>
    <row r="2249" customFormat="false" ht="13.8" hidden="false" customHeight="false" outlineLevel="0" collapsed="false">
      <c r="A2249" s="0" t="s">
        <v>4937</v>
      </c>
      <c r="B2249" s="0" t="s">
        <v>4938</v>
      </c>
      <c r="C2249" s="3" t="s">
        <v>31</v>
      </c>
      <c r="D2249" s="0" t="s">
        <v>1704</v>
      </c>
    </row>
    <row r="2250" customFormat="false" ht="13.8" hidden="false" customHeight="false" outlineLevel="0" collapsed="false">
      <c r="A2250" s="0" t="s">
        <v>4939</v>
      </c>
      <c r="B2250" s="0" t="s">
        <v>4940</v>
      </c>
      <c r="C2250" s="3" t="s">
        <v>31</v>
      </c>
      <c r="D2250" s="0" t="s">
        <v>413</v>
      </c>
    </row>
    <row r="2251" customFormat="false" ht="13.8" hidden="false" customHeight="false" outlineLevel="0" collapsed="false">
      <c r="A2251" s="0" t="s">
        <v>4941</v>
      </c>
      <c r="B2251" s="0" t="s">
        <v>4942</v>
      </c>
      <c r="C2251" s="3" t="s">
        <v>31</v>
      </c>
      <c r="D2251" s="0" t="s">
        <v>413</v>
      </c>
    </row>
    <row r="2252" customFormat="false" ht="13.8" hidden="false" customHeight="false" outlineLevel="0" collapsed="false">
      <c r="A2252" s="0" t="s">
        <v>4943</v>
      </c>
      <c r="B2252" s="0" t="s">
        <v>4944</v>
      </c>
      <c r="C2252" s="3" t="s">
        <v>31</v>
      </c>
      <c r="D2252" s="0" t="s">
        <v>2871</v>
      </c>
    </row>
    <row r="2253" customFormat="false" ht="13.8" hidden="false" customHeight="false" outlineLevel="0" collapsed="false">
      <c r="A2253" s="0" t="s">
        <v>4945</v>
      </c>
      <c r="B2253" s="0" t="s">
        <v>4946</v>
      </c>
      <c r="C2253" s="3" t="s">
        <v>31</v>
      </c>
      <c r="D2253" s="0" t="s">
        <v>1540</v>
      </c>
    </row>
    <row r="2254" customFormat="false" ht="13.8" hidden="false" customHeight="false" outlineLevel="0" collapsed="false">
      <c r="A2254" s="0" t="s">
        <v>4947</v>
      </c>
      <c r="B2254" s="0" t="s">
        <v>4342</v>
      </c>
      <c r="C2254" s="3" t="s">
        <v>31</v>
      </c>
      <c r="D2254" s="0" t="s">
        <v>1704</v>
      </c>
    </row>
    <row r="2255" customFormat="false" ht="13.8" hidden="false" customHeight="false" outlineLevel="0" collapsed="false">
      <c r="A2255" s="0" t="s">
        <v>4948</v>
      </c>
      <c r="B2255" s="0" t="s">
        <v>4949</v>
      </c>
      <c r="C2255" s="3" t="s">
        <v>31</v>
      </c>
      <c r="D2255" s="0" t="s">
        <v>2072</v>
      </c>
    </row>
    <row r="2256" customFormat="false" ht="13.8" hidden="false" customHeight="false" outlineLevel="0" collapsed="false">
      <c r="A2256" s="0" t="s">
        <v>4950</v>
      </c>
      <c r="B2256" s="0" t="s">
        <v>4951</v>
      </c>
      <c r="C2256" s="3" t="s">
        <v>31</v>
      </c>
      <c r="D2256" s="0" t="s">
        <v>413</v>
      </c>
    </row>
    <row r="2257" customFormat="false" ht="13.8" hidden="false" customHeight="false" outlineLevel="0" collapsed="false">
      <c r="A2257" s="0" t="s">
        <v>4952</v>
      </c>
      <c r="B2257" s="0" t="s">
        <v>4953</v>
      </c>
      <c r="C2257" s="3" t="s">
        <v>31</v>
      </c>
      <c r="D2257" s="0" t="s">
        <v>69</v>
      </c>
    </row>
    <row r="2258" customFormat="false" ht="13.8" hidden="false" customHeight="false" outlineLevel="0" collapsed="false">
      <c r="A2258" s="0" t="s">
        <v>4954</v>
      </c>
      <c r="B2258" s="0" t="s">
        <v>4955</v>
      </c>
      <c r="C2258" s="3" t="s">
        <v>31</v>
      </c>
      <c r="D2258" s="0" t="s">
        <v>4956</v>
      </c>
    </row>
    <row r="2259" customFormat="false" ht="13.8" hidden="false" customHeight="false" outlineLevel="0" collapsed="false">
      <c r="A2259" s="0" t="s">
        <v>4957</v>
      </c>
      <c r="B2259" s="0" t="s">
        <v>4958</v>
      </c>
      <c r="C2259" s="3" t="s">
        <v>31</v>
      </c>
      <c r="D2259" s="0" t="s">
        <v>3020</v>
      </c>
    </row>
    <row r="2260" customFormat="false" ht="13.8" hidden="false" customHeight="false" outlineLevel="0" collapsed="false">
      <c r="A2260" s="0" t="s">
        <v>4959</v>
      </c>
      <c r="B2260" s="0" t="s">
        <v>4960</v>
      </c>
      <c r="C2260" s="3" t="s">
        <v>31</v>
      </c>
      <c r="D2260" s="0" t="s">
        <v>1957</v>
      </c>
    </row>
    <row r="2261" customFormat="false" ht="13.8" hidden="false" customHeight="false" outlineLevel="0" collapsed="false">
      <c r="A2261" s="0" t="s">
        <v>4961</v>
      </c>
      <c r="B2261" s="0" t="s">
        <v>4962</v>
      </c>
      <c r="C2261" s="3" t="s">
        <v>31</v>
      </c>
      <c r="D2261" s="0" t="s">
        <v>2356</v>
      </c>
    </row>
    <row r="2262" customFormat="false" ht="13.8" hidden="false" customHeight="false" outlineLevel="0" collapsed="false">
      <c r="A2262" s="0" t="s">
        <v>4963</v>
      </c>
      <c r="B2262" s="0" t="s">
        <v>4964</v>
      </c>
      <c r="C2262" s="3" t="s">
        <v>31</v>
      </c>
      <c r="D2262" s="0" t="s">
        <v>1513</v>
      </c>
    </row>
    <row r="2263" customFormat="false" ht="13.8" hidden="false" customHeight="false" outlineLevel="0" collapsed="false">
      <c r="A2263" s="0" t="s">
        <v>4965</v>
      </c>
      <c r="B2263" s="0" t="s">
        <v>4966</v>
      </c>
      <c r="C2263" s="3" t="s">
        <v>31</v>
      </c>
      <c r="D2263" s="0" t="s">
        <v>2878</v>
      </c>
    </row>
    <row r="2264" customFormat="false" ht="13.8" hidden="false" customHeight="false" outlineLevel="0" collapsed="false">
      <c r="A2264" s="0" t="s">
        <v>4967</v>
      </c>
      <c r="B2264" s="0" t="s">
        <v>4968</v>
      </c>
      <c r="C2264" s="3" t="s">
        <v>31</v>
      </c>
      <c r="D2264" s="0" t="s">
        <v>1527</v>
      </c>
    </row>
    <row r="2265" customFormat="false" ht="13.8" hidden="false" customHeight="false" outlineLevel="0" collapsed="false">
      <c r="A2265" s="0" t="s">
        <v>4969</v>
      </c>
      <c r="B2265" s="0" t="s">
        <v>4970</v>
      </c>
      <c r="C2265" s="3" t="s">
        <v>31</v>
      </c>
      <c r="D2265" s="0" t="s">
        <v>2678</v>
      </c>
    </row>
    <row r="2266" customFormat="false" ht="13.8" hidden="false" customHeight="false" outlineLevel="0" collapsed="false">
      <c r="A2266" s="0" t="s">
        <v>4971</v>
      </c>
      <c r="B2266" s="0" t="s">
        <v>4972</v>
      </c>
      <c r="C2266" s="3" t="s">
        <v>31</v>
      </c>
      <c r="D2266" s="0" t="s">
        <v>1957</v>
      </c>
    </row>
    <row r="2267" customFormat="false" ht="13.8" hidden="false" customHeight="false" outlineLevel="0" collapsed="false">
      <c r="A2267" s="0" t="s">
        <v>4973</v>
      </c>
      <c r="B2267" s="0" t="s">
        <v>4974</v>
      </c>
      <c r="C2267" s="3" t="s">
        <v>31</v>
      </c>
      <c r="D2267" s="0" t="s">
        <v>3077</v>
      </c>
    </row>
    <row r="2268" customFormat="false" ht="13.8" hidden="false" customHeight="false" outlineLevel="0" collapsed="false">
      <c r="A2268" s="0" t="s">
        <v>4975</v>
      </c>
      <c r="B2268" s="0" t="s">
        <v>4976</v>
      </c>
      <c r="C2268" s="3" t="s">
        <v>31</v>
      </c>
      <c r="D2268" s="0" t="s">
        <v>413</v>
      </c>
    </row>
    <row r="2269" customFormat="false" ht="13.8" hidden="false" customHeight="false" outlineLevel="0" collapsed="false">
      <c r="A2269" s="0" t="s">
        <v>4978</v>
      </c>
      <c r="B2269" s="0" t="s">
        <v>4979</v>
      </c>
      <c r="C2269" s="3" t="s">
        <v>31</v>
      </c>
      <c r="D2269" s="0" t="s">
        <v>4980</v>
      </c>
    </row>
    <row r="2270" customFormat="false" ht="13.8" hidden="false" customHeight="false" outlineLevel="0" collapsed="false">
      <c r="A2270" s="0" t="s">
        <v>4981</v>
      </c>
      <c r="B2270" s="0" t="s">
        <v>4982</v>
      </c>
      <c r="C2270" s="3" t="s">
        <v>31</v>
      </c>
      <c r="D2270" s="0" t="s">
        <v>1924</v>
      </c>
    </row>
    <row r="2271" customFormat="false" ht="13.8" hidden="false" customHeight="false" outlineLevel="0" collapsed="false">
      <c r="A2271" s="0" t="s">
        <v>4983</v>
      </c>
      <c r="B2271" s="0" t="s">
        <v>4984</v>
      </c>
      <c r="C2271" s="3" t="s">
        <v>31</v>
      </c>
      <c r="D2271" s="0" t="s">
        <v>413</v>
      </c>
    </row>
    <row r="2272" customFormat="false" ht="13.8" hidden="false" customHeight="false" outlineLevel="0" collapsed="false">
      <c r="A2272" s="0" t="s">
        <v>4985</v>
      </c>
      <c r="B2272" s="0" t="s">
        <v>4986</v>
      </c>
      <c r="C2272" s="3" t="s">
        <v>31</v>
      </c>
      <c r="D2272" s="0" t="s">
        <v>16</v>
      </c>
    </row>
    <row r="2273" customFormat="false" ht="13.8" hidden="false" customHeight="false" outlineLevel="0" collapsed="false">
      <c r="A2273" s="0" t="s">
        <v>4987</v>
      </c>
      <c r="B2273" s="0" t="s">
        <v>4988</v>
      </c>
      <c r="C2273" s="3" t="s">
        <v>31</v>
      </c>
      <c r="D2273" s="0" t="s">
        <v>1704</v>
      </c>
    </row>
    <row r="2274" customFormat="false" ht="13.8" hidden="false" customHeight="false" outlineLevel="0" collapsed="false">
      <c r="A2274" s="0" t="s">
        <v>4989</v>
      </c>
      <c r="B2274" s="0" t="s">
        <v>4990</v>
      </c>
      <c r="C2274" s="3" t="s">
        <v>31</v>
      </c>
      <c r="D2274" s="0" t="s">
        <v>1924</v>
      </c>
    </row>
    <row r="2275" customFormat="false" ht="13.8" hidden="false" customHeight="false" outlineLevel="0" collapsed="false">
      <c r="A2275" s="0" t="s">
        <v>4991</v>
      </c>
      <c r="B2275" s="0" t="s">
        <v>4992</v>
      </c>
      <c r="C2275" s="3" t="s">
        <v>31</v>
      </c>
      <c r="D2275" s="0" t="s">
        <v>1704</v>
      </c>
    </row>
    <row r="2276" customFormat="false" ht="13.8" hidden="false" customHeight="false" outlineLevel="0" collapsed="false">
      <c r="A2276" s="0" t="s">
        <v>4993</v>
      </c>
      <c r="B2276" s="0" t="s">
        <v>4994</v>
      </c>
      <c r="C2276" s="3" t="s">
        <v>31</v>
      </c>
      <c r="D2276" s="0" t="s">
        <v>1513</v>
      </c>
    </row>
    <row r="2277" customFormat="false" ht="13.8" hidden="false" customHeight="false" outlineLevel="0" collapsed="false">
      <c r="A2277" s="0" t="s">
        <v>4995</v>
      </c>
      <c r="B2277" s="0" t="s">
        <v>4996</v>
      </c>
      <c r="C2277" s="3" t="s">
        <v>31</v>
      </c>
      <c r="D2277" s="0" t="s">
        <v>16</v>
      </c>
    </row>
    <row r="2278" customFormat="false" ht="13.8" hidden="false" customHeight="false" outlineLevel="0" collapsed="false">
      <c r="A2278" s="0" t="s">
        <v>4997</v>
      </c>
      <c r="B2278" s="0" t="s">
        <v>4998</v>
      </c>
      <c r="C2278" s="3" t="s">
        <v>31</v>
      </c>
      <c r="D2278" s="0" t="s">
        <v>1592</v>
      </c>
    </row>
    <row r="2279" customFormat="false" ht="13.8" hidden="false" customHeight="false" outlineLevel="0" collapsed="false">
      <c r="A2279" s="0" t="s">
        <v>4999</v>
      </c>
      <c r="B2279" s="0" t="s">
        <v>5000</v>
      </c>
      <c r="C2279" s="3" t="s">
        <v>31</v>
      </c>
      <c r="D2279" s="0" t="s">
        <v>4560</v>
      </c>
    </row>
    <row r="2280" customFormat="false" ht="13.8" hidden="false" customHeight="false" outlineLevel="0" collapsed="false">
      <c r="A2280" s="0" t="s">
        <v>5001</v>
      </c>
      <c r="B2280" s="0" t="s">
        <v>5002</v>
      </c>
      <c r="C2280" s="3" t="s">
        <v>31</v>
      </c>
      <c r="D2280" s="0" t="s">
        <v>1657</v>
      </c>
    </row>
    <row r="2281" customFormat="false" ht="13.8" hidden="false" customHeight="false" outlineLevel="0" collapsed="false">
      <c r="A2281" s="0" t="s">
        <v>5003</v>
      </c>
      <c r="B2281" s="0" t="s">
        <v>5004</v>
      </c>
      <c r="C2281" s="3" t="s">
        <v>31</v>
      </c>
      <c r="D2281" s="0" t="s">
        <v>5005</v>
      </c>
    </row>
    <row r="2282" customFormat="false" ht="13.8" hidden="false" customHeight="false" outlineLevel="0" collapsed="false">
      <c r="A2282" s="0" t="s">
        <v>5006</v>
      </c>
      <c r="B2282" s="0" t="s">
        <v>5007</v>
      </c>
      <c r="C2282" s="3" t="s">
        <v>31</v>
      </c>
      <c r="D2282" s="0" t="s">
        <v>3711</v>
      </c>
    </row>
    <row r="2283" customFormat="false" ht="13.8" hidden="false" customHeight="false" outlineLevel="0" collapsed="false">
      <c r="A2283" s="0" t="s">
        <v>5008</v>
      </c>
      <c r="B2283" s="0" t="s">
        <v>5009</v>
      </c>
      <c r="C2283" s="3" t="s">
        <v>31</v>
      </c>
      <c r="D2283" s="0" t="s">
        <v>5010</v>
      </c>
    </row>
    <row r="2284" customFormat="false" ht="13.8" hidden="false" customHeight="false" outlineLevel="0" collapsed="false">
      <c r="A2284" s="0" t="s">
        <v>5011</v>
      </c>
      <c r="B2284" s="0" t="s">
        <v>5012</v>
      </c>
      <c r="C2284" s="3" t="s">
        <v>31</v>
      </c>
      <c r="D2284" s="0" t="s">
        <v>413</v>
      </c>
    </row>
    <row r="2285" customFormat="false" ht="13.8" hidden="false" customHeight="false" outlineLevel="0" collapsed="false">
      <c r="A2285" s="0" t="s">
        <v>5013</v>
      </c>
      <c r="B2285" s="0" t="s">
        <v>5014</v>
      </c>
      <c r="C2285" s="3" t="s">
        <v>31</v>
      </c>
      <c r="D2285" s="0" t="s">
        <v>19</v>
      </c>
    </row>
    <row r="2286" customFormat="false" ht="13.8" hidden="false" customHeight="false" outlineLevel="0" collapsed="false">
      <c r="A2286" s="0" t="s">
        <v>5015</v>
      </c>
      <c r="B2286" s="0" t="s">
        <v>5016</v>
      </c>
      <c r="C2286" s="3" t="s">
        <v>31</v>
      </c>
      <c r="D2286" s="0" t="s">
        <v>1527</v>
      </c>
    </row>
    <row r="2287" customFormat="false" ht="13.8" hidden="false" customHeight="false" outlineLevel="0" collapsed="false">
      <c r="A2287" s="0" t="s">
        <v>5017</v>
      </c>
      <c r="B2287" s="0" t="s">
        <v>5018</v>
      </c>
      <c r="C2287" s="3" t="s">
        <v>31</v>
      </c>
      <c r="D2287" s="0" t="s">
        <v>2878</v>
      </c>
    </row>
    <row r="2288" customFormat="false" ht="13.8" hidden="false" customHeight="false" outlineLevel="0" collapsed="false">
      <c r="A2288" s="0" t="s">
        <v>5019</v>
      </c>
      <c r="B2288" s="0" t="s">
        <v>5020</v>
      </c>
      <c r="C2288" s="3" t="s">
        <v>31</v>
      </c>
      <c r="D2288" s="0" t="s">
        <v>413</v>
      </c>
    </row>
    <row r="2289" customFormat="false" ht="13.8" hidden="false" customHeight="false" outlineLevel="0" collapsed="false">
      <c r="A2289" s="0" t="s">
        <v>5021</v>
      </c>
      <c r="B2289" s="0" t="s">
        <v>5022</v>
      </c>
      <c r="C2289" s="3" t="s">
        <v>31</v>
      </c>
      <c r="D2289" s="0" t="s">
        <v>69</v>
      </c>
    </row>
    <row r="2290" customFormat="false" ht="13.8" hidden="false" customHeight="false" outlineLevel="0" collapsed="false">
      <c r="A2290" s="0" t="s">
        <v>5023</v>
      </c>
      <c r="B2290" s="0" t="s">
        <v>4374</v>
      </c>
      <c r="C2290" s="3" t="s">
        <v>31</v>
      </c>
      <c r="D2290" s="0" t="s">
        <v>2364</v>
      </c>
    </row>
    <row r="2291" customFormat="false" ht="13.8" hidden="false" customHeight="false" outlineLevel="0" collapsed="false">
      <c r="A2291" s="0" t="s">
        <v>5024</v>
      </c>
      <c r="B2291" s="0" t="s">
        <v>5025</v>
      </c>
      <c r="C2291" s="3" t="s">
        <v>31</v>
      </c>
      <c r="D2291" s="0" t="s">
        <v>1737</v>
      </c>
    </row>
    <row r="2292" customFormat="false" ht="13.8" hidden="false" customHeight="false" outlineLevel="0" collapsed="false">
      <c r="A2292" s="0" t="s">
        <v>5026</v>
      </c>
      <c r="B2292" s="0" t="s">
        <v>5027</v>
      </c>
      <c r="C2292" s="3" t="s">
        <v>31</v>
      </c>
      <c r="D2292" s="0" t="s">
        <v>1737</v>
      </c>
    </row>
    <row r="2293" customFormat="false" ht="13.8" hidden="false" customHeight="false" outlineLevel="0" collapsed="false">
      <c r="A2293" s="0" t="s">
        <v>5028</v>
      </c>
      <c r="B2293" s="0" t="s">
        <v>5029</v>
      </c>
      <c r="C2293" s="3" t="s">
        <v>31</v>
      </c>
      <c r="D2293" s="0" t="s">
        <v>1592</v>
      </c>
    </row>
    <row r="2294" customFormat="false" ht="13.8" hidden="false" customHeight="false" outlineLevel="0" collapsed="false">
      <c r="A2294" s="0" t="s">
        <v>5030</v>
      </c>
      <c r="B2294" s="0" t="s">
        <v>5031</v>
      </c>
      <c r="C2294" s="3" t="s">
        <v>31</v>
      </c>
      <c r="D2294" s="0" t="s">
        <v>2905</v>
      </c>
    </row>
    <row r="2295" customFormat="false" ht="13.8" hidden="false" customHeight="false" outlineLevel="0" collapsed="false">
      <c r="A2295" s="0" t="s">
        <v>5032</v>
      </c>
      <c r="B2295" s="0" t="s">
        <v>5033</v>
      </c>
      <c r="C2295" s="3" t="s">
        <v>31</v>
      </c>
      <c r="D2295" s="0" t="s">
        <v>1737</v>
      </c>
    </row>
    <row r="2296" customFormat="false" ht="13.8" hidden="false" customHeight="false" outlineLevel="0" collapsed="false">
      <c r="A2296" s="0" t="s">
        <v>5034</v>
      </c>
      <c r="B2296" s="0" t="s">
        <v>5035</v>
      </c>
      <c r="C2296" s="3" t="s">
        <v>31</v>
      </c>
      <c r="D2296" s="0" t="s">
        <v>19</v>
      </c>
    </row>
    <row r="2297" customFormat="false" ht="13.8" hidden="false" customHeight="false" outlineLevel="0" collapsed="false">
      <c r="A2297" s="0" t="s">
        <v>5036</v>
      </c>
      <c r="B2297" s="0" t="s">
        <v>5037</v>
      </c>
      <c r="C2297" s="3" t="s">
        <v>31</v>
      </c>
      <c r="D2297" s="0" t="s">
        <v>1508</v>
      </c>
    </row>
    <row r="2298" customFormat="false" ht="13.8" hidden="false" customHeight="false" outlineLevel="0" collapsed="false">
      <c r="A2298" s="0" t="s">
        <v>5038</v>
      </c>
      <c r="B2298" s="0" t="s">
        <v>5039</v>
      </c>
      <c r="C2298" s="3" t="s">
        <v>31</v>
      </c>
      <c r="D2298" s="0" t="s">
        <v>2492</v>
      </c>
    </row>
    <row r="2299" customFormat="false" ht="13.8" hidden="false" customHeight="false" outlineLevel="0" collapsed="false">
      <c r="A2299" s="0" t="s">
        <v>5040</v>
      </c>
      <c r="B2299" s="0" t="s">
        <v>5041</v>
      </c>
      <c r="C2299" s="3" t="s">
        <v>31</v>
      </c>
      <c r="D2299" s="0" t="s">
        <v>413</v>
      </c>
    </row>
    <row r="2300" customFormat="false" ht="13.8" hidden="false" customHeight="false" outlineLevel="0" collapsed="false">
      <c r="A2300" s="0" t="s">
        <v>5042</v>
      </c>
      <c r="B2300" s="0" t="s">
        <v>5043</v>
      </c>
      <c r="C2300" s="3" t="s">
        <v>31</v>
      </c>
      <c r="D2300" s="0" t="s">
        <v>1957</v>
      </c>
    </row>
    <row r="2301" customFormat="false" ht="13.8" hidden="false" customHeight="false" outlineLevel="0" collapsed="false">
      <c r="A2301" s="0" t="s">
        <v>5044</v>
      </c>
      <c r="B2301" s="0" t="s">
        <v>5045</v>
      </c>
      <c r="C2301" s="3" t="s">
        <v>31</v>
      </c>
      <c r="D2301" s="0" t="s">
        <v>1527</v>
      </c>
    </row>
    <row r="2302" customFormat="false" ht="13.8" hidden="false" customHeight="false" outlineLevel="0" collapsed="false">
      <c r="A2302" s="0" t="s">
        <v>5046</v>
      </c>
      <c r="B2302" s="0" t="s">
        <v>5047</v>
      </c>
      <c r="C2302" s="3" t="s">
        <v>31</v>
      </c>
      <c r="D2302" s="0" t="s">
        <v>1540</v>
      </c>
    </row>
    <row r="2303" customFormat="false" ht="13.8" hidden="false" customHeight="false" outlineLevel="0" collapsed="false">
      <c r="A2303" s="0" t="s">
        <v>5048</v>
      </c>
      <c r="B2303" s="0" t="s">
        <v>5049</v>
      </c>
      <c r="C2303" s="3" t="s">
        <v>31</v>
      </c>
      <c r="D2303" s="0" t="s">
        <v>1704</v>
      </c>
    </row>
    <row r="2304" customFormat="false" ht="13.8" hidden="false" customHeight="false" outlineLevel="0" collapsed="false">
      <c r="A2304" s="0" t="s">
        <v>5050</v>
      </c>
      <c r="B2304" s="0" t="s">
        <v>5051</v>
      </c>
      <c r="C2304" s="3" t="s">
        <v>31</v>
      </c>
      <c r="D2304" s="0" t="s">
        <v>3691</v>
      </c>
    </row>
    <row r="2305" customFormat="false" ht="13.8" hidden="false" customHeight="false" outlineLevel="0" collapsed="false">
      <c r="A2305" s="0" t="s">
        <v>5052</v>
      </c>
      <c r="B2305" s="0" t="s">
        <v>5053</v>
      </c>
      <c r="C2305" s="3" t="s">
        <v>31</v>
      </c>
      <c r="D2305" s="0" t="s">
        <v>1505</v>
      </c>
    </row>
    <row r="2306" customFormat="false" ht="13.8" hidden="false" customHeight="false" outlineLevel="0" collapsed="false">
      <c r="A2306" s="0" t="s">
        <v>5054</v>
      </c>
      <c r="B2306" s="0" t="s">
        <v>5055</v>
      </c>
      <c r="C2306" s="3" t="s">
        <v>31</v>
      </c>
      <c r="D2306" s="0" t="s">
        <v>413</v>
      </c>
    </row>
    <row r="2307" customFormat="false" ht="13.8" hidden="false" customHeight="false" outlineLevel="0" collapsed="false">
      <c r="A2307" s="0" t="s">
        <v>5056</v>
      </c>
      <c r="B2307" s="0" t="s">
        <v>5057</v>
      </c>
      <c r="C2307" s="3" t="s">
        <v>31</v>
      </c>
      <c r="D2307" s="0" t="s">
        <v>2072</v>
      </c>
    </row>
    <row r="2308" customFormat="false" ht="13.8" hidden="false" customHeight="false" outlineLevel="0" collapsed="false">
      <c r="A2308" s="0" t="s">
        <v>5058</v>
      </c>
      <c r="B2308" s="0" t="s">
        <v>5059</v>
      </c>
      <c r="C2308" s="0" t="s">
        <v>31</v>
      </c>
      <c r="D2308" s="0" t="s">
        <v>1651</v>
      </c>
    </row>
    <row r="2309" customFormat="false" ht="13.8" hidden="false" customHeight="false" outlineLevel="0" collapsed="false">
      <c r="A2309" s="0" t="s">
        <v>5060</v>
      </c>
      <c r="B2309" s="0" t="s">
        <v>5061</v>
      </c>
      <c r="C2309" s="0" t="s">
        <v>31</v>
      </c>
      <c r="D2309" s="0" t="s">
        <v>1957</v>
      </c>
    </row>
    <row r="2310" customFormat="false" ht="13.8" hidden="false" customHeight="false" outlineLevel="0" collapsed="false">
      <c r="A2310" s="0" t="s">
        <v>5062</v>
      </c>
      <c r="B2310" s="0" t="s">
        <v>5063</v>
      </c>
      <c r="C2310" s="0" t="s">
        <v>31</v>
      </c>
      <c r="D2310" s="0" t="s">
        <v>2701</v>
      </c>
    </row>
    <row r="2311" customFormat="false" ht="13.8" hidden="false" customHeight="false" outlineLevel="0" collapsed="false">
      <c r="A2311" s="0" t="s">
        <v>5064</v>
      </c>
      <c r="B2311" s="0" t="s">
        <v>5065</v>
      </c>
      <c r="C2311" s="0" t="s">
        <v>31</v>
      </c>
      <c r="D2311" s="0" t="s">
        <v>1513</v>
      </c>
    </row>
    <row r="2312" customFormat="false" ht="13.8" hidden="false" customHeight="false" outlineLevel="0" collapsed="false">
      <c r="A2312" s="0" t="s">
        <v>5066</v>
      </c>
      <c r="B2312" s="0" t="s">
        <v>5067</v>
      </c>
      <c r="C2312" s="0" t="s">
        <v>31</v>
      </c>
      <c r="D2312" s="0" t="s">
        <v>1651</v>
      </c>
    </row>
    <row r="2313" customFormat="false" ht="13.8" hidden="false" customHeight="false" outlineLevel="0" collapsed="false">
      <c r="A2313" s="0" t="s">
        <v>5068</v>
      </c>
      <c r="B2313" s="0" t="s">
        <v>5069</v>
      </c>
      <c r="C2313" s="0" t="s">
        <v>31</v>
      </c>
      <c r="D2313" s="0" t="s">
        <v>69</v>
      </c>
    </row>
    <row r="2314" customFormat="false" ht="13.8" hidden="false" customHeight="false" outlineLevel="0" collapsed="false">
      <c r="A2314" s="0" t="s">
        <v>5070</v>
      </c>
      <c r="B2314" s="0" t="s">
        <v>5071</v>
      </c>
      <c r="C2314" s="0" t="s">
        <v>31</v>
      </c>
      <c r="D2314" s="0" t="s">
        <v>2905</v>
      </c>
    </row>
    <row r="2315" customFormat="false" ht="13.8" hidden="false" customHeight="false" outlineLevel="0" collapsed="false">
      <c r="A2315" s="0" t="s">
        <v>5072</v>
      </c>
      <c r="B2315" s="0" t="s">
        <v>5073</v>
      </c>
      <c r="C2315" s="0" t="s">
        <v>31</v>
      </c>
      <c r="D2315" s="0" t="s">
        <v>2072</v>
      </c>
    </row>
    <row r="2316" customFormat="false" ht="13.8" hidden="false" customHeight="false" outlineLevel="0" collapsed="false">
      <c r="A2316" s="0" t="s">
        <v>5074</v>
      </c>
      <c r="B2316" s="0" t="s">
        <v>5075</v>
      </c>
      <c r="C2316" s="0" t="s">
        <v>31</v>
      </c>
      <c r="D2316" s="0" t="s">
        <v>1508</v>
      </c>
    </row>
    <row r="2317" customFormat="false" ht="13.8" hidden="false" customHeight="false" outlineLevel="0" collapsed="false">
      <c r="A2317" s="0" t="s">
        <v>5076</v>
      </c>
      <c r="B2317" s="0" t="s">
        <v>5077</v>
      </c>
      <c r="C2317" s="0" t="s">
        <v>31</v>
      </c>
      <c r="D2317" s="0" t="s">
        <v>19</v>
      </c>
    </row>
    <row r="2318" customFormat="false" ht="13.8" hidden="false" customHeight="false" outlineLevel="0" collapsed="false">
      <c r="A2318" s="0" t="s">
        <v>5078</v>
      </c>
      <c r="B2318" s="0" t="s">
        <v>5079</v>
      </c>
      <c r="C2318" s="0" t="s">
        <v>31</v>
      </c>
      <c r="D2318" s="0" t="s">
        <v>2364</v>
      </c>
    </row>
    <row r="2319" customFormat="false" ht="13.8" hidden="false" customHeight="false" outlineLevel="0" collapsed="false">
      <c r="A2319" s="0" t="s">
        <v>5080</v>
      </c>
      <c r="B2319" s="0" t="s">
        <v>5081</v>
      </c>
      <c r="C2319" s="0" t="s">
        <v>31</v>
      </c>
      <c r="D2319" s="0" t="s">
        <v>1513</v>
      </c>
    </row>
    <row r="2320" customFormat="false" ht="13.8" hidden="false" customHeight="false" outlineLevel="0" collapsed="false">
      <c r="A2320" s="0" t="s">
        <v>5082</v>
      </c>
      <c r="B2320" s="0" t="s">
        <v>5083</v>
      </c>
      <c r="C2320" s="0" t="s">
        <v>31</v>
      </c>
      <c r="D2320" s="0" t="s">
        <v>2356</v>
      </c>
    </row>
    <row r="2321" customFormat="false" ht="13.8" hidden="false" customHeight="false" outlineLevel="0" collapsed="false">
      <c r="A2321" s="0" t="s">
        <v>5084</v>
      </c>
      <c r="B2321" s="0" t="s">
        <v>5085</v>
      </c>
      <c r="C2321" s="0" t="s">
        <v>31</v>
      </c>
      <c r="D2321" s="0" t="s">
        <v>2701</v>
      </c>
    </row>
    <row r="2322" customFormat="false" ht="13.8" hidden="false" customHeight="false" outlineLevel="0" collapsed="false">
      <c r="A2322" s="0" t="s">
        <v>5086</v>
      </c>
      <c r="B2322" s="0" t="s">
        <v>5087</v>
      </c>
      <c r="C2322" s="0" t="s">
        <v>31</v>
      </c>
      <c r="D2322" s="0" t="s">
        <v>413</v>
      </c>
    </row>
    <row r="2323" customFormat="false" ht="13.8" hidden="false" customHeight="false" outlineLevel="0" collapsed="false">
      <c r="A2323" s="0" t="s">
        <v>5088</v>
      </c>
      <c r="B2323" s="0" t="s">
        <v>5089</v>
      </c>
      <c r="C2323" s="0" t="s">
        <v>31</v>
      </c>
      <c r="D2323" s="0" t="s">
        <v>1651</v>
      </c>
    </row>
    <row r="2324" customFormat="false" ht="13.8" hidden="false" customHeight="false" outlineLevel="0" collapsed="false">
      <c r="A2324" s="0" t="s">
        <v>5090</v>
      </c>
      <c r="B2324" s="0" t="s">
        <v>5091</v>
      </c>
      <c r="C2324" s="0" t="s">
        <v>31</v>
      </c>
      <c r="D2324" s="0" t="s">
        <v>1513</v>
      </c>
    </row>
    <row r="2325" customFormat="false" ht="13.8" hidden="false" customHeight="false" outlineLevel="0" collapsed="false">
      <c r="A2325" s="0" t="s">
        <v>5092</v>
      </c>
      <c r="B2325" s="0" t="s">
        <v>5093</v>
      </c>
      <c r="C2325" s="0" t="s">
        <v>31</v>
      </c>
      <c r="D2325" s="0" t="s">
        <v>1657</v>
      </c>
    </row>
    <row r="2326" customFormat="false" ht="13.8" hidden="false" customHeight="false" outlineLevel="0" collapsed="false">
      <c r="A2326" s="0" t="s">
        <v>5094</v>
      </c>
      <c r="B2326" s="0" t="s">
        <v>5095</v>
      </c>
      <c r="C2326" s="0" t="s">
        <v>31</v>
      </c>
      <c r="D2326" s="0" t="s">
        <v>1651</v>
      </c>
    </row>
    <row r="2327" customFormat="false" ht="13.8" hidden="false" customHeight="false" outlineLevel="0" collapsed="false">
      <c r="A2327" s="0" t="s">
        <v>5096</v>
      </c>
      <c r="B2327" s="0" t="s">
        <v>5097</v>
      </c>
      <c r="C2327" s="0" t="s">
        <v>31</v>
      </c>
      <c r="D2327" s="0" t="s">
        <v>3691</v>
      </c>
    </row>
    <row r="2328" customFormat="false" ht="13.8" hidden="false" customHeight="false" outlineLevel="0" collapsed="false">
      <c r="A2328" s="0" t="s">
        <v>5098</v>
      </c>
      <c r="B2328" s="0" t="s">
        <v>5099</v>
      </c>
      <c r="C2328" s="0" t="s">
        <v>31</v>
      </c>
      <c r="D2328" s="0" t="s">
        <v>413</v>
      </c>
    </row>
    <row r="2329" customFormat="false" ht="13.8" hidden="false" customHeight="false" outlineLevel="0" collapsed="false">
      <c r="A2329" s="0" t="s">
        <v>5100</v>
      </c>
      <c r="B2329" s="0" t="s">
        <v>5101</v>
      </c>
      <c r="C2329" s="0" t="s">
        <v>31</v>
      </c>
      <c r="D2329" s="0" t="s">
        <v>69</v>
      </c>
    </row>
    <row r="2330" customFormat="false" ht="13.8" hidden="false" customHeight="false" outlineLevel="0" collapsed="false">
      <c r="A2330" s="0" t="s">
        <v>5102</v>
      </c>
      <c r="B2330" s="0" t="s">
        <v>5103</v>
      </c>
      <c r="C2330" s="0" t="s">
        <v>31</v>
      </c>
      <c r="D2330" s="0" t="s">
        <v>5104</v>
      </c>
    </row>
    <row r="2331" customFormat="false" ht="13.8" hidden="false" customHeight="false" outlineLevel="0" collapsed="false">
      <c r="A2331" s="0" t="s">
        <v>5105</v>
      </c>
      <c r="B2331" s="0" t="s">
        <v>5106</v>
      </c>
      <c r="C2331" s="0" t="s">
        <v>31</v>
      </c>
      <c r="D2331" s="0" t="s">
        <v>3261</v>
      </c>
    </row>
    <row r="2332" customFormat="false" ht="13.8" hidden="false" customHeight="false" outlineLevel="0" collapsed="false">
      <c r="A2332" s="0" t="s">
        <v>5107</v>
      </c>
      <c r="B2332" s="0" t="s">
        <v>5108</v>
      </c>
      <c r="C2332" s="0" t="s">
        <v>31</v>
      </c>
      <c r="D2332" s="0" t="s">
        <v>2072</v>
      </c>
    </row>
    <row r="2333" customFormat="false" ht="13.8" hidden="false" customHeight="false" outlineLevel="0" collapsed="false">
      <c r="A2333" s="0" t="s">
        <v>5109</v>
      </c>
      <c r="B2333" s="0" t="s">
        <v>5110</v>
      </c>
      <c r="C2333" s="0" t="s">
        <v>31</v>
      </c>
      <c r="D2333" s="0" t="s">
        <v>1761</v>
      </c>
    </row>
    <row r="2334" customFormat="false" ht="13.8" hidden="false" customHeight="false" outlineLevel="0" collapsed="false">
      <c r="A2334" s="0" t="s">
        <v>5111</v>
      </c>
      <c r="B2334" s="0" t="s">
        <v>5112</v>
      </c>
      <c r="C2334" s="0" t="s">
        <v>31</v>
      </c>
      <c r="D2334" s="0" t="s">
        <v>2072</v>
      </c>
    </row>
    <row r="2335" customFormat="false" ht="13.8" hidden="false" customHeight="false" outlineLevel="0" collapsed="false">
      <c r="A2335" s="0" t="s">
        <v>5113</v>
      </c>
      <c r="B2335" s="0" t="s">
        <v>5114</v>
      </c>
      <c r="C2335" s="0" t="s">
        <v>31</v>
      </c>
      <c r="D2335" s="0" t="s">
        <v>1737</v>
      </c>
    </row>
    <row r="2336" customFormat="false" ht="13.8" hidden="false" customHeight="false" outlineLevel="0" collapsed="false">
      <c r="A2336" s="0" t="s">
        <v>5115</v>
      </c>
      <c r="B2336" s="0" t="s">
        <v>5116</v>
      </c>
      <c r="C2336" s="0" t="s">
        <v>31</v>
      </c>
      <c r="D2336" s="0" t="s">
        <v>2878</v>
      </c>
    </row>
    <row r="2337" customFormat="false" ht="13.8" hidden="false" customHeight="false" outlineLevel="0" collapsed="false">
      <c r="A2337" s="0" t="s">
        <v>5117</v>
      </c>
      <c r="B2337" s="0" t="s">
        <v>5118</v>
      </c>
      <c r="C2337" s="0" t="s">
        <v>31</v>
      </c>
      <c r="D2337" s="0" t="s">
        <v>1540</v>
      </c>
    </row>
    <row r="2338" customFormat="false" ht="13.8" hidden="false" customHeight="false" outlineLevel="0" collapsed="false">
      <c r="A2338" s="0" t="s">
        <v>5119</v>
      </c>
      <c r="B2338" s="0" t="s">
        <v>5120</v>
      </c>
      <c r="C2338" s="0" t="s">
        <v>31</v>
      </c>
      <c r="D2338" s="0" t="s">
        <v>4040</v>
      </c>
    </row>
    <row r="2339" customFormat="false" ht="13.8" hidden="false" customHeight="false" outlineLevel="0" collapsed="false">
      <c r="A2339" s="0" t="s">
        <v>5121</v>
      </c>
      <c r="B2339" s="0" t="s">
        <v>5122</v>
      </c>
      <c r="C2339" s="0" t="s">
        <v>31</v>
      </c>
      <c r="D2339" s="0" t="s">
        <v>2701</v>
      </c>
    </row>
    <row r="2340" customFormat="false" ht="13.8" hidden="false" customHeight="false" outlineLevel="0" collapsed="false">
      <c r="A2340" s="0" t="s">
        <v>5123</v>
      </c>
      <c r="B2340" s="0" t="s">
        <v>5124</v>
      </c>
      <c r="C2340" s="0" t="s">
        <v>31</v>
      </c>
      <c r="D2340" s="0" t="s">
        <v>413</v>
      </c>
    </row>
    <row r="2341" customFormat="false" ht="13.8" hidden="false" customHeight="false" outlineLevel="0" collapsed="false">
      <c r="A2341" s="0" t="s">
        <v>5125</v>
      </c>
      <c r="B2341" s="0" t="s">
        <v>5126</v>
      </c>
      <c r="C2341" s="0" t="s">
        <v>31</v>
      </c>
      <c r="D2341" s="0" t="s">
        <v>1651</v>
      </c>
    </row>
    <row r="2342" customFormat="false" ht="13.8" hidden="false" customHeight="false" outlineLevel="0" collapsed="false">
      <c r="A2342" s="0" t="s">
        <v>5127</v>
      </c>
      <c r="B2342" s="0" t="s">
        <v>5128</v>
      </c>
      <c r="C2342" s="0" t="s">
        <v>31</v>
      </c>
      <c r="D2342" s="0" t="s">
        <v>5129</v>
      </c>
    </row>
    <row r="2343" customFormat="false" ht="13.8" hidden="false" customHeight="false" outlineLevel="0" collapsed="false">
      <c r="A2343" s="0" t="s">
        <v>5130</v>
      </c>
      <c r="B2343" s="0" t="s">
        <v>5131</v>
      </c>
      <c r="C2343" s="0" t="s">
        <v>31</v>
      </c>
      <c r="D2343" s="0" t="s">
        <v>1572</v>
      </c>
    </row>
    <row r="2344" customFormat="false" ht="13.8" hidden="false" customHeight="false" outlineLevel="0" collapsed="false">
      <c r="A2344" s="0" t="s">
        <v>5132</v>
      </c>
      <c r="B2344" s="0" t="s">
        <v>5133</v>
      </c>
      <c r="C2344" s="0" t="s">
        <v>31</v>
      </c>
      <c r="D2344" s="0" t="s">
        <v>1540</v>
      </c>
    </row>
    <row r="2345" customFormat="false" ht="13.8" hidden="false" customHeight="false" outlineLevel="0" collapsed="false">
      <c r="A2345" s="0" t="s">
        <v>5134</v>
      </c>
      <c r="B2345" s="0" t="s">
        <v>5135</v>
      </c>
      <c r="C2345" s="0" t="s">
        <v>31</v>
      </c>
      <c r="D2345" s="0" t="s">
        <v>413</v>
      </c>
    </row>
    <row r="2346" customFormat="false" ht="13.8" hidden="false" customHeight="false" outlineLevel="0" collapsed="false">
      <c r="A2346" s="0" t="s">
        <v>5136</v>
      </c>
      <c r="B2346" s="0" t="s">
        <v>5137</v>
      </c>
      <c r="C2346" s="0" t="s">
        <v>31</v>
      </c>
      <c r="D2346" s="0" t="s">
        <v>1704</v>
      </c>
    </row>
    <row r="2347" customFormat="false" ht="13.8" hidden="false" customHeight="false" outlineLevel="0" collapsed="false">
      <c r="A2347" s="0" t="s">
        <v>5138</v>
      </c>
      <c r="B2347" s="0" t="s">
        <v>5139</v>
      </c>
      <c r="C2347" s="0" t="s">
        <v>31</v>
      </c>
      <c r="D2347" s="0" t="s">
        <v>413</v>
      </c>
    </row>
    <row r="2348" customFormat="false" ht="13.8" hidden="false" customHeight="false" outlineLevel="0" collapsed="false">
      <c r="A2348" s="0" t="s">
        <v>5140</v>
      </c>
      <c r="B2348" s="0" t="s">
        <v>5141</v>
      </c>
      <c r="C2348" s="0" t="s">
        <v>31</v>
      </c>
      <c r="D2348" s="0" t="s">
        <v>413</v>
      </c>
    </row>
    <row r="2349" customFormat="false" ht="13.8" hidden="false" customHeight="false" outlineLevel="0" collapsed="false">
      <c r="A2349" s="0" t="s">
        <v>5142</v>
      </c>
      <c r="B2349" s="0" t="s">
        <v>5143</v>
      </c>
      <c r="C2349" s="0" t="s">
        <v>31</v>
      </c>
      <c r="D2349" s="0" t="s">
        <v>1513</v>
      </c>
    </row>
    <row r="2350" customFormat="false" ht="13.8" hidden="false" customHeight="false" outlineLevel="0" collapsed="false">
      <c r="A2350" s="0" t="s">
        <v>5144</v>
      </c>
      <c r="B2350" s="0" t="s">
        <v>5145</v>
      </c>
      <c r="C2350" s="0" t="s">
        <v>31</v>
      </c>
      <c r="D2350" s="0" t="s">
        <v>413</v>
      </c>
    </row>
    <row r="2351" customFormat="false" ht="13.8" hidden="false" customHeight="false" outlineLevel="0" collapsed="false">
      <c r="A2351" s="0" t="s">
        <v>5146</v>
      </c>
      <c r="B2351" s="0" t="s">
        <v>5147</v>
      </c>
      <c r="C2351" s="0" t="s">
        <v>31</v>
      </c>
      <c r="D2351" s="0" t="s">
        <v>2072</v>
      </c>
    </row>
    <row r="2352" customFormat="false" ht="13.8" hidden="false" customHeight="false" outlineLevel="0" collapsed="false">
      <c r="A2352" s="0" t="s">
        <v>5148</v>
      </c>
      <c r="B2352" s="0" t="s">
        <v>5149</v>
      </c>
      <c r="C2352" s="0" t="s">
        <v>31</v>
      </c>
      <c r="D2352" s="0" t="s">
        <v>1924</v>
      </c>
    </row>
    <row r="2353" customFormat="false" ht="13.8" hidden="false" customHeight="false" outlineLevel="0" collapsed="false">
      <c r="A2353" s="0" t="s">
        <v>5150</v>
      </c>
      <c r="B2353" s="0" t="s">
        <v>5151</v>
      </c>
      <c r="C2353" s="0" t="s">
        <v>31</v>
      </c>
      <c r="D2353" s="0" t="s">
        <v>2356</v>
      </c>
    </row>
    <row r="2354" customFormat="false" ht="13.8" hidden="false" customHeight="false" outlineLevel="0" collapsed="false">
      <c r="A2354" s="0" t="s">
        <v>5152</v>
      </c>
      <c r="B2354" s="0" t="s">
        <v>5095</v>
      </c>
      <c r="C2354" s="0" t="s">
        <v>31</v>
      </c>
      <c r="D2354" s="0" t="s">
        <v>1651</v>
      </c>
    </row>
    <row r="2355" customFormat="false" ht="13.8" hidden="false" customHeight="false" outlineLevel="0" collapsed="false">
      <c r="A2355" s="0" t="s">
        <v>5153</v>
      </c>
      <c r="B2355" s="0" t="s">
        <v>5154</v>
      </c>
      <c r="C2355" s="0" t="s">
        <v>31</v>
      </c>
      <c r="D2355" s="0" t="s">
        <v>4333</v>
      </c>
    </row>
    <row r="2356" customFormat="false" ht="13.8" hidden="false" customHeight="false" outlineLevel="0" collapsed="false">
      <c r="A2356" s="0" t="s">
        <v>5156</v>
      </c>
      <c r="B2356" s="0" t="s">
        <v>5157</v>
      </c>
      <c r="C2356" s="0" t="s">
        <v>31</v>
      </c>
      <c r="D2356" s="0" t="s">
        <v>413</v>
      </c>
    </row>
    <row r="2357" customFormat="false" ht="13.8" hidden="false" customHeight="false" outlineLevel="0" collapsed="false">
      <c r="A2357" s="0" t="s">
        <v>5158</v>
      </c>
      <c r="B2357" s="0" t="s">
        <v>4415</v>
      </c>
      <c r="C2357" s="0" t="s">
        <v>31</v>
      </c>
      <c r="D2357" s="0" t="s">
        <v>4581</v>
      </c>
    </row>
    <row r="2358" customFormat="false" ht="13.8" hidden="false" customHeight="false" outlineLevel="0" collapsed="false">
      <c r="A2358" s="0" t="s">
        <v>5159</v>
      </c>
      <c r="B2358" s="0" t="s">
        <v>5160</v>
      </c>
      <c r="C2358" s="0" t="s">
        <v>31</v>
      </c>
      <c r="D2358" s="0" t="s">
        <v>19</v>
      </c>
    </row>
    <row r="2359" customFormat="false" ht="13.8" hidden="false" customHeight="false" outlineLevel="0" collapsed="false">
      <c r="A2359" s="0" t="s">
        <v>5161</v>
      </c>
      <c r="B2359" s="0" t="s">
        <v>5162</v>
      </c>
      <c r="C2359" s="0" t="s">
        <v>31</v>
      </c>
      <c r="D2359" s="0" t="s">
        <v>1704</v>
      </c>
    </row>
    <row r="2360" customFormat="false" ht="13.8" hidden="false" customHeight="false" outlineLevel="0" collapsed="false">
      <c r="A2360" s="0" t="s">
        <v>5163</v>
      </c>
      <c r="B2360" s="0" t="s">
        <v>5164</v>
      </c>
      <c r="C2360" s="0" t="s">
        <v>31</v>
      </c>
      <c r="D2360" s="0" t="s">
        <v>1592</v>
      </c>
    </row>
    <row r="2361" customFormat="false" ht="13.8" hidden="false" customHeight="false" outlineLevel="0" collapsed="false">
      <c r="A2361" s="0" t="s">
        <v>5165</v>
      </c>
      <c r="B2361" s="0" t="s">
        <v>5166</v>
      </c>
      <c r="C2361" s="0" t="s">
        <v>31</v>
      </c>
      <c r="D2361" s="0" t="s">
        <v>1592</v>
      </c>
    </row>
    <row r="2362" customFormat="false" ht="13.8" hidden="false" customHeight="false" outlineLevel="0" collapsed="false">
      <c r="A2362" s="0" t="s">
        <v>5167</v>
      </c>
      <c r="B2362" s="0" t="s">
        <v>5168</v>
      </c>
      <c r="C2362" s="0" t="s">
        <v>31</v>
      </c>
      <c r="D2362" s="0" t="s">
        <v>1513</v>
      </c>
    </row>
    <row r="2363" customFormat="false" ht="13.8" hidden="false" customHeight="false" outlineLevel="0" collapsed="false">
      <c r="A2363" s="0" t="s">
        <v>5169</v>
      </c>
      <c r="B2363" s="0" t="s">
        <v>4342</v>
      </c>
      <c r="C2363" s="0" t="s">
        <v>31</v>
      </c>
      <c r="D2363" s="0" t="s">
        <v>3711</v>
      </c>
    </row>
    <row r="2364" customFormat="false" ht="13.8" hidden="false" customHeight="false" outlineLevel="0" collapsed="false">
      <c r="A2364" s="0" t="s">
        <v>5170</v>
      </c>
      <c r="B2364" s="0" t="s">
        <v>5171</v>
      </c>
      <c r="C2364" s="0" t="s">
        <v>31</v>
      </c>
      <c r="D2364" s="0" t="s">
        <v>413</v>
      </c>
    </row>
    <row r="2365" customFormat="false" ht="13.8" hidden="false" customHeight="false" outlineLevel="0" collapsed="false">
      <c r="A2365" s="0" t="s">
        <v>5172</v>
      </c>
      <c r="B2365" s="0" t="s">
        <v>5173</v>
      </c>
      <c r="C2365" s="0" t="s">
        <v>31</v>
      </c>
      <c r="D2365" s="0" t="s">
        <v>1572</v>
      </c>
    </row>
    <row r="2366" customFormat="false" ht="13.8" hidden="false" customHeight="false" outlineLevel="0" collapsed="false">
      <c r="A2366" s="0" t="s">
        <v>5174</v>
      </c>
      <c r="B2366" s="0" t="s">
        <v>5175</v>
      </c>
      <c r="C2366" s="0" t="s">
        <v>31</v>
      </c>
      <c r="D2366" s="0" t="s">
        <v>1592</v>
      </c>
    </row>
    <row r="2367" customFormat="false" ht="13.8" hidden="false" customHeight="false" outlineLevel="0" collapsed="false">
      <c r="A2367" s="0" t="s">
        <v>5176</v>
      </c>
      <c r="B2367" s="0" t="s">
        <v>5177</v>
      </c>
      <c r="C2367" s="0" t="s">
        <v>31</v>
      </c>
      <c r="D2367" s="0" t="s">
        <v>2386</v>
      </c>
    </row>
    <row r="2368" customFormat="false" ht="13.8" hidden="false" customHeight="false" outlineLevel="0" collapsed="false">
      <c r="A2368" s="0" t="s">
        <v>5178</v>
      </c>
      <c r="B2368" s="0" t="s">
        <v>5179</v>
      </c>
      <c r="C2368" s="0" t="s">
        <v>31</v>
      </c>
      <c r="D2368" s="0" t="s">
        <v>1592</v>
      </c>
    </row>
    <row r="2369" customFormat="false" ht="13.8" hidden="false" customHeight="false" outlineLevel="0" collapsed="false">
      <c r="A2369" s="0" t="s">
        <v>5180</v>
      </c>
      <c r="B2369" s="0" t="s">
        <v>5181</v>
      </c>
      <c r="C2369" s="0" t="s">
        <v>31</v>
      </c>
      <c r="D2369" s="0" t="s">
        <v>413</v>
      </c>
    </row>
    <row r="2370" customFormat="false" ht="13.8" hidden="false" customHeight="false" outlineLevel="0" collapsed="false">
      <c r="A2370" s="0" t="s">
        <v>5182</v>
      </c>
      <c r="B2370" s="0" t="s">
        <v>5183</v>
      </c>
      <c r="C2370" s="0" t="s">
        <v>31</v>
      </c>
      <c r="D2370" s="0" t="s">
        <v>1699</v>
      </c>
    </row>
    <row r="2371" customFormat="false" ht="13.8" hidden="false" customHeight="false" outlineLevel="0" collapsed="false">
      <c r="A2371" s="0" t="s">
        <v>5184</v>
      </c>
      <c r="B2371" s="0" t="s">
        <v>5185</v>
      </c>
      <c r="C2371" s="0" t="s">
        <v>31</v>
      </c>
      <c r="D2371" s="0" t="s">
        <v>1513</v>
      </c>
    </row>
    <row r="2372" customFormat="false" ht="13.8" hidden="false" customHeight="false" outlineLevel="0" collapsed="false">
      <c r="A2372" s="0" t="s">
        <v>5186</v>
      </c>
      <c r="B2372" s="0" t="s">
        <v>5187</v>
      </c>
      <c r="C2372" s="0" t="s">
        <v>31</v>
      </c>
      <c r="D2372" s="0" t="s">
        <v>19</v>
      </c>
    </row>
    <row r="2373" customFormat="false" ht="13.8" hidden="false" customHeight="false" outlineLevel="0" collapsed="false">
      <c r="A2373" s="0" t="s">
        <v>5188</v>
      </c>
      <c r="B2373" s="0" t="s">
        <v>5189</v>
      </c>
      <c r="C2373" s="0" t="s">
        <v>31</v>
      </c>
      <c r="D2373" s="0" t="s">
        <v>1505</v>
      </c>
    </row>
    <row r="2374" customFormat="false" ht="13.8" hidden="false" customHeight="false" outlineLevel="0" collapsed="false">
      <c r="A2374" s="0" t="s">
        <v>5190</v>
      </c>
      <c r="B2374" s="0" t="s">
        <v>4472</v>
      </c>
      <c r="C2374" s="0" t="s">
        <v>31</v>
      </c>
      <c r="D2374" s="0" t="s">
        <v>3711</v>
      </c>
    </row>
    <row r="2375" customFormat="false" ht="13.8" hidden="false" customHeight="false" outlineLevel="0" collapsed="false">
      <c r="A2375" s="0" t="s">
        <v>5191</v>
      </c>
      <c r="B2375" s="0" t="s">
        <v>5192</v>
      </c>
      <c r="C2375" s="0" t="s">
        <v>31</v>
      </c>
      <c r="D2375" s="0" t="s">
        <v>413</v>
      </c>
    </row>
    <row r="2376" customFormat="false" ht="13.8" hidden="false" customHeight="false" outlineLevel="0" collapsed="false">
      <c r="A2376" s="0" t="s">
        <v>5194</v>
      </c>
      <c r="B2376" s="0" t="s">
        <v>5195</v>
      </c>
      <c r="C2376" s="0" t="s">
        <v>31</v>
      </c>
      <c r="D2376" s="0" t="s">
        <v>2701</v>
      </c>
    </row>
    <row r="2377" customFormat="false" ht="13.8" hidden="false" customHeight="false" outlineLevel="0" collapsed="false">
      <c r="A2377" s="0" t="s">
        <v>5196</v>
      </c>
      <c r="B2377" s="0" t="s">
        <v>5197</v>
      </c>
      <c r="C2377" s="0" t="s">
        <v>31</v>
      </c>
      <c r="D2377" s="0" t="s">
        <v>5198</v>
      </c>
    </row>
    <row r="2378" customFormat="false" ht="13.8" hidden="false" customHeight="false" outlineLevel="0" collapsed="false">
      <c r="A2378" s="0" t="s">
        <v>5199</v>
      </c>
      <c r="B2378" s="0" t="s">
        <v>5200</v>
      </c>
      <c r="C2378" s="0" t="s">
        <v>31</v>
      </c>
      <c r="D2378" s="0" t="s">
        <v>4819</v>
      </c>
    </row>
    <row r="2379" customFormat="false" ht="13.8" hidden="false" customHeight="false" outlineLevel="0" collapsed="false">
      <c r="A2379" s="0" t="s">
        <v>5201</v>
      </c>
      <c r="B2379" s="0" t="s">
        <v>5202</v>
      </c>
      <c r="C2379" s="0" t="s">
        <v>31</v>
      </c>
      <c r="D2379" s="0" t="s">
        <v>2552</v>
      </c>
    </row>
    <row r="2380" customFormat="false" ht="13.8" hidden="false" customHeight="false" outlineLevel="0" collapsed="false">
      <c r="A2380" s="0" t="s">
        <v>5203</v>
      </c>
      <c r="B2380" s="0" t="s">
        <v>5204</v>
      </c>
      <c r="C2380" s="0" t="s">
        <v>31</v>
      </c>
      <c r="D2380" s="0" t="s">
        <v>4581</v>
      </c>
    </row>
    <row r="2381" customFormat="false" ht="13.8" hidden="false" customHeight="false" outlineLevel="0" collapsed="false">
      <c r="A2381" s="0" t="s">
        <v>5205</v>
      </c>
      <c r="B2381" s="0" t="s">
        <v>5206</v>
      </c>
      <c r="C2381" s="0" t="s">
        <v>31</v>
      </c>
      <c r="D2381" s="0" t="s">
        <v>2830</v>
      </c>
    </row>
    <row r="2382" customFormat="false" ht="13.8" hidden="false" customHeight="false" outlineLevel="0" collapsed="false">
      <c r="A2382" s="0" t="s">
        <v>5207</v>
      </c>
      <c r="B2382" s="0" t="s">
        <v>5208</v>
      </c>
      <c r="C2382" s="0" t="s">
        <v>31</v>
      </c>
      <c r="D2382" s="0" t="s">
        <v>3276</v>
      </c>
    </row>
    <row r="2383" customFormat="false" ht="13.8" hidden="false" customHeight="false" outlineLevel="0" collapsed="false">
      <c r="A2383" s="0" t="s">
        <v>5209</v>
      </c>
      <c r="B2383" s="0" t="s">
        <v>5210</v>
      </c>
      <c r="C2383" s="0" t="s">
        <v>31</v>
      </c>
      <c r="D2383" s="0" t="s">
        <v>1592</v>
      </c>
    </row>
    <row r="2384" customFormat="false" ht="13.8" hidden="false" customHeight="false" outlineLevel="0" collapsed="false">
      <c r="A2384" s="0" t="s">
        <v>5211</v>
      </c>
      <c r="B2384" s="0" t="s">
        <v>5212</v>
      </c>
      <c r="C2384" s="0" t="s">
        <v>31</v>
      </c>
      <c r="D2384" s="0" t="s">
        <v>413</v>
      </c>
    </row>
    <row r="2385" customFormat="false" ht="13.8" hidden="false" customHeight="false" outlineLevel="0" collapsed="false">
      <c r="A2385" s="0" t="s">
        <v>5213</v>
      </c>
      <c r="B2385" s="0" t="s">
        <v>5214</v>
      </c>
      <c r="C2385" s="0" t="s">
        <v>31</v>
      </c>
      <c r="D2385" s="0" t="s">
        <v>2871</v>
      </c>
    </row>
    <row r="2386" customFormat="false" ht="13.8" hidden="false" customHeight="false" outlineLevel="0" collapsed="false">
      <c r="A2386" s="0" t="s">
        <v>5215</v>
      </c>
      <c r="B2386" s="0" t="s">
        <v>5216</v>
      </c>
      <c r="C2386" s="0" t="s">
        <v>31</v>
      </c>
      <c r="D2386" s="0" t="s">
        <v>24</v>
      </c>
    </row>
    <row r="2387" customFormat="false" ht="13.8" hidden="false" customHeight="false" outlineLevel="0" collapsed="false">
      <c r="A2387" s="0" t="s">
        <v>5217</v>
      </c>
      <c r="B2387" s="0" t="s">
        <v>5218</v>
      </c>
      <c r="C2387" s="0" t="s">
        <v>31</v>
      </c>
      <c r="D2387" s="0" t="s">
        <v>1527</v>
      </c>
    </row>
    <row r="2388" customFormat="false" ht="13.8" hidden="false" customHeight="false" outlineLevel="0" collapsed="false">
      <c r="A2388" s="0" t="s">
        <v>5219</v>
      </c>
      <c r="B2388" s="0" t="s">
        <v>5220</v>
      </c>
      <c r="C2388" s="0" t="s">
        <v>31</v>
      </c>
      <c r="D2388" s="0" t="s">
        <v>413</v>
      </c>
    </row>
    <row r="2389" customFormat="false" ht="13.8" hidden="false" customHeight="false" outlineLevel="0" collapsed="false">
      <c r="A2389" s="0" t="s">
        <v>5222</v>
      </c>
      <c r="B2389" s="0" t="s">
        <v>5223</v>
      </c>
      <c r="C2389" s="0" t="s">
        <v>31</v>
      </c>
      <c r="D2389" s="0" t="s">
        <v>3628</v>
      </c>
    </row>
    <row r="2390" customFormat="false" ht="13.8" hidden="false" customHeight="false" outlineLevel="0" collapsed="false">
      <c r="A2390" s="0" t="s">
        <v>5224</v>
      </c>
      <c r="B2390" s="0" t="s">
        <v>5225</v>
      </c>
      <c r="C2390" s="0" t="s">
        <v>31</v>
      </c>
      <c r="D2390" s="0" t="s">
        <v>1704</v>
      </c>
    </row>
    <row r="2391" customFormat="false" ht="13.8" hidden="false" customHeight="false" outlineLevel="0" collapsed="false">
      <c r="A2391" s="0" t="s">
        <v>5226</v>
      </c>
      <c r="B2391" s="0" t="s">
        <v>5227</v>
      </c>
      <c r="C2391" s="0" t="s">
        <v>31</v>
      </c>
      <c r="D2391" s="0" t="s">
        <v>3276</v>
      </c>
    </row>
    <row r="2392" customFormat="false" ht="13.8" hidden="false" customHeight="false" outlineLevel="0" collapsed="false">
      <c r="A2392" s="0" t="s">
        <v>5228</v>
      </c>
      <c r="B2392" s="0" t="s">
        <v>5229</v>
      </c>
      <c r="C2392" s="0" t="s">
        <v>31</v>
      </c>
      <c r="D2392" s="0" t="s">
        <v>2871</v>
      </c>
    </row>
    <row r="2393" customFormat="false" ht="13.8" hidden="false" customHeight="false" outlineLevel="0" collapsed="false">
      <c r="A2393" s="0" t="s">
        <v>5230</v>
      </c>
      <c r="B2393" s="0" t="s">
        <v>5231</v>
      </c>
      <c r="C2393" s="0" t="s">
        <v>31</v>
      </c>
      <c r="D2393" s="0" t="s">
        <v>2072</v>
      </c>
    </row>
    <row r="2394" customFormat="false" ht="13.8" hidden="false" customHeight="false" outlineLevel="0" collapsed="false">
      <c r="A2394" s="0" t="s">
        <v>5232</v>
      </c>
      <c r="B2394" s="0" t="s">
        <v>5233</v>
      </c>
      <c r="C2394" s="0" t="s">
        <v>31</v>
      </c>
      <c r="D2394" s="0" t="s">
        <v>3077</v>
      </c>
    </row>
    <row r="2395" customFormat="false" ht="13.8" hidden="false" customHeight="false" outlineLevel="0" collapsed="false">
      <c r="A2395" s="0" t="s">
        <v>5234</v>
      </c>
      <c r="B2395" s="0" t="s">
        <v>5235</v>
      </c>
      <c r="C2395" s="0" t="s">
        <v>31</v>
      </c>
      <c r="D2395" s="0" t="s">
        <v>413</v>
      </c>
    </row>
    <row r="2396" customFormat="false" ht="13.8" hidden="false" customHeight="false" outlineLevel="0" collapsed="false">
      <c r="A2396" s="0" t="s">
        <v>5236</v>
      </c>
      <c r="B2396" s="0" t="s">
        <v>5237</v>
      </c>
      <c r="C2396" s="0" t="s">
        <v>31</v>
      </c>
      <c r="D2396" s="0" t="s">
        <v>413</v>
      </c>
    </row>
    <row r="2397" customFormat="false" ht="13.8" hidden="false" customHeight="false" outlineLevel="0" collapsed="false">
      <c r="A2397" s="0" t="s">
        <v>5239</v>
      </c>
      <c r="B2397" s="0" t="s">
        <v>5240</v>
      </c>
      <c r="C2397" s="0" t="s">
        <v>31</v>
      </c>
      <c r="D2397" s="0" t="s">
        <v>2386</v>
      </c>
    </row>
    <row r="2398" customFormat="false" ht="13.8" hidden="false" customHeight="false" outlineLevel="0" collapsed="false">
      <c r="A2398" s="0" t="s">
        <v>5241</v>
      </c>
      <c r="B2398" s="0" t="s">
        <v>5242</v>
      </c>
      <c r="C2398" s="0" t="s">
        <v>31</v>
      </c>
      <c r="D2398" s="0" t="s">
        <v>1508</v>
      </c>
    </row>
    <row r="2399" customFormat="false" ht="13.8" hidden="false" customHeight="false" outlineLevel="0" collapsed="false">
      <c r="A2399" s="0" t="s">
        <v>5243</v>
      </c>
      <c r="B2399" s="0" t="s">
        <v>5244</v>
      </c>
      <c r="C2399" s="0" t="s">
        <v>31</v>
      </c>
      <c r="D2399" s="0" t="s">
        <v>2739</v>
      </c>
    </row>
    <row r="2400" customFormat="false" ht="13.8" hidden="false" customHeight="false" outlineLevel="0" collapsed="false">
      <c r="A2400" s="0" t="s">
        <v>5245</v>
      </c>
      <c r="B2400" s="0" t="s">
        <v>5246</v>
      </c>
      <c r="C2400" s="0" t="s">
        <v>31</v>
      </c>
      <c r="D2400" s="0" t="s">
        <v>5198</v>
      </c>
    </row>
    <row r="2401" customFormat="false" ht="13.8" hidden="false" customHeight="false" outlineLevel="0" collapsed="false">
      <c r="A2401" s="0" t="s">
        <v>5247</v>
      </c>
      <c r="B2401" s="0" t="s">
        <v>5248</v>
      </c>
      <c r="C2401" s="0" t="s">
        <v>31</v>
      </c>
      <c r="D2401" s="0" t="s">
        <v>69</v>
      </c>
    </row>
    <row r="2402" customFormat="false" ht="13.8" hidden="false" customHeight="false" outlineLevel="0" collapsed="false">
      <c r="A2402" s="0" t="s">
        <v>5249</v>
      </c>
      <c r="B2402" s="0" t="s">
        <v>5250</v>
      </c>
      <c r="C2402" s="0" t="s">
        <v>31</v>
      </c>
      <c r="D2402" s="0" t="s">
        <v>2072</v>
      </c>
    </row>
    <row r="2403" customFormat="false" ht="13.8" hidden="false" customHeight="false" outlineLevel="0" collapsed="false">
      <c r="A2403" s="0" t="s">
        <v>5251</v>
      </c>
      <c r="B2403" s="0" t="s">
        <v>5252</v>
      </c>
      <c r="C2403" s="0" t="s">
        <v>31</v>
      </c>
      <c r="D2403" s="0" t="s">
        <v>2072</v>
      </c>
    </row>
    <row r="2404" customFormat="false" ht="13.8" hidden="false" customHeight="false" outlineLevel="0" collapsed="false">
      <c r="A2404" s="0" t="s">
        <v>5253</v>
      </c>
      <c r="B2404" s="0" t="s">
        <v>5254</v>
      </c>
      <c r="C2404" s="0" t="s">
        <v>31</v>
      </c>
      <c r="D2404" s="0" t="s">
        <v>1957</v>
      </c>
    </row>
    <row r="2405" customFormat="false" ht="13.8" hidden="false" customHeight="false" outlineLevel="0" collapsed="false">
      <c r="A2405" s="0" t="s">
        <v>5255</v>
      </c>
      <c r="B2405" s="0" t="s">
        <v>5256</v>
      </c>
      <c r="C2405" s="0" t="s">
        <v>31</v>
      </c>
      <c r="D2405" s="0" t="s">
        <v>16</v>
      </c>
    </row>
    <row r="2406" customFormat="false" ht="13.8" hidden="false" customHeight="false" outlineLevel="0" collapsed="false">
      <c r="A2406" s="0" t="s">
        <v>5257</v>
      </c>
      <c r="B2406" s="0" t="s">
        <v>5258</v>
      </c>
      <c r="C2406" s="0" t="s">
        <v>31</v>
      </c>
      <c r="D2406" s="0" t="s">
        <v>1527</v>
      </c>
    </row>
    <row r="2407" customFormat="false" ht="13.8" hidden="false" customHeight="false" outlineLevel="0" collapsed="false">
      <c r="A2407" s="0" t="s">
        <v>5259</v>
      </c>
      <c r="B2407" s="0" t="s">
        <v>5260</v>
      </c>
      <c r="C2407" s="0" t="s">
        <v>31</v>
      </c>
      <c r="D2407" s="0" t="s">
        <v>2072</v>
      </c>
    </row>
    <row r="2408" customFormat="false" ht="13.8" hidden="false" customHeight="false" outlineLevel="0" collapsed="false">
      <c r="A2408" s="0" t="s">
        <v>5261</v>
      </c>
      <c r="B2408" s="0" t="s">
        <v>5262</v>
      </c>
      <c r="C2408" s="0" t="s">
        <v>31</v>
      </c>
      <c r="D2408" s="0" t="s">
        <v>2072</v>
      </c>
    </row>
    <row r="2409" customFormat="false" ht="13.8" hidden="false" customHeight="false" outlineLevel="0" collapsed="false">
      <c r="A2409" s="0" t="s">
        <v>5263</v>
      </c>
      <c r="B2409" s="0" t="s">
        <v>5264</v>
      </c>
      <c r="C2409" s="0" t="s">
        <v>31</v>
      </c>
      <c r="D2409" s="0" t="s">
        <v>69</v>
      </c>
    </row>
    <row r="2410" customFormat="false" ht="13.8" hidden="false" customHeight="false" outlineLevel="0" collapsed="false">
      <c r="A2410" s="0" t="s">
        <v>5265</v>
      </c>
      <c r="B2410" s="0" t="s">
        <v>5266</v>
      </c>
      <c r="C2410" s="0" t="s">
        <v>31</v>
      </c>
      <c r="D2410" s="0" t="s">
        <v>2386</v>
      </c>
    </row>
    <row r="2411" customFormat="false" ht="13.8" hidden="false" customHeight="false" outlineLevel="0" collapsed="false">
      <c r="A2411" s="0" t="s">
        <v>5267</v>
      </c>
      <c r="B2411" s="0" t="s">
        <v>5268</v>
      </c>
      <c r="C2411" s="0" t="s">
        <v>31</v>
      </c>
      <c r="D2411" s="0" t="s">
        <v>1505</v>
      </c>
    </row>
    <row r="2412" customFormat="false" ht="13.8" hidden="false" customHeight="false" outlineLevel="0" collapsed="false">
      <c r="A2412" s="0" t="s">
        <v>5269</v>
      </c>
      <c r="B2412" s="0" t="s">
        <v>5270</v>
      </c>
      <c r="C2412" s="0" t="s">
        <v>31</v>
      </c>
      <c r="D2412" s="0" t="s">
        <v>1592</v>
      </c>
    </row>
    <row r="2413" customFormat="false" ht="13.8" hidden="false" customHeight="false" outlineLevel="0" collapsed="false">
      <c r="A2413" s="0" t="s">
        <v>5271</v>
      </c>
      <c r="B2413" s="0" t="s">
        <v>5272</v>
      </c>
      <c r="C2413" s="0" t="s">
        <v>31</v>
      </c>
      <c r="D2413" s="0" t="s">
        <v>2072</v>
      </c>
    </row>
    <row r="2414" customFormat="false" ht="13.8" hidden="false" customHeight="false" outlineLevel="0" collapsed="false">
      <c r="A2414" s="0" t="s">
        <v>5273</v>
      </c>
      <c r="B2414" s="0" t="s">
        <v>5274</v>
      </c>
      <c r="C2414" s="0" t="s">
        <v>31</v>
      </c>
      <c r="D2414" s="0" t="s">
        <v>1651</v>
      </c>
    </row>
    <row r="2415" customFormat="false" ht="13.8" hidden="false" customHeight="false" outlineLevel="0" collapsed="false">
      <c r="A2415" s="0" t="s">
        <v>5275</v>
      </c>
      <c r="B2415" s="0" t="s">
        <v>5276</v>
      </c>
      <c r="C2415" s="0" t="s">
        <v>31</v>
      </c>
      <c r="D2415" s="0" t="s">
        <v>2356</v>
      </c>
    </row>
    <row r="2416" customFormat="false" ht="13.8" hidden="false" customHeight="false" outlineLevel="0" collapsed="false">
      <c r="A2416" s="0" t="s">
        <v>5277</v>
      </c>
      <c r="B2416" s="0" t="s">
        <v>5278</v>
      </c>
      <c r="C2416" s="0" t="s">
        <v>31</v>
      </c>
      <c r="D2416" s="0" t="s">
        <v>2739</v>
      </c>
    </row>
    <row r="2417" customFormat="false" ht="13.8" hidden="false" customHeight="false" outlineLevel="0" collapsed="false">
      <c r="A2417" s="0" t="s">
        <v>5279</v>
      </c>
      <c r="B2417" s="0" t="s">
        <v>5280</v>
      </c>
      <c r="C2417" s="0" t="s">
        <v>31</v>
      </c>
      <c r="D2417" s="0" t="s">
        <v>2072</v>
      </c>
    </row>
    <row r="2418" customFormat="false" ht="13.8" hidden="false" customHeight="false" outlineLevel="0" collapsed="false">
      <c r="A2418" s="0" t="s">
        <v>5281</v>
      </c>
      <c r="B2418" s="0" t="s">
        <v>1618</v>
      </c>
      <c r="C2418" s="0" t="s">
        <v>31</v>
      </c>
      <c r="D2418" s="0" t="s">
        <v>1592</v>
      </c>
    </row>
    <row r="2419" customFormat="false" ht="13.8" hidden="false" customHeight="false" outlineLevel="0" collapsed="false">
      <c r="A2419" s="0" t="s">
        <v>5282</v>
      </c>
      <c r="B2419" s="0" t="s">
        <v>2738</v>
      </c>
      <c r="C2419" s="0" t="s">
        <v>31</v>
      </c>
      <c r="D2419" s="0" t="s">
        <v>16</v>
      </c>
    </row>
    <row r="2420" customFormat="false" ht="13.8" hidden="false" customHeight="false" outlineLevel="0" collapsed="false">
      <c r="A2420" s="0" t="s">
        <v>5283</v>
      </c>
      <c r="B2420" s="0" t="s">
        <v>5284</v>
      </c>
      <c r="C2420" s="0" t="s">
        <v>31</v>
      </c>
      <c r="D2420" s="0" t="s">
        <v>5285</v>
      </c>
    </row>
    <row r="2421" customFormat="false" ht="13.8" hidden="false" customHeight="false" outlineLevel="0" collapsed="false">
      <c r="A2421" s="0" t="s">
        <v>5286</v>
      </c>
      <c r="B2421" s="0" t="s">
        <v>5287</v>
      </c>
      <c r="C2421" s="0" t="s">
        <v>31</v>
      </c>
      <c r="D2421" s="0" t="s">
        <v>2072</v>
      </c>
    </row>
    <row r="2422" customFormat="false" ht="13.8" hidden="false" customHeight="false" outlineLevel="0" collapsed="false">
      <c r="A2422" s="0" t="s">
        <v>5288</v>
      </c>
      <c r="B2422" s="0" t="s">
        <v>5289</v>
      </c>
      <c r="C2422" s="0" t="s">
        <v>31</v>
      </c>
      <c r="D2422" s="0" t="s">
        <v>1527</v>
      </c>
    </row>
    <row r="2423" customFormat="false" ht="13.8" hidden="false" customHeight="false" outlineLevel="0" collapsed="false">
      <c r="A2423" s="0" t="s">
        <v>5290</v>
      </c>
      <c r="B2423" s="0" t="s">
        <v>5291</v>
      </c>
      <c r="C2423" s="0" t="s">
        <v>31</v>
      </c>
      <c r="D2423" s="0" t="s">
        <v>3711</v>
      </c>
    </row>
    <row r="2424" customFormat="false" ht="13.8" hidden="false" customHeight="false" outlineLevel="0" collapsed="false">
      <c r="A2424" s="0" t="s">
        <v>5292</v>
      </c>
      <c r="B2424" s="0" t="s">
        <v>5293</v>
      </c>
      <c r="C2424" s="0" t="s">
        <v>31</v>
      </c>
      <c r="D2424" s="0" t="s">
        <v>5294</v>
      </c>
    </row>
    <row r="2425" customFormat="false" ht="13.8" hidden="false" customHeight="false" outlineLevel="0" collapsed="false">
      <c r="A2425" s="0" t="s">
        <v>5295</v>
      </c>
      <c r="B2425" s="0" t="s">
        <v>5296</v>
      </c>
      <c r="C2425" s="0" t="s">
        <v>31</v>
      </c>
      <c r="D2425" s="0" t="s">
        <v>1505</v>
      </c>
    </row>
    <row r="2426" customFormat="false" ht="13.8" hidden="false" customHeight="false" outlineLevel="0" collapsed="false">
      <c r="A2426" s="0" t="s">
        <v>5297</v>
      </c>
      <c r="B2426" s="0" t="s">
        <v>5298</v>
      </c>
      <c r="C2426" s="0" t="s">
        <v>31</v>
      </c>
      <c r="D2426" s="0" t="s">
        <v>5010</v>
      </c>
    </row>
    <row r="2427" customFormat="false" ht="13.8" hidden="false" customHeight="false" outlineLevel="0" collapsed="false">
      <c r="A2427" s="0" t="s">
        <v>5299</v>
      </c>
      <c r="B2427" s="0" t="s">
        <v>5300</v>
      </c>
      <c r="C2427" s="0" t="s">
        <v>31</v>
      </c>
      <c r="D2427" s="0" t="s">
        <v>5294</v>
      </c>
    </row>
    <row r="2428" customFormat="false" ht="13.8" hidden="false" customHeight="false" outlineLevel="0" collapsed="false">
      <c r="A2428" s="0" t="s">
        <v>5301</v>
      </c>
      <c r="B2428" s="0" t="s">
        <v>5302</v>
      </c>
      <c r="C2428" s="0" t="s">
        <v>31</v>
      </c>
      <c r="D2428" s="0" t="s">
        <v>1540</v>
      </c>
    </row>
    <row r="2429" customFormat="false" ht="13.8" hidden="false" customHeight="false" outlineLevel="0" collapsed="false">
      <c r="A2429" s="0" t="s">
        <v>5303</v>
      </c>
      <c r="B2429" s="0" t="s">
        <v>5304</v>
      </c>
      <c r="C2429" s="0" t="s">
        <v>31</v>
      </c>
      <c r="D2429" s="0" t="s">
        <v>2072</v>
      </c>
    </row>
    <row r="2430" customFormat="false" ht="13.8" hidden="false" customHeight="false" outlineLevel="0" collapsed="false">
      <c r="A2430" s="0" t="s">
        <v>5305</v>
      </c>
      <c r="B2430" s="0" t="s">
        <v>5306</v>
      </c>
      <c r="C2430" s="0" t="s">
        <v>31</v>
      </c>
      <c r="D2430" s="0" t="s">
        <v>69</v>
      </c>
    </row>
    <row r="2431" customFormat="false" ht="13.8" hidden="false" customHeight="false" outlineLevel="0" collapsed="false">
      <c r="A2431" s="0" t="s">
        <v>5307</v>
      </c>
      <c r="B2431" s="0" t="s">
        <v>5308</v>
      </c>
      <c r="C2431" s="0" t="s">
        <v>31</v>
      </c>
      <c r="D2431" s="0" t="s">
        <v>69</v>
      </c>
    </row>
    <row r="2432" customFormat="false" ht="13.8" hidden="false" customHeight="false" outlineLevel="0" collapsed="false">
      <c r="A2432" s="0" t="s">
        <v>5309</v>
      </c>
      <c r="B2432" s="0" t="s">
        <v>5310</v>
      </c>
      <c r="C2432" s="0" t="s">
        <v>31</v>
      </c>
      <c r="D2432" s="0" t="s">
        <v>69</v>
      </c>
    </row>
    <row r="2433" customFormat="false" ht="13.8" hidden="false" customHeight="false" outlineLevel="0" collapsed="false">
      <c r="A2433" s="0" t="s">
        <v>5311</v>
      </c>
      <c r="B2433" s="0" t="s">
        <v>5312</v>
      </c>
      <c r="C2433" s="0" t="s">
        <v>31</v>
      </c>
      <c r="D2433" s="0" t="s">
        <v>5313</v>
      </c>
    </row>
    <row r="2434" customFormat="false" ht="13.8" hidden="false" customHeight="false" outlineLevel="0" collapsed="false">
      <c r="A2434" s="0" t="s">
        <v>5314</v>
      </c>
      <c r="B2434" s="0" t="s">
        <v>5315</v>
      </c>
      <c r="C2434" s="0" t="s">
        <v>31</v>
      </c>
      <c r="D2434" s="0" t="s">
        <v>1513</v>
      </c>
    </row>
    <row r="2435" customFormat="false" ht="13.8" hidden="false" customHeight="false" outlineLevel="0" collapsed="false">
      <c r="A2435" s="0" t="s">
        <v>5316</v>
      </c>
      <c r="B2435" s="0" t="s">
        <v>5317</v>
      </c>
      <c r="C2435" s="0" t="s">
        <v>31</v>
      </c>
      <c r="D2435" s="0" t="s">
        <v>1957</v>
      </c>
    </row>
    <row r="2436" customFormat="false" ht="13.8" hidden="false" customHeight="false" outlineLevel="0" collapsed="false">
      <c r="A2436" s="0" t="s">
        <v>5318</v>
      </c>
      <c r="B2436" s="0" t="s">
        <v>5319</v>
      </c>
      <c r="C2436" s="0" t="s">
        <v>31</v>
      </c>
      <c r="D2436" s="0" t="s">
        <v>1761</v>
      </c>
    </row>
    <row r="2437" customFormat="false" ht="13.8" hidden="false" customHeight="false" outlineLevel="0" collapsed="false">
      <c r="A2437" s="0" t="s">
        <v>5320</v>
      </c>
      <c r="B2437" s="0" t="s">
        <v>5321</v>
      </c>
      <c r="C2437" s="0" t="s">
        <v>31</v>
      </c>
      <c r="D2437" s="0" t="s">
        <v>1527</v>
      </c>
    </row>
    <row r="2438" customFormat="false" ht="13.8" hidden="false" customHeight="false" outlineLevel="0" collapsed="false">
      <c r="A2438" s="0" t="s">
        <v>1554</v>
      </c>
      <c r="B2438" s="0" t="s">
        <v>1555</v>
      </c>
      <c r="C2438" s="0" t="s">
        <v>31</v>
      </c>
      <c r="D2438" s="0" t="s">
        <v>1746</v>
      </c>
    </row>
    <row r="2439" customFormat="false" ht="13.8" hidden="false" customHeight="false" outlineLevel="0" collapsed="false">
      <c r="A2439" s="0" t="s">
        <v>5322</v>
      </c>
      <c r="B2439" s="0" t="s">
        <v>5323</v>
      </c>
      <c r="C2439" s="0" t="s">
        <v>31</v>
      </c>
      <c r="D2439" s="0" t="s">
        <v>2054</v>
      </c>
    </row>
    <row r="2440" customFormat="false" ht="13.8" hidden="false" customHeight="false" outlineLevel="0" collapsed="false">
      <c r="A2440" s="0" t="s">
        <v>5324</v>
      </c>
      <c r="B2440" s="0" t="s">
        <v>5325</v>
      </c>
      <c r="C2440" s="0" t="s">
        <v>31</v>
      </c>
      <c r="D2440" s="0" t="s">
        <v>1924</v>
      </c>
    </row>
    <row r="2441" customFormat="false" ht="13.8" hidden="false" customHeight="false" outlineLevel="0" collapsed="false">
      <c r="A2441" s="0" t="s">
        <v>5326</v>
      </c>
      <c r="B2441" s="0" t="s">
        <v>5327</v>
      </c>
      <c r="C2441" s="0" t="s">
        <v>31</v>
      </c>
      <c r="D2441" s="0" t="s">
        <v>1527</v>
      </c>
    </row>
    <row r="2442" customFormat="false" ht="13.8" hidden="false" customHeight="false" outlineLevel="0" collapsed="false">
      <c r="A2442" s="0" t="s">
        <v>5328</v>
      </c>
      <c r="B2442" s="0" t="s">
        <v>5329</v>
      </c>
      <c r="C2442" s="0" t="s">
        <v>31</v>
      </c>
      <c r="D2442" s="0" t="s">
        <v>1505</v>
      </c>
    </row>
    <row r="2443" customFormat="false" ht="13.8" hidden="false" customHeight="false" outlineLevel="0" collapsed="false">
      <c r="A2443" s="0" t="s">
        <v>5330</v>
      </c>
      <c r="B2443" s="0" t="s">
        <v>5331</v>
      </c>
      <c r="C2443" s="0" t="s">
        <v>31</v>
      </c>
      <c r="D2443" s="0" t="s">
        <v>1651</v>
      </c>
    </row>
    <row r="2444" customFormat="false" ht="13.8" hidden="false" customHeight="false" outlineLevel="0" collapsed="false">
      <c r="A2444" s="0" t="s">
        <v>5332</v>
      </c>
      <c r="B2444" s="0" t="s">
        <v>5333</v>
      </c>
      <c r="C2444" s="0" t="s">
        <v>31</v>
      </c>
      <c r="D2444" s="0" t="s">
        <v>69</v>
      </c>
    </row>
    <row r="2445" customFormat="false" ht="13.8" hidden="false" customHeight="false" outlineLevel="0" collapsed="false">
      <c r="A2445" s="0" t="s">
        <v>5334</v>
      </c>
      <c r="B2445" s="0" t="s">
        <v>5335</v>
      </c>
      <c r="C2445" s="0" t="s">
        <v>31</v>
      </c>
      <c r="D2445" s="0" t="s">
        <v>413</v>
      </c>
    </row>
    <row r="2446" customFormat="false" ht="13.8" hidden="false" customHeight="false" outlineLevel="0" collapsed="false">
      <c r="A2446" s="0" t="s">
        <v>5336</v>
      </c>
      <c r="B2446" s="0" t="s">
        <v>758</v>
      </c>
      <c r="C2446" s="0" t="s">
        <v>31</v>
      </c>
      <c r="D2446" s="0" t="s">
        <v>413</v>
      </c>
    </row>
    <row r="2447" customFormat="false" ht="13.8" hidden="false" customHeight="false" outlineLevel="0" collapsed="false">
      <c r="A2447" s="0" t="s">
        <v>5337</v>
      </c>
      <c r="B2447" s="0" t="s">
        <v>5338</v>
      </c>
      <c r="C2447" s="0" t="s">
        <v>31</v>
      </c>
      <c r="D2447" s="0" t="s">
        <v>2739</v>
      </c>
    </row>
    <row r="2448" customFormat="false" ht="13.8" hidden="false" customHeight="false" outlineLevel="0" collapsed="false">
      <c r="A2448" s="0" t="s">
        <v>5339</v>
      </c>
      <c r="B2448" s="0" t="s">
        <v>5340</v>
      </c>
      <c r="C2448" s="0" t="s">
        <v>31</v>
      </c>
      <c r="D2448" s="0" t="s">
        <v>5341</v>
      </c>
    </row>
    <row r="2449" customFormat="false" ht="13.8" hidden="false" customHeight="false" outlineLevel="0" collapsed="false">
      <c r="A2449" s="0" t="s">
        <v>5342</v>
      </c>
      <c r="B2449" s="0" t="s">
        <v>5343</v>
      </c>
      <c r="C2449" s="0" t="s">
        <v>31</v>
      </c>
      <c r="D2449" s="0" t="s">
        <v>69</v>
      </c>
    </row>
    <row r="2450" customFormat="false" ht="13.8" hidden="false" customHeight="false" outlineLevel="0" collapsed="false">
      <c r="A2450" s="0" t="s">
        <v>5344</v>
      </c>
      <c r="B2450" s="0" t="s">
        <v>5345</v>
      </c>
      <c r="C2450" s="0" t="s">
        <v>31</v>
      </c>
      <c r="D2450" s="0" t="s">
        <v>2739</v>
      </c>
    </row>
    <row r="2451" customFormat="false" ht="13.8" hidden="false" customHeight="false" outlineLevel="0" collapsed="false">
      <c r="A2451" s="0" t="s">
        <v>5346</v>
      </c>
      <c r="B2451" s="0" t="s">
        <v>5347</v>
      </c>
      <c r="C2451" s="0" t="s">
        <v>31</v>
      </c>
      <c r="D2451" s="0" t="s">
        <v>5348</v>
      </c>
    </row>
    <row r="2452" customFormat="false" ht="13.8" hidden="false" customHeight="false" outlineLevel="0" collapsed="false">
      <c r="A2452" s="0" t="s">
        <v>5349</v>
      </c>
      <c r="B2452" s="0" t="s">
        <v>5350</v>
      </c>
      <c r="C2452" s="0" t="s">
        <v>31</v>
      </c>
      <c r="D2452" s="0" t="s">
        <v>5348</v>
      </c>
    </row>
    <row r="2453" customFormat="false" ht="13.8" hidden="false" customHeight="false" outlineLevel="0" collapsed="false">
      <c r="A2453" s="0" t="s">
        <v>5351</v>
      </c>
      <c r="B2453" s="0" t="s">
        <v>5352</v>
      </c>
      <c r="C2453" s="0" t="s">
        <v>31</v>
      </c>
      <c r="D2453" s="0" t="s">
        <v>2739</v>
      </c>
    </row>
    <row r="2454" customFormat="false" ht="13.8" hidden="false" customHeight="false" outlineLevel="0" collapsed="false">
      <c r="A2454" s="0" t="s">
        <v>5353</v>
      </c>
      <c r="B2454" s="0" t="s">
        <v>5354</v>
      </c>
      <c r="C2454" s="0" t="s">
        <v>31</v>
      </c>
      <c r="D2454" s="0" t="s">
        <v>2739</v>
      </c>
    </row>
    <row r="2455" customFormat="false" ht="13.8" hidden="false" customHeight="false" outlineLevel="0" collapsed="false">
      <c r="A2455" s="0" t="s">
        <v>5355</v>
      </c>
      <c r="B2455" s="0" t="s">
        <v>5356</v>
      </c>
      <c r="C2455" s="0" t="s">
        <v>31</v>
      </c>
      <c r="D2455" s="0" t="s">
        <v>1592</v>
      </c>
    </row>
    <row r="2456" customFormat="false" ht="13.8" hidden="false" customHeight="false" outlineLevel="0" collapsed="false">
      <c r="A2456" s="0" t="s">
        <v>5357</v>
      </c>
      <c r="B2456" s="0" t="s">
        <v>5358</v>
      </c>
      <c r="C2456" s="0" t="s">
        <v>31</v>
      </c>
      <c r="D2456" s="0" t="s">
        <v>69</v>
      </c>
    </row>
    <row r="2457" customFormat="false" ht="13.8" hidden="false" customHeight="false" outlineLevel="0" collapsed="false">
      <c r="A2457" s="0" t="s">
        <v>5359</v>
      </c>
      <c r="B2457" s="0" t="s">
        <v>5360</v>
      </c>
      <c r="C2457" s="0" t="s">
        <v>31</v>
      </c>
      <c r="D2457" s="0" t="s">
        <v>19</v>
      </c>
    </row>
    <row r="2458" customFormat="false" ht="13.8" hidden="false" customHeight="false" outlineLevel="0" collapsed="false">
      <c r="A2458" s="0" t="s">
        <v>5361</v>
      </c>
      <c r="B2458" s="0" t="s">
        <v>5362</v>
      </c>
      <c r="C2458" s="0" t="s">
        <v>31</v>
      </c>
      <c r="D2458" s="0" t="s">
        <v>413</v>
      </c>
    </row>
    <row r="2459" customFormat="false" ht="13.8" hidden="false" customHeight="false" outlineLevel="0" collapsed="false">
      <c r="A2459" s="0" t="s">
        <v>5363</v>
      </c>
      <c r="B2459" s="0" t="s">
        <v>5364</v>
      </c>
      <c r="C2459" s="0" t="s">
        <v>31</v>
      </c>
      <c r="D2459" s="0" t="s">
        <v>3261</v>
      </c>
    </row>
    <row r="2460" customFormat="false" ht="13.8" hidden="false" customHeight="false" outlineLevel="0" collapsed="false">
      <c r="A2460" s="0" t="s">
        <v>5365</v>
      </c>
      <c r="B2460" s="0" t="s">
        <v>5366</v>
      </c>
      <c r="C2460" s="0" t="s">
        <v>31</v>
      </c>
      <c r="D2460" s="0" t="s">
        <v>3261</v>
      </c>
    </row>
    <row r="2461" customFormat="false" ht="13.8" hidden="false" customHeight="false" outlineLevel="0" collapsed="false">
      <c r="A2461" s="0" t="s">
        <v>5367</v>
      </c>
      <c r="B2461" s="0" t="s">
        <v>5368</v>
      </c>
      <c r="C2461" s="0" t="s">
        <v>31</v>
      </c>
      <c r="D2461" s="0" t="s">
        <v>3077</v>
      </c>
    </row>
    <row r="2462" customFormat="false" ht="13.8" hidden="false" customHeight="false" outlineLevel="0" collapsed="false">
      <c r="A2462" s="0" t="s">
        <v>5369</v>
      </c>
      <c r="B2462" s="0" t="s">
        <v>5370</v>
      </c>
      <c r="C2462" s="0" t="s">
        <v>31</v>
      </c>
      <c r="D2462" s="0" t="s">
        <v>1761</v>
      </c>
    </row>
    <row r="2463" customFormat="false" ht="13.8" hidden="false" customHeight="false" outlineLevel="0" collapsed="false">
      <c r="A2463" s="0" t="s">
        <v>5371</v>
      </c>
      <c r="B2463" s="0" t="s">
        <v>5372</v>
      </c>
      <c r="C2463" s="0" t="s">
        <v>31</v>
      </c>
      <c r="D2463" s="0" t="s">
        <v>1761</v>
      </c>
    </row>
    <row r="2464" customFormat="false" ht="13.8" hidden="false" customHeight="false" outlineLevel="0" collapsed="false">
      <c r="A2464" s="0" t="s">
        <v>5373</v>
      </c>
      <c r="B2464" s="0" t="s">
        <v>5374</v>
      </c>
      <c r="C2464" s="0" t="s">
        <v>31</v>
      </c>
      <c r="D2464" s="0" t="s">
        <v>69</v>
      </c>
    </row>
    <row r="2465" customFormat="false" ht="13.8" hidden="false" customHeight="false" outlineLevel="0" collapsed="false">
      <c r="A2465" s="0" t="s">
        <v>5375</v>
      </c>
      <c r="B2465" s="0" t="s">
        <v>5376</v>
      </c>
      <c r="C2465" s="0" t="s">
        <v>31</v>
      </c>
      <c r="D2465" s="0" t="s">
        <v>1572</v>
      </c>
    </row>
    <row r="2466" customFormat="false" ht="13.8" hidden="false" customHeight="false" outlineLevel="0" collapsed="false">
      <c r="A2466" s="0" t="s">
        <v>5377</v>
      </c>
      <c r="B2466" s="0" t="s">
        <v>5378</v>
      </c>
      <c r="C2466" s="0" t="s">
        <v>31</v>
      </c>
      <c r="D2466" s="0" t="s">
        <v>1572</v>
      </c>
    </row>
    <row r="2470" customFormat="false" ht="13.8" hidden="false" customHeight="false" outlineLevel="0" collapsed="false">
      <c r="D2470" s="0" t="n">
        <f aca="false">COUNTIF(C:C,"NO")</f>
        <v>1841</v>
      </c>
    </row>
    <row r="2471" customFormat="false" ht="13.8" hidden="false" customHeight="false" outlineLevel="0" collapsed="false">
      <c r="D2471" s="0" t="n">
        <f aca="false">COUNTIF(C:C,"YES")</f>
        <v>620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2024-03-27T09:24:50Z</dcterms:created>
  <dc:creator>Sjoerd Murris</dc:creator>
  <dc:description/>
  <dc:language>en-US</dc:language>
  <cp:lastModifiedBy/>
  <cp:lastPrinted>2024-07-09T12:36:53Z</cp:lastPrinted>
  <dcterms:modified xsi:type="dcterms:W3CDTF">2024-07-23T16:42:57Z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